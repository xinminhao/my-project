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taladmin\Desktop\0905\"/>
    </mc:Choice>
  </mc:AlternateContent>
  <xr:revisionPtr revIDLastSave="0" documentId="13_ncr:1_{6C9B8120-1E89-45D8-AC6C-D12ABAF7E6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emplete" sheetId="8" r:id="rId1"/>
    <sheet name="精算書（支払台帳）作成" sheetId="20" r:id="rId2"/>
    <sheet name="報告(2026年02月)" sheetId="21" r:id="rId3"/>
  </sheets>
  <functionGroups builtInGroupCount="19"/>
  <definedNames>
    <definedName name="_xlnm.Print_Area" localSheetId="0">templete!$A$1:$P$24</definedName>
    <definedName name="_xlnm.Print_Area" localSheetId="2">'報告(2026年02月)'!$A$1:$Z$40</definedName>
  </definedNames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8" i="21" l="1"/>
  <c r="V38" i="21"/>
  <c r="Z38" i="21" s="1"/>
  <c r="X37" i="21"/>
  <c r="V37" i="21"/>
  <c r="Z37" i="21" s="1"/>
  <c r="X36" i="21"/>
  <c r="V36" i="21"/>
  <c r="Z36" i="21" s="1"/>
  <c r="X35" i="21"/>
  <c r="V35" i="21"/>
  <c r="Z35" i="21" s="1"/>
  <c r="X34" i="21"/>
  <c r="V34" i="21"/>
  <c r="Z34" i="21" s="1"/>
  <c r="X33" i="21"/>
  <c r="V33" i="21"/>
  <c r="Z33" i="21" s="1"/>
  <c r="X32" i="21"/>
  <c r="V32" i="21"/>
  <c r="Z32" i="21" s="1"/>
  <c r="X25" i="21"/>
  <c r="V25" i="21"/>
  <c r="Z25" i="21" s="1"/>
  <c r="X24" i="21"/>
  <c r="V24" i="21"/>
  <c r="Z24" i="21" s="1"/>
  <c r="X23" i="21"/>
  <c r="V23" i="21"/>
  <c r="Z23" i="21" s="1"/>
  <c r="X22" i="21"/>
  <c r="V22" i="21"/>
  <c r="Z22" i="21" s="1"/>
  <c r="X21" i="21"/>
  <c r="V21" i="21"/>
  <c r="Z21" i="21" s="1"/>
  <c r="U40" i="21"/>
  <c r="T40" i="21"/>
  <c r="S40" i="21"/>
  <c r="R40" i="21"/>
  <c r="Q40" i="21"/>
  <c r="P40" i="21"/>
  <c r="O40" i="21"/>
  <c r="N40" i="21"/>
  <c r="M40" i="21"/>
  <c r="L40" i="21"/>
  <c r="K40" i="21"/>
  <c r="X16" i="21"/>
  <c r="V16" i="21"/>
  <c r="Z16" i="21" s="1"/>
  <c r="X15" i="21"/>
  <c r="V15" i="21"/>
  <c r="Z15" i="21" s="1"/>
  <c r="X14" i="21"/>
  <c r="V14" i="21"/>
  <c r="Z14" i="21" s="1"/>
  <c r="X13" i="21"/>
  <c r="V13" i="21"/>
  <c r="Z13" i="21" s="1"/>
  <c r="X12" i="21"/>
  <c r="V12" i="21"/>
  <c r="Z12" i="21" s="1"/>
  <c r="X11" i="21"/>
  <c r="V11" i="21"/>
  <c r="Z11" i="21" s="1"/>
  <c r="X10" i="21"/>
  <c r="V10" i="21"/>
  <c r="Z10" i="21" s="1"/>
  <c r="X9" i="21"/>
  <c r="V9" i="21"/>
  <c r="Z9" i="21" s="1"/>
  <c r="X8" i="21"/>
  <c r="V8" i="21"/>
  <c r="Z8" i="21" s="1"/>
  <c r="J40" i="21"/>
  <c r="Y39" i="21"/>
  <c r="I39" i="21"/>
  <c r="G39" i="21"/>
  <c r="E39" i="21"/>
  <c r="X31" i="21"/>
  <c r="V31" i="21"/>
  <c r="Y26" i="21"/>
  <c r="I26" i="21"/>
  <c r="G26" i="21"/>
  <c r="E26" i="21"/>
  <c r="X20" i="21"/>
  <c r="V20" i="21"/>
  <c r="Y17" i="21"/>
  <c r="I17" i="21"/>
  <c r="G17" i="21"/>
  <c r="E17" i="21"/>
  <c r="X7" i="21"/>
  <c r="V7" i="21"/>
  <c r="J3" i="21"/>
  <c r="G24" i="8"/>
  <c r="E24" i="8"/>
  <c r="V39" i="21" l="1"/>
  <c r="E40" i="21"/>
  <c r="W32" i="21"/>
  <c r="W33" i="21"/>
  <c r="W34" i="21"/>
  <c r="W35" i="21"/>
  <c r="W36" i="21"/>
  <c r="W37" i="21"/>
  <c r="W38" i="21"/>
  <c r="X26" i="21"/>
  <c r="W21" i="21"/>
  <c r="W22" i="21"/>
  <c r="W23" i="21"/>
  <c r="W24" i="21"/>
  <c r="W25" i="21"/>
  <c r="X39" i="21"/>
  <c r="V40" i="21"/>
  <c r="V26" i="21"/>
  <c r="V17" i="21"/>
  <c r="I40" i="21"/>
  <c r="X17" i="21"/>
  <c r="W20" i="21"/>
  <c r="Z20" i="21"/>
  <c r="G40" i="21"/>
  <c r="C3" i="21" s="1"/>
  <c r="Y28" i="21"/>
  <c r="Y40" i="21" s="1"/>
  <c r="W8" i="21"/>
  <c r="W9" i="21"/>
  <c r="W10" i="21"/>
  <c r="W11" i="21"/>
  <c r="W12" i="21"/>
  <c r="W13" i="21"/>
  <c r="W14" i="21"/>
  <c r="W15" i="21"/>
  <c r="W16" i="21"/>
  <c r="W7" i="21"/>
  <c r="Z7" i="21"/>
  <c r="W31" i="21"/>
  <c r="Z31" i="21"/>
  <c r="I24" i="8"/>
  <c r="K24" i="8"/>
  <c r="J24" i="8"/>
  <c r="N24" i="8"/>
  <c r="E23" i="8"/>
  <c r="G23" i="8"/>
  <c r="I23" i="8"/>
  <c r="O24" i="8"/>
  <c r="O23" i="8"/>
  <c r="L23" i="8"/>
  <c r="N23" i="8"/>
  <c r="M23" i="8"/>
  <c r="X28" i="21" l="1"/>
  <c r="X40" i="21"/>
  <c r="V28" i="21"/>
  <c r="W40" i="21"/>
  <c r="W26" i="21"/>
  <c r="I4" i="21"/>
  <c r="W39" i="21"/>
  <c r="W17" i="21"/>
  <c r="N22" i="8"/>
  <c r="L22" i="8"/>
  <c r="P22" i="8" s="1"/>
  <c r="W28" i="21" l="1"/>
  <c r="M22" i="8"/>
  <c r="N15" i="8" l="1"/>
  <c r="L15" i="8"/>
  <c r="P15" i="8" s="1"/>
  <c r="J5" i="8"/>
  <c r="L9" i="8"/>
  <c r="M9" i="8" s="1"/>
  <c r="N9" i="8"/>
  <c r="P9" i="8"/>
  <c r="L10" i="8"/>
  <c r="M10" i="8" s="1"/>
  <c r="N10" i="8"/>
  <c r="E11" i="8"/>
  <c r="G11" i="8"/>
  <c r="I11" i="8"/>
  <c r="O11" i="8"/>
  <c r="L14" i="8"/>
  <c r="M14" i="8" s="1"/>
  <c r="N14" i="8"/>
  <c r="E16" i="8"/>
  <c r="G16" i="8"/>
  <c r="I16" i="8"/>
  <c r="N16" i="8"/>
  <c r="O16" i="8"/>
  <c r="L21" i="8"/>
  <c r="N21" i="8"/>
  <c r="P21" i="8"/>
  <c r="I6" i="8"/>
  <c r="C5" i="8" l="1"/>
  <c r="O18" i="8"/>
  <c r="M21" i="8"/>
  <c r="L24" i="8"/>
  <c r="M24" i="8" s="1"/>
  <c r="M15" i="8"/>
  <c r="M16" i="8" s="1"/>
  <c r="L16" i="8"/>
  <c r="P14" i="8"/>
  <c r="N11" i="8"/>
  <c r="N18" i="8" s="1"/>
  <c r="L11" i="8"/>
  <c r="P10" i="8"/>
  <c r="M11" i="8"/>
  <c r="L18" i="8" l="1"/>
  <c r="M18" i="8"/>
</calcChain>
</file>

<file path=xl/sharedStrings.xml><?xml version="1.0" encoding="utf-8"?>
<sst xmlns="http://schemas.openxmlformats.org/spreadsheetml/2006/main" count="141" uniqueCount="74">
  <si>
    <t>工事件名</t>
    <rPh sb="0" eb="2">
      <t>コウジ</t>
    </rPh>
    <rPh sb="2" eb="4">
      <t>ケンメイ</t>
    </rPh>
    <phoneticPr fontId="4"/>
  </si>
  <si>
    <t>更新日</t>
    <rPh sb="0" eb="2">
      <t>コウシン</t>
    </rPh>
    <phoneticPr fontId="4"/>
  </si>
  <si>
    <t>実行予算時利益額（上司修正済後の金額）</t>
    <rPh sb="0" eb="2">
      <t>ジッコウ</t>
    </rPh>
    <rPh sb="2" eb="4">
      <t>ヨサン</t>
    </rPh>
    <rPh sb="4" eb="5">
      <t>ジ</t>
    </rPh>
    <rPh sb="5" eb="7">
      <t>リエキ</t>
    </rPh>
    <rPh sb="7" eb="8">
      <t>ガク</t>
    </rPh>
    <phoneticPr fontId="4"/>
  </si>
  <si>
    <t>最終請負金額</t>
    <phoneticPr fontId="4"/>
  </si>
  <si>
    <t>実行予算時利益率</t>
    <rPh sb="0" eb="2">
      <t>ジッコウ</t>
    </rPh>
    <rPh sb="2" eb="4">
      <t>ヨサン</t>
    </rPh>
    <rPh sb="4" eb="5">
      <t>ジ</t>
    </rPh>
    <rPh sb="5" eb="7">
      <t>リエキ</t>
    </rPh>
    <rPh sb="7" eb="8">
      <t>リツ</t>
    </rPh>
    <phoneticPr fontId="4"/>
  </si>
  <si>
    <t>取極め後利益額</t>
    <rPh sb="0" eb="2">
      <t>トリキ</t>
    </rPh>
    <rPh sb="3" eb="4">
      <t>ゴ</t>
    </rPh>
    <rPh sb="4" eb="6">
      <t>リエキ</t>
    </rPh>
    <rPh sb="6" eb="7">
      <t>ガク</t>
    </rPh>
    <phoneticPr fontId="4"/>
  </si>
  <si>
    <t>取極業者名　　　　　　　　　　　　　　</t>
    <rPh sb="0" eb="2">
      <t>トリキ</t>
    </rPh>
    <rPh sb="2" eb="4">
      <t>ギョウシャ</t>
    </rPh>
    <rPh sb="4" eb="5">
      <t>メイ</t>
    </rPh>
    <phoneticPr fontId="4"/>
  </si>
  <si>
    <t>支払合計</t>
    <rPh sb="0" eb="2">
      <t>シハラ</t>
    </rPh>
    <rPh sb="2" eb="4">
      <t>ゴウケイ</t>
    </rPh>
    <phoneticPr fontId="4"/>
  </si>
  <si>
    <t>支払残金</t>
    <rPh sb="0" eb="2">
      <t>シハライ</t>
    </rPh>
    <rPh sb="2" eb="4">
      <t>ザンキン</t>
    </rPh>
    <phoneticPr fontId="4"/>
  </si>
  <si>
    <t>予算増減金額　     　　　　（実行予算-取極め金額）</t>
    <rPh sb="0" eb="2">
      <t>ヨサン</t>
    </rPh>
    <rPh sb="2" eb="4">
      <t>ゾウゲン</t>
    </rPh>
    <rPh sb="4" eb="5">
      <t>キン</t>
    </rPh>
    <rPh sb="5" eb="6">
      <t>ガク</t>
    </rPh>
    <rPh sb="17" eb="19">
      <t>ジッコウ</t>
    </rPh>
    <rPh sb="19" eb="21">
      <t>ヨサン</t>
    </rPh>
    <rPh sb="22" eb="24">
      <t>トリキ</t>
    </rPh>
    <rPh sb="25" eb="27">
      <t>キンガク</t>
    </rPh>
    <phoneticPr fontId="4"/>
  </si>
  <si>
    <t>人工</t>
    <rPh sb="0" eb="2">
      <t>ニンク</t>
    </rPh>
    <phoneticPr fontId="4"/>
  </si>
  <si>
    <t>1人工
単価</t>
    <rPh sb="1" eb="3">
      <t>ニンク</t>
    </rPh>
    <rPh sb="4" eb="6">
      <t>タンカ</t>
    </rPh>
    <phoneticPr fontId="4"/>
  </si>
  <si>
    <t>本工事利益増減金額合計</t>
    <rPh sb="0" eb="3">
      <t>ホンコウジ</t>
    </rPh>
    <rPh sb="3" eb="5">
      <t>リエキ</t>
    </rPh>
    <rPh sb="5" eb="7">
      <t>ゾウゲン</t>
    </rPh>
    <rPh sb="7" eb="9">
      <t>キンガク</t>
    </rPh>
    <rPh sb="9" eb="11">
      <t>ゴウケイ</t>
    </rPh>
    <phoneticPr fontId="4"/>
  </si>
  <si>
    <t>【追加工事】</t>
    <rPh sb="1" eb="3">
      <t>ツイカ</t>
    </rPh>
    <rPh sb="3" eb="5">
      <t>コウジ</t>
    </rPh>
    <phoneticPr fontId="4"/>
  </si>
  <si>
    <t>実行予算額</t>
    <phoneticPr fontId="4"/>
  </si>
  <si>
    <t>取極・見込額　</t>
    <phoneticPr fontId="4"/>
  </si>
  <si>
    <t>B.実行予算外工事合計</t>
    <rPh sb="2" eb="4">
      <t>ジッコウ</t>
    </rPh>
    <rPh sb="4" eb="6">
      <t>ヨサン</t>
    </rPh>
    <rPh sb="6" eb="7">
      <t>ガイ</t>
    </rPh>
    <rPh sb="7" eb="9">
      <t>コウジ</t>
    </rPh>
    <rPh sb="9" eb="11">
      <t>ゴウケイ</t>
    </rPh>
    <phoneticPr fontId="4"/>
  </si>
  <si>
    <t>最終利益増減金額計（A+B）</t>
    <rPh sb="0" eb="2">
      <t>サイシュウ</t>
    </rPh>
    <rPh sb="2" eb="4">
      <t>リエキ</t>
    </rPh>
    <rPh sb="4" eb="6">
      <t>ゾウゲン</t>
    </rPh>
    <rPh sb="6" eb="8">
      <t>キンガク</t>
    </rPh>
    <rPh sb="8" eb="9">
      <t>ケイ</t>
    </rPh>
    <phoneticPr fontId="4"/>
  </si>
  <si>
    <t>合計</t>
    <rPh sb="0" eb="2">
      <t>ゴウケイ</t>
    </rPh>
    <phoneticPr fontId="4"/>
  </si>
  <si>
    <t>元積額</t>
    <rPh sb="0" eb="2">
      <t>モトヅ</t>
    </rPh>
    <rPh sb="2" eb="3">
      <t>ガク</t>
    </rPh>
    <phoneticPr fontId="4"/>
  </si>
  <si>
    <t>精算書（支払台帳）書式サンプル</t>
    <rPh sb="0" eb="2">
      <t>セイサン</t>
    </rPh>
    <rPh sb="9" eb="11">
      <t>ショシキ</t>
    </rPh>
    <phoneticPr fontId="4"/>
  </si>
  <si>
    <t>請負金額</t>
    <phoneticPr fontId="4"/>
  </si>
  <si>
    <t>工事コード</t>
    <rPh sb="0" eb="2">
      <t>コウジ</t>
    </rPh>
    <phoneticPr fontId="4"/>
  </si>
  <si>
    <t>追加変更金額</t>
    <phoneticPr fontId="4"/>
  </si>
  <si>
    <t>工種コード</t>
    <rPh sb="0" eb="2">
      <t>コウシュ</t>
    </rPh>
    <phoneticPr fontId="4"/>
  </si>
  <si>
    <t>注文書番号</t>
    <rPh sb="0" eb="3">
      <t>チュウモンショ</t>
    </rPh>
    <rPh sb="3" eb="5">
      <t>バンゴウ</t>
    </rPh>
    <phoneticPr fontId="4"/>
  </si>
  <si>
    <t>実行予算額</t>
    <rPh sb="0" eb="2">
      <t>ジッコウ</t>
    </rPh>
    <rPh sb="2" eb="4">
      <t>ヨサン</t>
    </rPh>
    <rPh sb="4" eb="5">
      <t>ガク</t>
    </rPh>
    <phoneticPr fontId="4"/>
  </si>
  <si>
    <r>
      <t>取極・見込額　</t>
    </r>
    <r>
      <rPr>
        <sz val="10"/>
        <color indexed="10"/>
        <rFont val="メイリオ"/>
        <family val="3"/>
        <charset val="128"/>
      </rPr>
      <t>　　　　</t>
    </r>
    <rPh sb="0" eb="2">
      <t>トリキ</t>
    </rPh>
    <rPh sb="3" eb="5">
      <t>ミコミ</t>
    </rPh>
    <rPh sb="5" eb="6">
      <t>ガク</t>
    </rPh>
    <phoneticPr fontId="4"/>
  </si>
  <si>
    <t>元積額</t>
    <rPh sb="0" eb="2">
      <t>モトヅ</t>
    </rPh>
    <phoneticPr fontId="4"/>
  </si>
  <si>
    <t>「精算書（支払台帳）ボタンをクリックして、読み込むCSVファイルを選択してください」</t>
  </si>
  <si>
    <t>経費合計</t>
    <rPh sb="0" eb="2">
      <t>ケイヒ</t>
    </rPh>
    <rPh sb="2" eb="4">
      <t>ゴウケイ</t>
    </rPh>
    <phoneticPr fontId="4"/>
  </si>
  <si>
    <t>オーベル練馬スマーティア　大規模修繕工事</t>
  </si>
  <si>
    <t>9000730269-001</t>
  </si>
  <si>
    <t>A001
共通仮設工事</t>
  </si>
  <si>
    <t>有限会社義人総建</t>
  </si>
  <si>
    <t>A300</t>
  </si>
  <si>
    <t>0000017859</t>
  </si>
  <si>
    <t>輝龍株式会社　</t>
  </si>
  <si>
    <t>A400</t>
  </si>
  <si>
    <t/>
  </si>
  <si>
    <t>株式会社ゲットクリーンコート</t>
  </si>
  <si>
    <t>A301</t>
  </si>
  <si>
    <t>有限会社近藤電設</t>
  </si>
  <si>
    <t>A200</t>
  </si>
  <si>
    <t>0000018132</t>
  </si>
  <si>
    <t>新和環境株式会社</t>
  </si>
  <si>
    <t>A500</t>
  </si>
  <si>
    <t>有限会社青柳勘重商店</t>
  </si>
  <si>
    <t>Q001
建築工事</t>
  </si>
  <si>
    <t>Q901</t>
  </si>
  <si>
    <t>S001
クリーニング工事</t>
  </si>
  <si>
    <t>S100</t>
  </si>
  <si>
    <t>S101</t>
  </si>
  <si>
    <t>01月</t>
  </si>
  <si>
    <t>02月</t>
    <phoneticPr fontId="2"/>
  </si>
  <si>
    <t>03月</t>
    <phoneticPr fontId="2"/>
  </si>
  <si>
    <t>04月</t>
    <phoneticPr fontId="2"/>
  </si>
  <si>
    <t>05月</t>
    <phoneticPr fontId="2"/>
  </si>
  <si>
    <t>06月</t>
    <phoneticPr fontId="2"/>
  </si>
  <si>
    <t>07月</t>
    <phoneticPr fontId="2"/>
  </si>
  <si>
    <t>08月</t>
    <phoneticPr fontId="2"/>
  </si>
  <si>
    <t>09月</t>
    <phoneticPr fontId="2"/>
  </si>
  <si>
    <t>10月</t>
    <phoneticPr fontId="2"/>
  </si>
  <si>
    <t>Y
その他防水工事</t>
  </si>
  <si>
    <t>P100</t>
  </si>
  <si>
    <t>Y
建築工事</t>
  </si>
  <si>
    <t>Y
クリーニング工事</t>
  </si>
  <si>
    <t>Z001
経費</t>
  </si>
  <si>
    <t>ヤマト運輸本社　ヤマト運輸株式会社横浜主管支店</t>
  </si>
  <si>
    <t>ソロエルアリーナ（株式会社マツザキ）</t>
  </si>
  <si>
    <t>給与配賦</t>
  </si>
  <si>
    <t>社内振替</t>
  </si>
  <si>
    <t>仕訳データ</t>
  </si>
  <si>
    <t>ＥＸ経費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</si>
</sst>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¥&quot;#,##0;&quot;¥&quot;\-#,##0"/>
    <numFmt numFmtId="6" formatCode="&quot;¥&quot;#,##0;[Red]&quot;¥&quot;\-#,##0"/>
    <numFmt numFmtId="176" formatCode="&quot;¥&quot;#,##0_);[Red]\(&quot;¥&quot;#,##0\)"/>
    <numFmt numFmtId="177" formatCode="0.0%"/>
    <numFmt numFmtId="178" formatCode="0_);[Red]\(0\)"/>
    <numFmt numFmtId="179" formatCode="&quot;¥&quot;#,##0;&quot;¥&quot;&quot;▲&quot;#,##0"/>
    <numFmt numFmtId="180" formatCode="&quot;¥&quot;#,##0_);\(&quot;¥&quot;#,##0\)"/>
    <numFmt numFmtId="184" formatCode="\\#,##0;[Red]\\&quot;▲&quot;#,##0"/>
    <numFmt numFmtId="185" formatCode="yyyy/mm/dd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name val="メイリオ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11"/>
      <name val="ＭＳ Ｐ明朝"/>
      <family val="1"/>
      <charset val="128"/>
    </font>
    <font>
      <b/>
      <sz val="11"/>
      <name val="メイリオ"/>
      <family val="3"/>
      <charset val="128"/>
    </font>
    <font>
      <sz val="12"/>
      <name val="メイリオ"/>
      <family val="3"/>
      <charset val="128"/>
    </font>
    <font>
      <b/>
      <sz val="12"/>
      <name val="メイリオ"/>
      <family val="3"/>
      <charset val="128"/>
    </font>
    <font>
      <sz val="8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1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indexed="63"/>
      <name val="メイリオ"/>
      <family val="3"/>
      <charset val="128"/>
    </font>
    <font>
      <sz val="11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color theme="4" tint="-0.499984740745262"/>
      <name val="メイリオ"/>
      <family val="3"/>
      <charset val="128"/>
    </font>
    <font>
      <b/>
      <sz val="14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7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 diagonalUp="1">
      <left/>
      <right style="thin">
        <color indexed="64"/>
      </right>
      <top/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 diagonalUp="1">
      <left style="thin">
        <color indexed="64"/>
      </left>
      <right/>
      <top style="double">
        <color indexed="64"/>
      </top>
      <bottom style="double">
        <color indexed="64"/>
      </bottom>
      <diagonal style="thin">
        <color indexed="64"/>
      </diagonal>
    </border>
    <border diagonalUp="1">
      <left/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double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/>
      <right style="medium">
        <color theme="1"/>
      </right>
      <top style="thin">
        <color indexed="64"/>
      </top>
      <bottom style="hair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 diagonalUp="1"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 style="medium">
        <color theme="1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indexed="64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rgb="FFFF0000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theme="1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theme="1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double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hair">
        <color indexed="64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hair">
        <color indexed="64"/>
      </bottom>
      <diagonal/>
    </border>
    <border>
      <left/>
      <right style="thin">
        <color indexed="64"/>
      </right>
      <top style="thin">
        <color theme="1"/>
      </top>
      <bottom style="hair">
        <color indexed="64"/>
      </bottom>
      <diagonal/>
    </border>
    <border>
      <left/>
      <right/>
      <top style="thin">
        <color theme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double">
        <color indexed="64"/>
      </bottom>
      <diagonal/>
    </border>
    <border>
      <left style="thin">
        <color indexed="64"/>
      </left>
      <right/>
      <top style="thin">
        <color theme="1"/>
      </top>
      <bottom style="double">
        <color indexed="64"/>
      </bottom>
      <diagonal/>
    </border>
    <border>
      <left/>
      <right style="thin">
        <color indexed="64"/>
      </right>
      <top style="thin">
        <color theme="1"/>
      </top>
      <bottom style="double">
        <color indexed="64"/>
      </bottom>
      <diagonal/>
    </border>
    <border>
      <left/>
      <right/>
      <top style="thin">
        <color theme="1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theme="1"/>
      </left>
      <right style="thin">
        <color theme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theme="1"/>
      </left>
      <right style="thin">
        <color theme="1"/>
      </right>
      <top style="dotted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double">
        <color theme="1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theme="1"/>
      </left>
      <right/>
      <top style="thin">
        <color indexed="64"/>
      </top>
      <bottom/>
      <diagonal/>
    </border>
    <border>
      <left/>
      <right style="medium">
        <color theme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 diagonalUp="1">
      <left style="thin">
        <color indexed="64"/>
      </left>
      <right style="thin">
        <color indexed="64"/>
      </right>
      <top/>
      <bottom style="thin">
        <color rgb="FF000000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 style="double">
        <color indexed="64"/>
      </top>
      <bottom/>
      <diagonal/>
    </border>
    <border>
      <left style="thin">
        <color rgb="FF000000"/>
      </left>
      <right style="thin">
        <color indexed="64"/>
      </right>
      <top style="dotted">
        <color indexed="64"/>
      </top>
      <bottom/>
      <diagonal/>
    </border>
    <border>
      <left style="thin">
        <color rgb="FF000000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401">
    <xf numFmtId="0" fontId="0" fillId="0" borderId="0" xfId="0"/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5" fontId="5" fillId="0" borderId="0" xfId="0" applyNumberFormat="1" applyFont="1" applyAlignment="1">
      <alignment vertical="center" shrinkToFit="1"/>
    </xf>
    <xf numFmtId="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5" fillId="0" borderId="0" xfId="0" applyFont="1" applyAlignment="1" applyProtection="1">
      <alignment horizontal="center" vertical="center" shrinkToFit="1"/>
      <protection locked="0"/>
    </xf>
    <xf numFmtId="176" fontId="5" fillId="0" borderId="0" xfId="0" applyNumberFormat="1" applyFont="1" applyAlignment="1" applyProtection="1">
      <alignment horizontal="center" vertical="center" shrinkToFit="1"/>
      <protection locked="0"/>
    </xf>
    <xf numFmtId="5" fontId="5" fillId="0" borderId="0" xfId="0" applyNumberFormat="1" applyFont="1" applyAlignment="1" applyProtection="1">
      <alignment vertical="center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 shrinkToFit="1"/>
    </xf>
    <xf numFmtId="0" fontId="8" fillId="0" borderId="12" xfId="0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>
      <alignment horizontal="center" vertical="center" shrinkToFit="1"/>
    </xf>
    <xf numFmtId="5" fontId="8" fillId="2" borderId="22" xfId="0" applyNumberFormat="1" applyFont="1" applyFill="1" applyBorder="1" applyAlignment="1">
      <alignment horizontal="center" vertical="center" shrinkToFit="1"/>
    </xf>
    <xf numFmtId="178" fontId="7" fillId="3" borderId="28" xfId="0" applyNumberFormat="1" applyFont="1" applyFill="1" applyBorder="1" applyAlignment="1" applyProtection="1">
      <alignment vertical="center" shrinkToFit="1"/>
      <protection locked="0"/>
    </xf>
    <xf numFmtId="0" fontId="5" fillId="0" borderId="33" xfId="0" applyFont="1" applyBorder="1" applyAlignment="1" applyProtection="1">
      <alignment horizontal="center" vertical="center" shrinkToFit="1"/>
      <protection locked="0"/>
    </xf>
    <xf numFmtId="179" fontId="5" fillId="0" borderId="36" xfId="0" applyNumberFormat="1" applyFont="1" applyBorder="1" applyAlignment="1" applyProtection="1">
      <alignment vertical="center" shrinkToFit="1"/>
      <protection locked="0"/>
    </xf>
    <xf numFmtId="179" fontId="5" fillId="0" borderId="37" xfId="0" applyNumberFormat="1" applyFont="1" applyBorder="1" applyAlignment="1" applyProtection="1">
      <alignment vertical="center" shrinkToFit="1"/>
      <protection locked="0"/>
    </xf>
    <xf numFmtId="0" fontId="6" fillId="0" borderId="39" xfId="0" applyFont="1" applyBorder="1" applyAlignment="1">
      <alignment vertical="center" shrinkToFit="1"/>
    </xf>
    <xf numFmtId="0" fontId="5" fillId="0" borderId="30" xfId="0" applyFont="1" applyBorder="1" applyAlignment="1" applyProtection="1">
      <alignment horizontal="center" vertical="center" shrinkToFit="1"/>
      <protection locked="0"/>
    </xf>
    <xf numFmtId="5" fontId="5" fillId="0" borderId="22" xfId="0" applyNumberFormat="1" applyFont="1" applyBorder="1" applyAlignment="1" applyProtection="1">
      <alignment horizontal="center" vertical="center" shrinkToFit="1"/>
      <protection locked="0"/>
    </xf>
    <xf numFmtId="5" fontId="5" fillId="0" borderId="23" xfId="0" applyNumberFormat="1" applyFont="1" applyBorder="1" applyAlignment="1" applyProtection="1">
      <alignment horizontal="center" vertical="center" shrinkToFit="1"/>
      <protection locked="0"/>
    </xf>
    <xf numFmtId="179" fontId="5" fillId="0" borderId="40" xfId="0" applyNumberFormat="1" applyFont="1" applyBorder="1" applyAlignment="1" applyProtection="1">
      <alignment vertical="center" shrinkToFit="1"/>
      <protection locked="0"/>
    </xf>
    <xf numFmtId="179" fontId="5" fillId="0" borderId="41" xfId="0" applyNumberFormat="1" applyFont="1" applyBorder="1" applyAlignment="1" applyProtection="1">
      <alignment vertical="center" shrinkToFit="1"/>
      <protection locked="0"/>
    </xf>
    <xf numFmtId="179" fontId="5" fillId="2" borderId="30" xfId="0" applyNumberFormat="1" applyFont="1" applyFill="1" applyBorder="1" applyAlignment="1" applyProtection="1">
      <alignment vertical="center" shrinkToFit="1"/>
      <protection locked="0"/>
    </xf>
    <xf numFmtId="179" fontId="5" fillId="2" borderId="31" xfId="0" applyNumberFormat="1" applyFont="1" applyFill="1" applyBorder="1" applyAlignment="1" applyProtection="1">
      <alignment vertical="center" shrinkToFit="1"/>
      <protection locked="0"/>
    </xf>
    <xf numFmtId="6" fontId="15" fillId="2" borderId="40" xfId="0" applyNumberFormat="1" applyFont="1" applyFill="1" applyBorder="1" applyAlignment="1">
      <alignment horizontal="center" vertical="center" shrinkToFit="1"/>
    </xf>
    <xf numFmtId="0" fontId="17" fillId="2" borderId="22" xfId="0" applyFont="1" applyFill="1" applyBorder="1" applyAlignment="1">
      <alignment horizontal="center" vertical="center" shrinkToFit="1"/>
    </xf>
    <xf numFmtId="0" fontId="17" fillId="2" borderId="23" xfId="0" applyFont="1" applyFill="1" applyBorder="1" applyAlignment="1">
      <alignment horizontal="center" vertical="center" shrinkToFit="1"/>
    </xf>
    <xf numFmtId="179" fontId="14" fillId="2" borderId="22" xfId="0" applyNumberFormat="1" applyFont="1" applyFill="1" applyBorder="1" applyAlignment="1">
      <alignment horizontal="center" vertical="center" shrinkToFit="1"/>
    </xf>
    <xf numFmtId="179" fontId="14" fillId="0" borderId="41" xfId="0" applyNumberFormat="1" applyFont="1" applyBorder="1" applyAlignment="1">
      <alignment vertical="center" shrinkToFit="1"/>
    </xf>
    <xf numFmtId="178" fontId="14" fillId="2" borderId="30" xfId="0" applyNumberFormat="1" applyFont="1" applyFill="1" applyBorder="1" applyAlignment="1">
      <alignment horizontal="center" vertical="center" shrinkToFit="1"/>
    </xf>
    <xf numFmtId="0" fontId="10" fillId="0" borderId="45" xfId="0" applyFont="1" applyBorder="1" applyAlignment="1" applyProtection="1">
      <alignment horizontal="center" vertical="center" shrinkToFit="1"/>
      <protection locked="0"/>
    </xf>
    <xf numFmtId="179" fontId="5" fillId="0" borderId="45" xfId="0" applyNumberFormat="1" applyFont="1" applyBorder="1" applyAlignment="1" applyProtection="1">
      <alignment vertical="center" shrinkToFit="1"/>
      <protection locked="0"/>
    </xf>
    <xf numFmtId="179" fontId="18" fillId="0" borderId="45" xfId="0" applyNumberFormat="1" applyFont="1" applyBorder="1" applyAlignment="1" applyProtection="1">
      <alignment vertical="center" shrinkToFit="1"/>
      <protection locked="0"/>
    </xf>
    <xf numFmtId="6" fontId="15" fillId="0" borderId="45" xfId="0" applyNumberFormat="1" applyFont="1" applyBorder="1" applyAlignment="1" applyProtection="1">
      <alignment vertical="center" shrinkToFit="1"/>
      <protection locked="0"/>
    </xf>
    <xf numFmtId="6" fontId="15" fillId="0" borderId="45" xfId="0" applyNumberFormat="1" applyFont="1" applyBorder="1" applyAlignment="1" applyProtection="1">
      <alignment horizontal="center" vertical="center" shrinkToFit="1"/>
      <protection locked="0"/>
    </xf>
    <xf numFmtId="178" fontId="15" fillId="0" borderId="45" xfId="0" applyNumberFormat="1" applyFont="1" applyBorder="1" applyAlignment="1" applyProtection="1">
      <alignment horizontal="center" vertical="center" shrinkToFit="1"/>
      <protection locked="0"/>
    </xf>
    <xf numFmtId="179" fontId="5" fillId="0" borderId="48" xfId="0" applyNumberFormat="1" applyFont="1" applyBorder="1" applyAlignment="1" applyProtection="1">
      <alignment vertical="center" shrinkToFit="1"/>
      <protection locked="0"/>
    </xf>
    <xf numFmtId="179" fontId="5" fillId="2" borderId="45" xfId="0" applyNumberFormat="1" applyFont="1" applyFill="1" applyBorder="1" applyAlignment="1" applyProtection="1">
      <alignment vertical="center" shrinkToFit="1"/>
      <protection locked="0"/>
    </xf>
    <xf numFmtId="6" fontId="15" fillId="2" borderId="45" xfId="0" applyNumberFormat="1" applyFont="1" applyFill="1" applyBorder="1" applyAlignment="1" applyProtection="1">
      <alignment vertical="center" shrinkToFit="1"/>
      <protection locked="0"/>
    </xf>
    <xf numFmtId="0" fontId="5" fillId="0" borderId="24" xfId="0" applyFont="1" applyBorder="1" applyAlignment="1" applyProtection="1">
      <alignment horizontal="center" vertical="center" shrinkToFit="1"/>
      <protection locked="0"/>
    </xf>
    <xf numFmtId="179" fontId="5" fillId="2" borderId="21" xfId="0" applyNumberFormat="1" applyFont="1" applyFill="1" applyBorder="1" applyAlignment="1">
      <alignment horizontal="center" vertical="center" shrinkToFit="1"/>
    </xf>
    <xf numFmtId="179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horizontal="center" vertical="center" shrinkToFit="1"/>
    </xf>
    <xf numFmtId="178" fontId="5" fillId="2" borderId="21" xfId="0" applyNumberFormat="1" applyFont="1" applyFill="1" applyBorder="1" applyAlignment="1">
      <alignment horizontal="center" vertical="center" shrinkToFit="1"/>
    </xf>
    <xf numFmtId="6" fontId="19" fillId="2" borderId="50" xfId="0" applyNumberFormat="1" applyFont="1" applyFill="1" applyBorder="1" applyAlignment="1">
      <alignment horizontal="center" vertical="center" shrinkToFit="1"/>
    </xf>
    <xf numFmtId="0" fontId="6" fillId="0" borderId="0" xfId="0" applyFont="1" applyAlignment="1" applyProtection="1">
      <alignment horizontal="center" vertical="center" shrinkToFit="1"/>
      <protection locked="0"/>
    </xf>
    <xf numFmtId="176" fontId="6" fillId="0" borderId="0" xfId="0" applyNumberFormat="1" applyFont="1" applyAlignment="1" applyProtection="1">
      <alignment horizontal="center" vertical="center" shrinkToFit="1"/>
      <protection locked="0"/>
    </xf>
    <xf numFmtId="5" fontId="6" fillId="0" borderId="0" xfId="0" applyNumberFormat="1" applyFont="1" applyAlignment="1" applyProtection="1">
      <alignment vertical="center" shrinkToFit="1"/>
      <protection locked="0"/>
    </xf>
    <xf numFmtId="6" fontId="6" fillId="0" borderId="0" xfId="0" applyNumberFormat="1" applyFont="1" applyAlignment="1" applyProtection="1">
      <alignment vertical="center" shrinkToFit="1"/>
      <protection locked="0"/>
    </xf>
    <xf numFmtId="176" fontId="6" fillId="0" borderId="0" xfId="0" applyNumberFormat="1" applyFont="1" applyAlignment="1">
      <alignment horizontal="center" vertical="center" shrinkToFit="1"/>
    </xf>
    <xf numFmtId="5" fontId="6" fillId="0" borderId="0" xfId="0" applyNumberFormat="1" applyFont="1" applyAlignment="1">
      <alignment vertical="center" shrinkToFit="1"/>
    </xf>
    <xf numFmtId="6" fontId="6" fillId="0" borderId="0" xfId="0" applyNumberFormat="1" applyFont="1" applyAlignment="1">
      <alignment vertical="center" shrinkToFit="1"/>
    </xf>
    <xf numFmtId="0" fontId="20" fillId="0" borderId="0" xfId="0" applyFont="1"/>
    <xf numFmtId="178" fontId="5" fillId="0" borderId="37" xfId="0" applyNumberFormat="1" applyFont="1" applyBorder="1" applyAlignment="1">
      <alignment horizontal="center" vertical="center" shrinkToFit="1"/>
    </xf>
    <xf numFmtId="178" fontId="5" fillId="0" borderId="21" xfId="0" applyNumberFormat="1" applyFont="1" applyBorder="1" applyAlignment="1">
      <alignment horizontal="center" vertical="center" shrinkToFit="1"/>
    </xf>
    <xf numFmtId="0" fontId="5" fillId="0" borderId="52" xfId="0" applyFont="1" applyBorder="1" applyAlignment="1" applyProtection="1">
      <alignment horizontal="center" vertical="center" shrinkToFit="1"/>
      <protection locked="0"/>
    </xf>
    <xf numFmtId="6" fontId="15" fillId="2" borderId="55" xfId="0" applyNumberFormat="1" applyFont="1" applyFill="1" applyBorder="1" applyAlignment="1">
      <alignment vertical="center" shrinkToFit="1"/>
    </xf>
    <xf numFmtId="6" fontId="15" fillId="2" borderId="53" xfId="0" applyNumberFormat="1" applyFont="1" applyFill="1" applyBorder="1" applyAlignment="1">
      <alignment horizontal="center" vertical="center" shrinkToFit="1"/>
    </xf>
    <xf numFmtId="38" fontId="5" fillId="2" borderId="54" xfId="1" applyFont="1" applyFill="1" applyBorder="1" applyAlignment="1">
      <alignment vertical="center" shrinkToFit="1"/>
    </xf>
    <xf numFmtId="179" fontId="5" fillId="0" borderId="54" xfId="0" applyNumberFormat="1" applyFont="1" applyBorder="1" applyAlignment="1" applyProtection="1">
      <alignment vertical="center" shrinkToFit="1"/>
      <protection locked="0"/>
    </xf>
    <xf numFmtId="0" fontId="5" fillId="0" borderId="57" xfId="0" applyFont="1" applyBorder="1" applyAlignment="1" applyProtection="1">
      <alignment horizontal="center" vertical="center" shrinkToFit="1"/>
      <protection locked="0"/>
    </xf>
    <xf numFmtId="178" fontId="15" fillId="0" borderId="59" xfId="0" applyNumberFormat="1" applyFont="1" applyBorder="1" applyAlignment="1">
      <alignment horizontal="center" vertical="center" shrinkToFit="1"/>
    </xf>
    <xf numFmtId="6" fontId="5" fillId="2" borderId="61" xfId="0" applyNumberFormat="1" applyFont="1" applyFill="1" applyBorder="1" applyAlignment="1">
      <alignment vertical="center" shrinkToFit="1"/>
    </xf>
    <xf numFmtId="0" fontId="14" fillId="0" borderId="62" xfId="0" applyFont="1" applyBorder="1" applyAlignment="1" applyProtection="1">
      <alignment horizontal="center" vertical="center" shrinkToFit="1"/>
      <protection locked="0"/>
    </xf>
    <xf numFmtId="0" fontId="5" fillId="0" borderId="64" xfId="0" applyFont="1" applyBorder="1" applyAlignment="1" applyProtection="1">
      <alignment horizontal="center" vertical="center" shrinkToFit="1"/>
      <protection locked="0"/>
    </xf>
    <xf numFmtId="6" fontId="15" fillId="2" borderId="65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66" xfId="0" applyFont="1" applyBorder="1" applyAlignment="1" applyProtection="1">
      <alignment horizontal="center" vertical="center" shrinkToFit="1"/>
      <protection locked="0"/>
    </xf>
    <xf numFmtId="0" fontId="10" fillId="0" borderId="30" xfId="0" applyFont="1" applyBorder="1" applyAlignment="1" applyProtection="1">
      <alignment horizontal="center" vertical="center" shrinkToFit="1"/>
      <protection locked="0"/>
    </xf>
    <xf numFmtId="6" fontId="15" fillId="2" borderId="30" xfId="0" applyNumberFormat="1" applyFont="1" applyFill="1" applyBorder="1" applyAlignment="1">
      <alignment horizontal="center" vertical="center" shrinkToFit="1"/>
    </xf>
    <xf numFmtId="178" fontId="15" fillId="2" borderId="30" xfId="0" applyNumberFormat="1" applyFont="1" applyFill="1" applyBorder="1" applyAlignment="1">
      <alignment horizontal="center" vertical="center" shrinkToFit="1"/>
    </xf>
    <xf numFmtId="6" fontId="15" fillId="2" borderId="63" xfId="0" applyNumberFormat="1" applyFont="1" applyFill="1" applyBorder="1" applyAlignment="1">
      <alignment horizontal="center" vertical="center" shrinkToFit="1"/>
    </xf>
    <xf numFmtId="0" fontId="5" fillId="0" borderId="67" xfId="0" applyFont="1" applyBorder="1" applyAlignment="1" applyProtection="1">
      <alignment horizontal="center" vertical="center" shrinkToFit="1"/>
      <protection locked="0"/>
    </xf>
    <xf numFmtId="5" fontId="14" fillId="0" borderId="68" xfId="0" applyNumberFormat="1" applyFont="1" applyBorder="1" applyAlignment="1" applyProtection="1">
      <alignment horizontal="center" vertical="center" shrinkToFit="1"/>
      <protection locked="0"/>
    </xf>
    <xf numFmtId="5" fontId="14" fillId="0" borderId="69" xfId="0" applyNumberFormat="1" applyFont="1" applyBorder="1" applyAlignment="1" applyProtection="1">
      <alignment horizontal="center" vertical="center" shrinkToFit="1"/>
      <protection locked="0"/>
    </xf>
    <xf numFmtId="179" fontId="14" fillId="0" borderId="68" xfId="0" applyNumberFormat="1" applyFont="1" applyBorder="1" applyAlignment="1" applyProtection="1">
      <alignment horizontal="center" vertical="center" shrinkToFit="1"/>
      <protection locked="0"/>
    </xf>
    <xf numFmtId="179" fontId="16" fillId="0" borderId="68" xfId="0" applyNumberFormat="1" applyFont="1" applyBorder="1" applyAlignment="1" applyProtection="1">
      <alignment vertical="center" shrinkToFit="1"/>
      <protection locked="0"/>
    </xf>
    <xf numFmtId="6" fontId="16" fillId="0" borderId="68" xfId="0" applyNumberFormat="1" applyFont="1" applyBorder="1" applyAlignment="1">
      <alignment vertical="center" shrinkToFit="1"/>
    </xf>
    <xf numFmtId="6" fontId="16" fillId="0" borderId="68" xfId="0" applyNumberFormat="1" applyFont="1" applyBorder="1" applyAlignment="1">
      <alignment horizontal="center" vertical="center" shrinkToFit="1"/>
    </xf>
    <xf numFmtId="6" fontId="16" fillId="0" borderId="71" xfId="0" applyNumberFormat="1" applyFont="1" applyBorder="1" applyAlignment="1">
      <alignment horizontal="center" vertical="center" shrinkToFit="1"/>
    </xf>
    <xf numFmtId="0" fontId="5" fillId="0" borderId="72" xfId="0" applyFont="1" applyBorder="1" applyAlignment="1" applyProtection="1">
      <alignment horizontal="center" vertical="center" wrapText="1" shrinkToFit="1"/>
      <protection locked="0"/>
    </xf>
    <xf numFmtId="0" fontId="5" fillId="0" borderId="73" xfId="0" applyFont="1" applyBorder="1" applyAlignment="1" applyProtection="1">
      <alignment horizontal="center" vertical="center" shrinkToFit="1"/>
      <protection locked="0"/>
    </xf>
    <xf numFmtId="0" fontId="5" fillId="0" borderId="37" xfId="0" applyFont="1" applyBorder="1" applyAlignment="1" applyProtection="1">
      <alignment horizontal="center" vertical="center" shrinkToFit="1"/>
      <protection locked="0"/>
    </xf>
    <xf numFmtId="0" fontId="5" fillId="0" borderId="55" xfId="0" applyFont="1" applyBorder="1" applyAlignment="1" applyProtection="1">
      <alignment horizontal="center" vertical="center" shrinkToFit="1"/>
      <protection locked="0"/>
    </xf>
    <xf numFmtId="179" fontId="5" fillId="0" borderId="25" xfId="0" applyNumberFormat="1" applyFont="1" applyBorder="1" applyAlignment="1" applyProtection="1">
      <alignment vertical="center" shrinkToFit="1"/>
      <protection locked="0"/>
    </xf>
    <xf numFmtId="179" fontId="5" fillId="0" borderId="21" xfId="0" applyNumberFormat="1" applyFont="1" applyBorder="1" applyAlignment="1" applyProtection="1">
      <alignment vertical="center" shrinkToFit="1"/>
      <protection locked="0"/>
    </xf>
    <xf numFmtId="179" fontId="5" fillId="0" borderId="77" xfId="0" applyNumberFormat="1" applyFont="1" applyBorder="1" applyAlignment="1" applyProtection="1">
      <alignment vertical="center" shrinkToFit="1"/>
      <protection locked="0"/>
    </xf>
    <xf numFmtId="0" fontId="5" fillId="0" borderId="21" xfId="0" applyFont="1" applyBorder="1" applyAlignment="1">
      <alignment horizontal="center" vertical="center" shrinkToFit="1"/>
    </xf>
    <xf numFmtId="0" fontId="5" fillId="0" borderId="78" xfId="0" applyFont="1" applyBorder="1" applyAlignment="1" applyProtection="1">
      <alignment horizontal="center" vertical="center" shrinkToFit="1"/>
      <protection locked="0"/>
    </xf>
    <xf numFmtId="0" fontId="10" fillId="0" borderId="79" xfId="0" applyFont="1" applyBorder="1" applyAlignment="1" applyProtection="1">
      <alignment horizontal="center" vertical="center" shrinkToFit="1"/>
      <protection locked="0"/>
    </xf>
    <xf numFmtId="179" fontId="5" fillId="0" borderId="79" xfId="0" applyNumberFormat="1" applyFont="1" applyBorder="1" applyAlignment="1" applyProtection="1">
      <alignment vertical="center" shrinkToFit="1"/>
      <protection locked="0"/>
    </xf>
    <xf numFmtId="179" fontId="18" fillId="0" borderId="79" xfId="0" applyNumberFormat="1" applyFont="1" applyBorder="1" applyAlignment="1" applyProtection="1">
      <alignment vertical="center" shrinkToFit="1"/>
      <protection locked="0"/>
    </xf>
    <xf numFmtId="6" fontId="15" fillId="0" borderId="79" xfId="0" applyNumberFormat="1" applyFont="1" applyBorder="1" applyAlignment="1" applyProtection="1">
      <alignment vertical="center" shrinkToFit="1"/>
      <protection locked="0"/>
    </xf>
    <xf numFmtId="6" fontId="15" fillId="0" borderId="79" xfId="0" applyNumberFormat="1" applyFont="1" applyBorder="1" applyAlignment="1" applyProtection="1">
      <alignment horizontal="center" vertical="center" shrinkToFit="1"/>
      <protection locked="0"/>
    </xf>
    <xf numFmtId="178" fontId="15" fillId="0" borderId="79" xfId="0" applyNumberFormat="1" applyFont="1" applyBorder="1" applyAlignment="1" applyProtection="1">
      <alignment horizontal="center" vertical="center" shrinkToFit="1"/>
      <protection locked="0"/>
    </xf>
    <xf numFmtId="6" fontId="15" fillId="0" borderId="56" xfId="0" applyNumberFormat="1" applyFont="1" applyBorder="1" applyAlignment="1" applyProtection="1">
      <alignment horizontal="center" vertical="center" shrinkToFit="1"/>
      <protection locked="0"/>
    </xf>
    <xf numFmtId="0" fontId="5" fillId="0" borderId="77" xfId="0" applyFont="1" applyBorder="1" applyAlignment="1" applyProtection="1">
      <alignment horizontal="center" vertical="center" shrinkToFit="1"/>
      <protection locked="0"/>
    </xf>
    <xf numFmtId="0" fontId="10" fillId="0" borderId="77" xfId="0" applyFont="1" applyBorder="1" applyAlignment="1" applyProtection="1">
      <alignment horizontal="center" vertical="center" shrinkToFit="1"/>
      <protection locked="0"/>
    </xf>
    <xf numFmtId="179" fontId="18" fillId="0" borderId="77" xfId="0" applyNumberFormat="1" applyFont="1" applyBorder="1" applyAlignment="1" applyProtection="1">
      <alignment vertical="center" shrinkToFit="1"/>
      <protection locked="0"/>
    </xf>
    <xf numFmtId="6" fontId="15" fillId="0" borderId="77" xfId="0" applyNumberFormat="1" applyFont="1" applyBorder="1" applyAlignment="1" applyProtection="1">
      <alignment vertical="center" shrinkToFit="1"/>
      <protection locked="0"/>
    </xf>
    <xf numFmtId="6" fontId="15" fillId="0" borderId="77" xfId="0" applyNumberFormat="1" applyFont="1" applyBorder="1" applyAlignment="1" applyProtection="1">
      <alignment horizontal="center" vertical="center" shrinkToFit="1"/>
      <protection locked="0"/>
    </xf>
    <xf numFmtId="178" fontId="15" fillId="0" borderId="77" xfId="0" applyNumberFormat="1" applyFont="1" applyBorder="1" applyAlignment="1" applyProtection="1">
      <alignment horizontal="center" vertical="center" shrinkToFit="1"/>
      <protection locked="0"/>
    </xf>
    <xf numFmtId="49" fontId="5" fillId="0" borderId="34" xfId="0" applyNumberFormat="1" applyFont="1" applyBorder="1" applyAlignment="1" applyProtection="1">
      <alignment horizontal="center" vertical="center" shrinkToFit="1"/>
      <protection locked="0"/>
    </xf>
    <xf numFmtId="49" fontId="5" fillId="0" borderId="53" xfId="0" applyNumberFormat="1" applyFont="1" applyBorder="1" applyAlignment="1" applyProtection="1">
      <alignment horizontal="center" vertical="center" shrinkToFit="1"/>
      <protection locked="0"/>
    </xf>
    <xf numFmtId="49" fontId="5" fillId="0" borderId="38" xfId="0" applyNumberFormat="1" applyFont="1" applyBorder="1" applyAlignment="1" applyProtection="1">
      <alignment horizontal="center" vertical="center" shrinkToFit="1"/>
      <protection locked="0"/>
    </xf>
    <xf numFmtId="6" fontId="14" fillId="2" borderId="81" xfId="0" applyNumberFormat="1" applyFont="1" applyFill="1" applyBorder="1" applyAlignment="1">
      <alignment horizontal="center" vertical="center" shrinkToFit="1"/>
    </xf>
    <xf numFmtId="6" fontId="5" fillId="2" borderId="80" xfId="0" applyNumberFormat="1" applyFont="1" applyFill="1" applyBorder="1" applyAlignment="1">
      <alignment vertical="center" shrinkToFit="1"/>
    </xf>
    <xf numFmtId="6" fontId="15" fillId="2" borderId="26" xfId="0" applyNumberFormat="1" applyFont="1" applyFill="1" applyBorder="1" applyAlignment="1">
      <alignment vertical="center" shrinkToFit="1"/>
    </xf>
    <xf numFmtId="6" fontId="15" fillId="2" borderId="27" xfId="0" applyNumberFormat="1" applyFont="1" applyFill="1" applyBorder="1" applyAlignment="1">
      <alignment horizontal="center" vertical="center" shrinkToFit="1"/>
    </xf>
    <xf numFmtId="178" fontId="7" fillId="3" borderId="82" xfId="0" applyNumberFormat="1" applyFont="1" applyFill="1" applyBorder="1" applyAlignment="1" applyProtection="1">
      <alignment vertical="center" shrinkToFit="1"/>
      <protection locked="0"/>
    </xf>
    <xf numFmtId="179" fontId="5" fillId="2" borderId="8" xfId="0" applyNumberFormat="1" applyFont="1" applyFill="1" applyBorder="1" applyAlignment="1" applyProtection="1">
      <alignment vertical="center" shrinkToFit="1"/>
      <protection locked="0"/>
    </xf>
    <xf numFmtId="179" fontId="5" fillId="0" borderId="35" xfId="0" applyNumberFormat="1" applyFont="1" applyBorder="1" applyAlignment="1" applyProtection="1">
      <alignment vertical="center" shrinkToFit="1"/>
      <protection locked="0"/>
    </xf>
    <xf numFmtId="6" fontId="15" fillId="2" borderId="60" xfId="0" applyNumberFormat="1" applyFont="1" applyFill="1" applyBorder="1" applyAlignment="1">
      <alignment vertical="center" shrinkToFit="1"/>
    </xf>
    <xf numFmtId="6" fontId="15" fillId="2" borderId="34" xfId="0" applyNumberFormat="1" applyFont="1" applyFill="1" applyBorder="1" applyAlignment="1">
      <alignment horizontal="center" vertical="center" shrinkToFit="1"/>
    </xf>
    <xf numFmtId="178" fontId="15" fillId="0" borderId="83" xfId="0" applyNumberFormat="1" applyFont="1" applyBorder="1" applyAlignment="1">
      <alignment horizontal="center" vertical="center" shrinkToFit="1"/>
    </xf>
    <xf numFmtId="38" fontId="5" fillId="2" borderId="35" xfId="1" applyFont="1" applyFill="1" applyBorder="1" applyAlignment="1">
      <alignment vertical="center" shrinkToFit="1"/>
    </xf>
    <xf numFmtId="5" fontId="5" fillId="0" borderId="84" xfId="0" applyNumberFormat="1" applyFont="1" applyBorder="1" applyAlignment="1" applyProtection="1">
      <alignment horizontal="center" vertical="center" shrinkToFit="1"/>
      <protection locked="0"/>
    </xf>
    <xf numFmtId="5" fontId="5" fillId="0" borderId="85" xfId="0" applyNumberFormat="1" applyFont="1" applyBorder="1" applyAlignment="1" applyProtection="1">
      <alignment horizontal="center" vertical="center" shrinkToFit="1"/>
      <protection locked="0"/>
    </xf>
    <xf numFmtId="0" fontId="5" fillId="0" borderId="87" xfId="0" applyFont="1" applyBorder="1" applyAlignment="1" applyProtection="1">
      <alignment horizontal="center" vertical="center" shrinkToFit="1"/>
      <protection locked="0"/>
    </xf>
    <xf numFmtId="0" fontId="5" fillId="0" borderId="88" xfId="0" applyFont="1" applyBorder="1" applyAlignment="1" applyProtection="1">
      <alignment horizontal="center" vertical="center" shrinkToFit="1"/>
      <protection locked="0"/>
    </xf>
    <xf numFmtId="0" fontId="5" fillId="0" borderId="89" xfId="0" applyFont="1" applyBorder="1" applyAlignment="1" applyProtection="1">
      <alignment horizontal="center" vertical="center" shrinkToFit="1"/>
      <protection locked="0"/>
    </xf>
    <xf numFmtId="179" fontId="5" fillId="0" borderId="34" xfId="0" applyNumberFormat="1" applyFont="1" applyBorder="1" applyAlignment="1" applyProtection="1">
      <alignment vertical="center" shrinkToFit="1"/>
      <protection locked="0"/>
    </xf>
    <xf numFmtId="179" fontId="5" fillId="0" borderId="53" xfId="0" applyNumberFormat="1" applyFont="1" applyBorder="1" applyAlignment="1" applyProtection="1">
      <alignment vertical="center" shrinkToFit="1"/>
      <protection locked="0"/>
    </xf>
    <xf numFmtId="179" fontId="5" fillId="2" borderId="89" xfId="0" applyNumberFormat="1" applyFont="1" applyFill="1" applyBorder="1" applyAlignment="1" applyProtection="1">
      <alignment vertical="center" shrinkToFit="1"/>
      <protection locked="0"/>
    </xf>
    <xf numFmtId="179" fontId="5" fillId="2" borderId="55" xfId="0" applyNumberFormat="1" applyFont="1" applyFill="1" applyBorder="1" applyAlignment="1" applyProtection="1">
      <alignment vertical="center" shrinkToFit="1"/>
      <protection locked="0"/>
    </xf>
    <xf numFmtId="178" fontId="15" fillId="2" borderId="90" xfId="0" applyNumberFormat="1" applyFont="1" applyFill="1" applyBorder="1" applyAlignment="1">
      <alignment horizontal="center" vertical="center" shrinkToFit="1"/>
    </xf>
    <xf numFmtId="178" fontId="15" fillId="2" borderId="91" xfId="0" applyNumberFormat="1" applyFont="1" applyFill="1" applyBorder="1" applyAlignment="1">
      <alignment horizontal="center" vertical="center" shrinkToFit="1"/>
    </xf>
    <xf numFmtId="179" fontId="14" fillId="2" borderId="29" xfId="0" applyNumberFormat="1" applyFont="1" applyFill="1" applyBorder="1" applyAlignment="1">
      <alignment vertical="center" shrinkToFit="1"/>
    </xf>
    <xf numFmtId="6" fontId="14" fillId="2" borderId="29" xfId="0" applyNumberFormat="1" applyFont="1" applyFill="1" applyBorder="1" applyAlignment="1">
      <alignment vertical="center" shrinkToFit="1"/>
    </xf>
    <xf numFmtId="6" fontId="14" fillId="2" borderId="29" xfId="0" applyNumberFormat="1" applyFont="1" applyFill="1" applyBorder="1" applyAlignment="1">
      <alignment horizontal="center" vertical="center" shrinkToFit="1"/>
    </xf>
    <xf numFmtId="6" fontId="15" fillId="2" borderId="55" xfId="0" applyNumberFormat="1" applyFont="1" applyFill="1" applyBorder="1" applyAlignment="1">
      <alignment horizontal="center" vertical="center" shrinkToFit="1"/>
    </xf>
    <xf numFmtId="176" fontId="14" fillId="0" borderId="60" xfId="0" applyNumberFormat="1" applyFont="1" applyBorder="1" applyAlignment="1" applyProtection="1">
      <alignment horizontal="center" vertical="center" shrinkToFit="1"/>
      <protection locked="0"/>
    </xf>
    <xf numFmtId="176" fontId="14" fillId="0" borderId="55" xfId="0" applyNumberFormat="1" applyFont="1" applyBorder="1" applyAlignment="1" applyProtection="1">
      <alignment horizontal="center" vertical="center" shrinkToFit="1"/>
      <protection locked="0"/>
    </xf>
    <xf numFmtId="176" fontId="14" fillId="0" borderId="37" xfId="0" applyNumberFormat="1" applyFont="1" applyBorder="1" applyAlignment="1" applyProtection="1">
      <alignment horizontal="center" vertical="center" shrinkToFit="1"/>
      <protection locked="0"/>
    </xf>
    <xf numFmtId="176" fontId="14" fillId="0" borderId="21" xfId="0" applyNumberFormat="1" applyFont="1" applyBorder="1" applyAlignment="1" applyProtection="1">
      <alignment horizontal="center" vertical="center" shrinkToFit="1"/>
      <protection locked="0"/>
    </xf>
    <xf numFmtId="179" fontId="5" fillId="2" borderId="94" xfId="0" applyNumberFormat="1" applyFont="1" applyFill="1" applyBorder="1" applyAlignment="1" applyProtection="1">
      <alignment vertical="center" shrinkToFit="1"/>
      <protection locked="0"/>
    </xf>
    <xf numFmtId="6" fontId="15" fillId="2" borderId="94" xfId="0" applyNumberFormat="1" applyFont="1" applyFill="1" applyBorder="1" applyAlignment="1">
      <alignment vertical="center" shrinkToFit="1"/>
    </xf>
    <xf numFmtId="6" fontId="15" fillId="2" borderId="93" xfId="0" applyNumberFormat="1" applyFont="1" applyFill="1" applyBorder="1" applyAlignment="1">
      <alignment horizontal="center" vertical="center" shrinkToFit="1"/>
    </xf>
    <xf numFmtId="178" fontId="15" fillId="0" borderId="93" xfId="0" applyNumberFormat="1" applyFont="1" applyBorder="1" applyAlignment="1">
      <alignment horizontal="center" vertical="center" shrinkToFit="1"/>
    </xf>
    <xf numFmtId="6" fontId="5" fillId="2" borderId="95" xfId="0" applyNumberFormat="1" applyFont="1" applyFill="1" applyBorder="1" applyAlignment="1">
      <alignment vertical="center" shrinkToFit="1"/>
    </xf>
    <xf numFmtId="5" fontId="5" fillId="0" borderId="96" xfId="0" applyNumberFormat="1" applyFont="1" applyBorder="1" applyAlignment="1">
      <alignment horizontal="center" vertical="center" shrinkToFit="1"/>
    </xf>
    <xf numFmtId="5" fontId="5" fillId="0" borderId="97" xfId="0" applyNumberFormat="1" applyFont="1" applyBorder="1" applyAlignment="1">
      <alignment vertical="center" shrinkToFit="1"/>
    </xf>
    <xf numFmtId="5" fontId="5" fillId="0" borderId="98" xfId="0" applyNumberFormat="1" applyFont="1" applyBorder="1" applyAlignment="1">
      <alignment horizontal="center" vertical="center" shrinkToFit="1"/>
    </xf>
    <xf numFmtId="176" fontId="5" fillId="0" borderId="99" xfId="0" applyNumberFormat="1" applyFont="1" applyBorder="1" applyAlignment="1" applyProtection="1">
      <alignment horizontal="center" vertical="center" shrinkToFit="1"/>
      <protection locked="0"/>
    </xf>
    <xf numFmtId="179" fontId="5" fillId="2" borderId="99" xfId="0" applyNumberFormat="1" applyFont="1" applyFill="1" applyBorder="1" applyAlignment="1" applyProtection="1">
      <alignment vertical="center" shrinkToFit="1"/>
      <protection locked="0"/>
    </xf>
    <xf numFmtId="6" fontId="15" fillId="2" borderId="99" xfId="0" applyNumberFormat="1" applyFont="1" applyFill="1" applyBorder="1" applyAlignment="1">
      <alignment vertical="center" shrinkToFit="1"/>
    </xf>
    <xf numFmtId="6" fontId="15" fillId="2" borderId="96" xfId="0" applyNumberFormat="1" applyFont="1" applyFill="1" applyBorder="1" applyAlignment="1">
      <alignment horizontal="center" vertical="center" shrinkToFit="1"/>
    </xf>
    <xf numFmtId="178" fontId="15" fillId="0" borderId="96" xfId="0" applyNumberFormat="1" applyFont="1" applyBorder="1" applyAlignment="1">
      <alignment horizontal="center" vertical="center" shrinkToFit="1"/>
    </xf>
    <xf numFmtId="6" fontId="5" fillId="2" borderId="92" xfId="0" applyNumberFormat="1" applyFont="1" applyFill="1" applyBorder="1" applyAlignment="1">
      <alignment vertical="center" shrinkToFit="1"/>
    </xf>
    <xf numFmtId="179" fontId="5" fillId="2" borderId="31" xfId="0" applyNumberFormat="1" applyFont="1" applyFill="1" applyBorder="1" applyAlignment="1" applyProtection="1">
      <alignment horizontal="center" vertical="center" shrinkToFit="1"/>
      <protection locked="0"/>
    </xf>
    <xf numFmtId="179" fontId="5" fillId="2" borderId="29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102" xfId="0" applyFont="1" applyBorder="1" applyAlignment="1" applyProtection="1">
      <alignment horizontal="center" vertical="center" shrinkToFit="1"/>
      <protection locked="0"/>
    </xf>
    <xf numFmtId="0" fontId="5" fillId="0" borderId="103" xfId="0" applyFont="1" applyBorder="1" applyAlignment="1">
      <alignment horizontal="center" vertical="center" shrinkToFit="1"/>
    </xf>
    <xf numFmtId="0" fontId="5" fillId="0" borderId="104" xfId="0" applyFont="1" applyBorder="1" applyAlignment="1">
      <alignment vertical="center" shrinkToFit="1"/>
    </xf>
    <xf numFmtId="5" fontId="5" fillId="0" borderId="102" xfId="0" applyNumberFormat="1" applyFont="1" applyBorder="1" applyAlignment="1" applyProtection="1">
      <alignment horizontal="center" vertical="center" shrinkToFit="1"/>
      <protection locked="0"/>
    </xf>
    <xf numFmtId="179" fontId="5" fillId="2" borderId="102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43" xfId="0" applyFont="1" applyBorder="1" applyAlignment="1" applyProtection="1">
      <alignment horizontal="center" vertical="center" shrinkToFit="1"/>
      <protection locked="0"/>
    </xf>
    <xf numFmtId="0" fontId="8" fillId="0" borderId="67" xfId="0" applyFont="1" applyBorder="1" applyAlignment="1" applyProtection="1">
      <alignment horizontal="center" vertical="center" shrinkToFit="1"/>
      <protection locked="0"/>
    </xf>
    <xf numFmtId="0" fontId="8" fillId="0" borderId="74" xfId="0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left" vertical="center" shrinkToFit="1"/>
    </xf>
    <xf numFmtId="180" fontId="14" fillId="2" borderId="31" xfId="0" applyNumberFormat="1" applyFont="1" applyFill="1" applyBorder="1" applyAlignment="1">
      <alignment horizontal="center" vertical="center" shrinkToFit="1"/>
    </xf>
    <xf numFmtId="180" fontId="14" fillId="2" borderId="32" xfId="0" applyNumberFormat="1" applyFont="1" applyFill="1" applyBorder="1" applyAlignment="1">
      <alignment horizontal="center" vertical="center" shrinkToFit="1"/>
    </xf>
    <xf numFmtId="0" fontId="10" fillId="0" borderId="46" xfId="0" applyFont="1" applyBorder="1" applyAlignment="1" applyProtection="1">
      <alignment horizontal="center" vertical="center" shrinkToFit="1"/>
      <protection locked="0"/>
    </xf>
    <xf numFmtId="0" fontId="10" fillId="0" borderId="47" xfId="0" applyFont="1" applyBorder="1" applyAlignment="1" applyProtection="1">
      <alignment horizontal="center" vertical="center" shrinkToFit="1"/>
      <protection locked="0"/>
    </xf>
    <xf numFmtId="176" fontId="5" fillId="0" borderId="96" xfId="0" applyNumberFormat="1" applyFont="1" applyBorder="1" applyAlignment="1" applyProtection="1">
      <alignment horizontal="center" vertical="center" shrinkToFit="1"/>
      <protection locked="0"/>
    </xf>
    <xf numFmtId="176" fontId="5" fillId="0" borderId="97" xfId="0" applyNumberFormat="1" applyFont="1" applyBorder="1" applyAlignment="1" applyProtection="1">
      <alignment horizontal="center"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horizontal="center" vertical="center" shrinkToFit="1"/>
    </xf>
    <xf numFmtId="179" fontId="5" fillId="2" borderId="49" xfId="0" applyNumberFormat="1" applyFont="1" applyFill="1" applyBorder="1" applyAlignment="1">
      <alignment horizontal="center" vertical="center" shrinkToFit="1"/>
    </xf>
    <xf numFmtId="179" fontId="5" fillId="2" borderId="25" xfId="0" applyNumberFormat="1" applyFont="1" applyFill="1" applyBorder="1" applyAlignment="1">
      <alignment horizontal="center" vertical="center" shrinkToFit="1"/>
    </xf>
    <xf numFmtId="5" fontId="5" fillId="2" borderId="105" xfId="0" applyNumberFormat="1" applyFont="1" applyFill="1" applyBorder="1" applyAlignment="1">
      <alignment horizontal="center" vertical="center" shrinkToFit="1"/>
    </xf>
    <xf numFmtId="0" fontId="5" fillId="2" borderId="104" xfId="0" applyFont="1" applyFill="1" applyBorder="1" applyAlignment="1">
      <alignment vertical="center" shrinkToFit="1"/>
    </xf>
    <xf numFmtId="5" fontId="5" fillId="2" borderId="103" xfId="0" applyNumberFormat="1" applyFont="1" applyFill="1" applyBorder="1" applyAlignment="1">
      <alignment horizontal="center" vertical="center" shrinkToFit="1"/>
    </xf>
    <xf numFmtId="176" fontId="5" fillId="0" borderId="38" xfId="0" applyNumberFormat="1" applyFont="1" applyBorder="1" applyAlignment="1" applyProtection="1">
      <alignment horizontal="center" vertical="center" shrinkToFit="1"/>
      <protection locked="0"/>
    </xf>
    <xf numFmtId="176" fontId="5" fillId="0" borderId="36" xfId="0" applyNumberFormat="1" applyFont="1" applyBorder="1" applyAlignment="1" applyProtection="1">
      <alignment horizontal="center" vertical="center" shrinkToFit="1"/>
      <protection locked="0"/>
    </xf>
    <xf numFmtId="176" fontId="5" fillId="0" borderId="53" xfId="0" applyNumberFormat="1" applyFont="1" applyBorder="1" applyAlignment="1" applyProtection="1">
      <alignment horizontal="center" vertical="center" shrinkToFit="1"/>
      <protection locked="0"/>
    </xf>
    <xf numFmtId="176" fontId="5" fillId="0" borderId="54" xfId="0" applyNumberFormat="1" applyFont="1" applyBorder="1" applyAlignment="1" applyProtection="1">
      <alignment horizontal="center" vertical="center" shrinkToFit="1"/>
      <protection locked="0"/>
    </xf>
    <xf numFmtId="0" fontId="10" fillId="0" borderId="75" xfId="0" applyFont="1" applyBorder="1" applyAlignment="1" applyProtection="1">
      <alignment horizontal="center" vertical="center" shrinkToFit="1"/>
      <protection locked="0"/>
    </xf>
    <xf numFmtId="0" fontId="10" fillId="0" borderId="76" xfId="0" applyFont="1" applyBorder="1" applyAlignment="1" applyProtection="1">
      <alignment horizontal="center" vertical="center" shrinkToFit="1"/>
      <protection locked="0"/>
    </xf>
    <xf numFmtId="5" fontId="5" fillId="2" borderId="100" xfId="0" applyNumberFormat="1" applyFont="1" applyFill="1" applyBorder="1" applyAlignment="1">
      <alignment horizontal="center" vertical="center" shrinkToFit="1"/>
    </xf>
    <xf numFmtId="0" fontId="5" fillId="2" borderId="101" xfId="0" applyFont="1" applyFill="1" applyBorder="1" applyAlignment="1">
      <alignment vertical="center" shrinkToFit="1"/>
    </xf>
    <xf numFmtId="0" fontId="5" fillId="0" borderId="42" xfId="0" applyFont="1" applyBorder="1" applyAlignment="1" applyProtection="1">
      <alignment horizontal="center" vertical="center" shrinkToFit="1"/>
      <protection locked="0"/>
    </xf>
    <xf numFmtId="0" fontId="5" fillId="0" borderId="43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center" vertical="center" shrinkToFit="1"/>
      <protection locked="0"/>
    </xf>
    <xf numFmtId="0" fontId="5" fillId="0" borderId="44" xfId="0" applyFont="1" applyBorder="1" applyAlignment="1" applyProtection="1">
      <alignment horizontal="center" vertical="center" shrinkToFit="1"/>
      <protection locked="0"/>
    </xf>
    <xf numFmtId="5" fontId="14" fillId="0" borderId="69" xfId="0" applyNumberFormat="1" applyFont="1" applyBorder="1" applyAlignment="1" applyProtection="1">
      <alignment horizontal="center" vertical="center" shrinkToFit="1"/>
      <protection locked="0"/>
    </xf>
    <xf numFmtId="5" fontId="14" fillId="0" borderId="70" xfId="0" applyNumberFormat="1" applyFont="1" applyBorder="1" applyAlignment="1" applyProtection="1">
      <alignment horizontal="center" vertical="center" shrinkToFit="1"/>
      <protection locked="0"/>
    </xf>
    <xf numFmtId="5" fontId="5" fillId="2" borderId="14" xfId="0" applyNumberFormat="1" applyFont="1" applyFill="1" applyBorder="1" applyAlignment="1" applyProtection="1">
      <alignment horizontal="center" vertical="center" shrinkToFit="1"/>
      <protection locked="0"/>
    </xf>
    <xf numFmtId="5" fontId="5" fillId="2" borderId="32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14" xfId="0" applyNumberFormat="1" applyFont="1" applyFill="1" applyBorder="1" applyAlignment="1">
      <alignment horizontal="center" vertical="center" shrinkToFit="1"/>
    </xf>
    <xf numFmtId="6" fontId="5" fillId="2" borderId="32" xfId="0" applyNumberFormat="1" applyFont="1" applyFill="1" applyBorder="1" applyAlignment="1">
      <alignment horizontal="center" vertical="center" shrinkToFit="1"/>
    </xf>
    <xf numFmtId="0" fontId="13" fillId="2" borderId="23" xfId="0" applyFont="1" applyFill="1" applyBorder="1" applyAlignment="1">
      <alignment horizontal="center" vertical="center" wrapText="1" shrinkToFit="1"/>
    </xf>
    <xf numFmtId="0" fontId="5" fillId="2" borderId="31" xfId="0" applyFont="1" applyFill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wrapText="1" shrinkToFit="1"/>
    </xf>
    <xf numFmtId="0" fontId="5" fillId="0" borderId="29" xfId="0" applyFont="1" applyBorder="1" applyAlignment="1">
      <alignment horizontal="center" vertical="center" wrapText="1" shrinkToFit="1"/>
    </xf>
    <xf numFmtId="0" fontId="10" fillId="0" borderId="26" xfId="0" applyFont="1" applyBorder="1" applyAlignment="1">
      <alignment horizontal="center" vertical="center" wrapText="1" shrinkToFit="1"/>
    </xf>
    <xf numFmtId="0" fontId="10" fillId="0" borderId="30" xfId="0" applyFont="1" applyBorder="1" applyAlignment="1">
      <alignment horizontal="center" vertical="center" wrapText="1" shrinkToFit="1"/>
    </xf>
    <xf numFmtId="0" fontId="10" fillId="0" borderId="27" xfId="0" applyFont="1" applyBorder="1" applyAlignment="1">
      <alignment horizontal="center" vertical="center" wrapText="1" shrinkToFit="1"/>
    </xf>
    <xf numFmtId="0" fontId="10" fillId="0" borderId="31" xfId="0" applyFont="1" applyBorder="1" applyAlignment="1">
      <alignment horizontal="center" vertical="center" wrapText="1" shrinkToFit="1"/>
    </xf>
    <xf numFmtId="176" fontId="5" fillId="0" borderId="27" xfId="0" applyNumberFormat="1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5" fillId="0" borderId="31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5" fontId="8" fillId="0" borderId="23" xfId="0" applyNumberFormat="1" applyFont="1" applyBorder="1" applyAlignment="1" applyProtection="1">
      <alignment horizontal="center" vertical="center" shrinkToFit="1"/>
      <protection locked="0"/>
    </xf>
    <xf numFmtId="5" fontId="8" fillId="0" borderId="0" xfId="0" applyNumberFormat="1" applyFont="1" applyAlignment="1" applyProtection="1">
      <alignment horizontal="center" vertical="center" shrinkToFit="1"/>
      <protection locked="0"/>
    </xf>
    <xf numFmtId="0" fontId="5" fillId="2" borderId="58" xfId="0" applyFont="1" applyFill="1" applyBorder="1" applyAlignment="1">
      <alignment horizontal="center" vertical="center" shrinkToFit="1"/>
    </xf>
    <xf numFmtId="0" fontId="5" fillId="2" borderId="86" xfId="0" applyFont="1" applyFill="1" applyBorder="1" applyAlignment="1">
      <alignment horizontal="center" vertical="center" shrinkToFit="1"/>
    </xf>
    <xf numFmtId="0" fontId="5" fillId="2" borderId="14" xfId="0" applyFont="1" applyFill="1" applyBorder="1" applyAlignment="1">
      <alignment horizontal="center" vertical="center" wrapText="1" shrinkToFit="1"/>
    </xf>
    <xf numFmtId="0" fontId="5" fillId="2" borderId="32" xfId="0" applyFont="1" applyFill="1" applyBorder="1" applyAlignment="1">
      <alignment horizontal="center" vertical="center" wrapText="1" shrinkToFit="1"/>
    </xf>
    <xf numFmtId="176" fontId="5" fillId="0" borderId="34" xfId="0" applyNumberFormat="1" applyFont="1" applyBorder="1" applyAlignment="1" applyProtection="1">
      <alignment horizontal="center" vertical="center" shrinkToFit="1"/>
      <protection locked="0"/>
    </xf>
    <xf numFmtId="176" fontId="5" fillId="0" borderId="35" xfId="0" applyNumberFormat="1" applyFont="1" applyBorder="1" applyAlignment="1" applyProtection="1">
      <alignment horizontal="center" vertical="center" shrinkToFit="1"/>
      <protection locked="0"/>
    </xf>
    <xf numFmtId="5" fontId="11" fillId="0" borderId="51" xfId="0" applyNumberFormat="1" applyFont="1" applyBorder="1" applyAlignment="1" applyProtection="1">
      <alignment horizontal="center" vertical="center" wrapText="1" shrinkToFit="1"/>
      <protection locked="0"/>
    </xf>
    <xf numFmtId="5" fontId="11" fillId="0" borderId="29" xfId="0" applyNumberFormat="1" applyFont="1" applyBorder="1" applyAlignment="1" applyProtection="1">
      <alignment horizontal="center" vertical="center" wrapText="1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1" xfId="0" applyNumberFormat="1" applyFont="1" applyBorder="1" applyAlignment="1">
      <alignment horizontal="center" vertical="center" shrinkToFit="1"/>
    </xf>
    <xf numFmtId="177" fontId="8" fillId="0" borderId="2" xfId="0" applyNumberFormat="1" applyFont="1" applyBorder="1" applyAlignment="1">
      <alignment horizontal="center" vertical="center" shrinkToFit="1"/>
    </xf>
    <xf numFmtId="177" fontId="8" fillId="0" borderId="1" xfId="0" applyNumberFormat="1" applyFont="1" applyBorder="1" applyAlignment="1" applyProtection="1">
      <alignment horizontal="center" vertical="center" shrinkToFit="1"/>
      <protection locked="0"/>
    </xf>
    <xf numFmtId="177" fontId="8" fillId="0" borderId="3" xfId="0" applyNumberFormat="1" applyFont="1" applyBorder="1" applyAlignment="1" applyProtection="1">
      <alignment horizontal="center" vertical="center" shrinkToFit="1"/>
      <protection locked="0"/>
    </xf>
    <xf numFmtId="177" fontId="8" fillId="0" borderId="4" xfId="0" applyNumberFormat="1" applyFont="1" applyBorder="1" applyAlignment="1" applyProtection="1">
      <alignment horizontal="center" vertical="center" shrinkToFit="1"/>
      <protection locked="0"/>
    </xf>
    <xf numFmtId="5" fontId="8" fillId="0" borderId="6" xfId="0" applyNumberFormat="1" applyFont="1" applyBorder="1" applyAlignment="1" applyProtection="1">
      <alignment horizontal="center"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7" xfId="0" applyNumberFormat="1" applyFont="1" applyBorder="1" applyAlignment="1" applyProtection="1">
      <alignment horizontal="center" vertical="center" shrinkToFit="1"/>
      <protection locked="0"/>
    </xf>
    <xf numFmtId="5" fontId="8" fillId="0" borderId="8" xfId="0" applyNumberFormat="1" applyFont="1" applyBorder="1" applyAlignment="1" applyProtection="1">
      <alignment horizontal="center" vertical="center" shrinkToFit="1"/>
      <protection locked="0"/>
    </xf>
    <xf numFmtId="5" fontId="8" fillId="0" borderId="14" xfId="0" applyNumberFormat="1" applyFont="1" applyBorder="1" applyAlignment="1" applyProtection="1">
      <alignment horizontal="center" vertical="center" shrinkToFit="1"/>
      <protection locked="0"/>
    </xf>
    <xf numFmtId="5" fontId="8" fillId="0" borderId="24" xfId="0" applyNumberFormat="1" applyFont="1" applyBorder="1" applyAlignment="1" applyProtection="1">
      <alignment horizontal="center" vertical="center" shrinkToFit="1"/>
      <protection locked="0"/>
    </xf>
    <xf numFmtId="5" fontId="8" fillId="0" borderId="25" xfId="0" applyNumberFormat="1" applyFont="1" applyBorder="1" applyAlignment="1" applyProtection="1">
      <alignment horizontal="center" vertical="center" shrinkToFit="1"/>
      <protection locked="0"/>
    </xf>
    <xf numFmtId="0" fontId="9" fillId="0" borderId="51" xfId="0" applyFont="1" applyBorder="1" applyAlignment="1" applyProtection="1">
      <alignment horizontal="center" vertical="center" shrinkToFit="1"/>
      <protection locked="0"/>
    </xf>
    <xf numFmtId="177" fontId="8" fillId="0" borderId="9" xfId="0" applyNumberFormat="1" applyFont="1" applyBorder="1" applyAlignment="1">
      <alignment horizontal="center" vertical="center" shrinkToFit="1"/>
    </xf>
    <xf numFmtId="177" fontId="8" fillId="0" borderId="10" xfId="0" applyNumberFormat="1" applyFont="1" applyBorder="1" applyAlignment="1">
      <alignment horizontal="center" vertical="center" shrinkToFit="1"/>
    </xf>
    <xf numFmtId="0" fontId="8" fillId="0" borderId="9" xfId="0" applyFont="1" applyBorder="1" applyAlignment="1" applyProtection="1">
      <alignment horizontal="center" vertical="center" shrinkToFit="1"/>
      <protection locked="0"/>
    </xf>
    <xf numFmtId="0" fontId="8" fillId="0" borderId="51" xfId="0" applyFont="1" applyBorder="1" applyAlignment="1" applyProtection="1">
      <alignment horizontal="center" vertical="center" shrinkToFit="1"/>
      <protection locked="0"/>
    </xf>
    <xf numFmtId="0" fontId="8" fillId="0" borderId="11" xfId="0" applyFont="1" applyBorder="1" applyAlignment="1" applyProtection="1">
      <alignment horizontal="center" vertical="center" shrinkToFit="1"/>
      <protection locked="0"/>
    </xf>
    <xf numFmtId="5" fontId="8" fillId="0" borderId="13" xfId="0" applyNumberFormat="1" applyFont="1" applyBorder="1" applyAlignment="1">
      <alignment horizontal="center" vertical="center" shrinkToFit="1"/>
    </xf>
    <xf numFmtId="5" fontId="8" fillId="0" borderId="12" xfId="0" applyNumberFormat="1" applyFont="1" applyBorder="1" applyAlignment="1">
      <alignment horizontal="center" vertical="center" shrinkToFit="1"/>
    </xf>
    <xf numFmtId="14" fontId="9" fillId="0" borderId="51" xfId="0" applyNumberFormat="1" applyFont="1" applyBorder="1" applyAlignment="1" applyProtection="1">
      <alignment horizontal="center" vertical="center" shrinkToFit="1"/>
      <protection locked="0"/>
    </xf>
    <xf numFmtId="14" fontId="9" fillId="0" borderId="26" xfId="0" applyNumberFormat="1" applyFont="1" applyBorder="1" applyAlignment="1" applyProtection="1">
      <alignment horizontal="center" vertical="center" shrinkToFit="1"/>
      <protection locked="0"/>
    </xf>
    <xf numFmtId="177" fontId="8" fillId="0" borderId="15" xfId="0" applyNumberFormat="1" applyFont="1" applyBorder="1" applyAlignment="1">
      <alignment horizontal="center" vertical="center" shrinkToFit="1"/>
    </xf>
    <xf numFmtId="177" fontId="8" fillId="0" borderId="16" xfId="0" applyNumberFormat="1" applyFont="1" applyBorder="1" applyAlignment="1">
      <alignment horizontal="center" vertical="center" shrinkToFit="1"/>
    </xf>
    <xf numFmtId="5" fontId="8" fillId="0" borderId="15" xfId="0" applyNumberFormat="1" applyFont="1" applyBorder="1" applyAlignment="1">
      <alignment horizontal="center" vertical="center" shrinkToFit="1"/>
    </xf>
    <xf numFmtId="5" fontId="8" fillId="0" borderId="17" xfId="0" applyNumberFormat="1" applyFont="1" applyBorder="1" applyAlignment="1">
      <alignment horizontal="center" vertical="center" shrinkToFit="1"/>
    </xf>
    <xf numFmtId="5" fontId="8" fillId="0" borderId="18" xfId="0" applyNumberFormat="1" applyFont="1" applyBorder="1" applyAlignment="1">
      <alignment horizontal="center" vertical="center" shrinkToFit="1"/>
    </xf>
    <xf numFmtId="5" fontId="8" fillId="0" borderId="20" xfId="0" applyNumberFormat="1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0" fontId="8" fillId="0" borderId="21" xfId="0" applyFont="1" applyBorder="1" applyAlignment="1">
      <alignment horizontal="center" vertical="center" shrinkToFit="1"/>
    </xf>
    <xf numFmtId="177" fontId="8" fillId="2" borderId="21" xfId="0" applyNumberFormat="1" applyFont="1" applyFill="1" applyBorder="1" applyAlignment="1">
      <alignment horizontal="center" vertical="center" shrinkToFit="1"/>
    </xf>
    <xf numFmtId="177" fontId="8" fillId="2" borderId="22" xfId="0" applyNumberFormat="1" applyFont="1" applyFill="1" applyBorder="1" applyAlignment="1">
      <alignment horizontal="center" vertical="center" shrinkToFit="1"/>
    </xf>
    <xf numFmtId="5" fontId="11" fillId="0" borderId="10" xfId="0" applyNumberFormat="1" applyFont="1" applyBorder="1" applyAlignment="1" applyProtection="1">
      <alignment horizontal="center" vertical="center" wrapText="1" shrinkToFit="1"/>
      <protection locked="0"/>
    </xf>
    <xf numFmtId="178" fontId="7" fillId="3" borderId="107" xfId="0" applyNumberFormat="1" applyFont="1" applyFill="1" applyBorder="1" applyAlignment="1" applyProtection="1">
      <alignment vertical="center" shrinkToFit="1"/>
      <protection locked="0"/>
    </xf>
    <xf numFmtId="5" fontId="8" fillId="0" borderId="0" xfId="0" applyNumberFormat="1" applyFont="1" applyBorder="1" applyAlignment="1" applyProtection="1">
      <alignment horizontal="center" vertical="center" shrinkToFit="1"/>
      <protection locked="0"/>
    </xf>
    <xf numFmtId="0" fontId="9" fillId="0" borderId="49" xfId="0" applyFont="1" applyBorder="1" applyAlignment="1" applyProtection="1">
      <alignment horizontal="center" vertical="center" shrinkToFit="1"/>
      <protection locked="0"/>
    </xf>
    <xf numFmtId="185" fontId="9" fillId="0" borderId="7" xfId="0" applyNumberFormat="1" applyFont="1" applyBorder="1" applyAlignment="1" applyProtection="1">
      <alignment horizontal="center" vertical="center" shrinkToFit="1"/>
      <protection locked="0"/>
    </xf>
    <xf numFmtId="185" fontId="9" fillId="0" borderId="0" xfId="0" applyNumberFormat="1" applyFont="1" applyBorder="1" applyAlignment="1" applyProtection="1">
      <alignment horizontal="center" vertical="center" shrinkToFit="1"/>
      <protection locked="0"/>
    </xf>
    <xf numFmtId="185" fontId="9" fillId="0" borderId="108" xfId="0" applyNumberFormat="1" applyFont="1" applyBorder="1" applyAlignment="1" applyProtection="1">
      <alignment horizontal="center" vertical="center" shrinkToFit="1"/>
      <protection locked="0"/>
    </xf>
    <xf numFmtId="5" fontId="8" fillId="0" borderId="109" xfId="0" applyNumberFormat="1" applyFont="1" applyBorder="1" applyAlignment="1" applyProtection="1">
      <alignment horizontal="center" vertical="center" shrinkToFit="1"/>
      <protection locked="0"/>
    </xf>
    <xf numFmtId="5" fontId="8" fillId="0" borderId="110" xfId="0" applyNumberFormat="1" applyFont="1" applyBorder="1" applyAlignment="1">
      <alignment horizontal="center" vertical="center" shrinkToFit="1"/>
    </xf>
    <xf numFmtId="5" fontId="8" fillId="0" borderId="111" xfId="0" applyNumberFormat="1" applyFont="1" applyBorder="1" applyAlignment="1" applyProtection="1">
      <alignment horizontal="center" vertical="center" shrinkToFit="1"/>
      <protection locked="0"/>
    </xf>
    <xf numFmtId="0" fontId="9" fillId="0" borderId="114" xfId="0" applyFont="1" applyBorder="1" applyAlignment="1" applyProtection="1">
      <alignment horizontal="center" vertical="center" shrinkToFit="1"/>
      <protection locked="0"/>
    </xf>
    <xf numFmtId="185" fontId="9" fillId="0" borderId="115" xfId="0" applyNumberFormat="1" applyFont="1" applyBorder="1" applyAlignment="1" applyProtection="1">
      <alignment horizontal="center" vertical="center" shrinkToFit="1"/>
      <protection locked="0"/>
    </xf>
    <xf numFmtId="185" fontId="9" fillId="0" borderId="116" xfId="0" applyNumberFormat="1" applyFont="1" applyBorder="1" applyAlignment="1" applyProtection="1">
      <alignment horizontal="center" vertical="center" shrinkToFit="1"/>
      <protection locked="0"/>
    </xf>
    <xf numFmtId="185" fontId="9" fillId="0" borderId="117" xfId="0" applyNumberFormat="1" applyFont="1" applyBorder="1" applyAlignment="1" applyProtection="1">
      <alignment horizontal="center" vertical="center" shrinkToFit="1"/>
      <protection locked="0"/>
    </xf>
    <xf numFmtId="5" fontId="8" fillId="0" borderId="118" xfId="0" applyNumberFormat="1" applyFont="1" applyBorder="1" applyAlignment="1" applyProtection="1">
      <alignment horizontal="center" vertical="center" shrinkToFit="1"/>
      <protection locked="0"/>
    </xf>
    <xf numFmtId="5" fontId="8" fillId="2" borderId="119" xfId="0" applyNumberFormat="1" applyFont="1" applyFill="1" applyBorder="1" applyAlignment="1">
      <alignment horizontal="center" vertical="center" shrinkToFit="1"/>
    </xf>
    <xf numFmtId="5" fontId="8" fillId="2" borderId="120" xfId="0" applyNumberFormat="1" applyFont="1" applyFill="1" applyBorder="1" applyAlignment="1">
      <alignment horizontal="center" vertical="center" shrinkToFit="1"/>
    </xf>
    <xf numFmtId="5" fontId="8" fillId="2" borderId="121" xfId="0" applyNumberFormat="1" applyFont="1" applyFill="1" applyBorder="1" applyAlignment="1">
      <alignment horizontal="center" vertical="center" shrinkToFit="1"/>
    </xf>
    <xf numFmtId="0" fontId="8" fillId="0" borderId="67" xfId="0" applyFont="1" applyBorder="1" applyAlignment="1" applyProtection="1">
      <alignment horizontal="center" vertical="center" wrapText="1" shrinkToFit="1"/>
      <protection locked="0"/>
    </xf>
    <xf numFmtId="0" fontId="8" fillId="0" borderId="122" xfId="0" applyFont="1" applyBorder="1" applyAlignment="1" applyProtection="1">
      <alignment horizontal="center" vertical="center" wrapText="1" shrinkToFit="1"/>
      <protection locked="0"/>
    </xf>
    <xf numFmtId="184" fontId="5" fillId="0" borderId="99" xfId="0" applyNumberFormat="1" applyFont="1" applyBorder="1" applyAlignment="1" applyProtection="1">
      <alignment vertical="center" shrinkToFit="1"/>
      <protection locked="0"/>
    </xf>
    <xf numFmtId="0" fontId="5" fillId="0" borderId="26" xfId="0" applyFont="1" applyBorder="1" applyAlignment="1">
      <alignment horizontal="center" vertical="center" wrapText="1" shrinkToFit="1"/>
    </xf>
    <xf numFmtId="0" fontId="10" fillId="0" borderId="22" xfId="0" applyFont="1" applyBorder="1" applyAlignment="1">
      <alignment horizontal="center" vertical="center" wrapText="1" shrinkToFit="1"/>
    </xf>
    <xf numFmtId="0" fontId="10" fillId="0" borderId="23" xfId="0" applyFont="1" applyBorder="1" applyAlignment="1">
      <alignment horizontal="center" vertical="center" wrapText="1" shrinkToFit="1"/>
    </xf>
    <xf numFmtId="0" fontId="5" fillId="0" borderId="23" xfId="0" applyFont="1" applyBorder="1" applyAlignment="1">
      <alignment horizontal="center" vertical="center" shrinkToFit="1"/>
    </xf>
    <xf numFmtId="0" fontId="5" fillId="0" borderId="14" xfId="0" applyFont="1" applyBorder="1" applyAlignment="1">
      <alignment horizontal="center" vertical="center" shrinkToFit="1"/>
    </xf>
    <xf numFmtId="5" fontId="11" fillId="0" borderId="26" xfId="0" applyNumberFormat="1" applyFont="1" applyBorder="1" applyAlignment="1" applyProtection="1">
      <alignment horizontal="center" vertical="center" wrapText="1" shrinkToFit="1"/>
      <protection locked="0"/>
    </xf>
    <xf numFmtId="0" fontId="5" fillId="2" borderId="23" xfId="0" applyFont="1" applyFill="1" applyBorder="1" applyAlignment="1">
      <alignment horizontal="center" vertical="center" shrinkToFit="1"/>
    </xf>
    <xf numFmtId="0" fontId="5" fillId="2" borderId="106" xfId="0" applyFont="1" applyFill="1" applyBorder="1" applyAlignment="1">
      <alignment horizontal="center" vertical="center" shrinkToFit="1"/>
    </xf>
    <xf numFmtId="0" fontId="5" fillId="0" borderId="79" xfId="0" applyFont="1" applyBorder="1" applyAlignment="1" applyProtection="1">
      <alignment horizontal="center" vertical="center" shrinkToFit="1"/>
      <protection locked="0"/>
    </xf>
    <xf numFmtId="49" fontId="5" fillId="0" borderId="42" xfId="0" applyNumberFormat="1" applyFont="1" applyBorder="1" applyAlignment="1" applyProtection="1">
      <alignment horizontal="center" vertical="center" shrinkToFit="1"/>
      <protection locked="0"/>
    </xf>
    <xf numFmtId="176" fontId="5" fillId="0" borderId="42" xfId="0" applyNumberFormat="1" applyFont="1" applyBorder="1" applyAlignment="1" applyProtection="1">
      <alignment horizontal="center" vertical="center" shrinkToFit="1"/>
      <protection locked="0"/>
    </xf>
    <xf numFmtId="176" fontId="5" fillId="0" borderId="44" xfId="0" applyNumberFormat="1" applyFont="1" applyBorder="1" applyAlignment="1" applyProtection="1">
      <alignment horizontal="center" vertical="center" shrinkToFit="1"/>
      <protection locked="0"/>
    </xf>
    <xf numFmtId="176" fontId="14" fillId="0" borderId="79" xfId="0" applyNumberFormat="1" applyFont="1" applyBorder="1" applyAlignment="1" applyProtection="1">
      <alignment horizontal="center" vertical="center" shrinkToFit="1"/>
      <protection locked="0"/>
    </xf>
    <xf numFmtId="184" fontId="5" fillId="0" borderId="44" xfId="0" applyNumberFormat="1" applyFont="1" applyBorder="1" applyAlignment="1" applyProtection="1">
      <alignment vertical="center" shrinkToFit="1"/>
      <protection locked="0"/>
    </xf>
    <xf numFmtId="179" fontId="5" fillId="2" borderId="79" xfId="0" applyNumberFormat="1" applyFont="1" applyFill="1" applyBorder="1" applyAlignment="1" applyProtection="1">
      <alignment vertical="center" shrinkToFit="1"/>
      <protection locked="0"/>
    </xf>
    <xf numFmtId="6" fontId="15" fillId="2" borderId="79" xfId="0" applyNumberFormat="1" applyFont="1" applyFill="1" applyBorder="1" applyAlignment="1">
      <alignment vertical="center" shrinkToFit="1"/>
    </xf>
    <xf numFmtId="6" fontId="15" fillId="2" borderId="42" xfId="0" applyNumberFormat="1" applyFont="1" applyFill="1" applyBorder="1" applyAlignment="1">
      <alignment horizontal="center" vertical="center" shrinkToFit="1"/>
    </xf>
    <xf numFmtId="178" fontId="15" fillId="0" borderId="124" xfId="0" applyNumberFormat="1" applyFont="1" applyBorder="1" applyAlignment="1">
      <alignment horizontal="center" vertical="center" shrinkToFit="1"/>
    </xf>
    <xf numFmtId="38" fontId="5" fillId="2" borderId="44" xfId="1" applyFont="1" applyFill="1" applyBorder="1" applyAlignment="1">
      <alignment vertical="center" shrinkToFit="1"/>
    </xf>
    <xf numFmtId="0" fontId="5" fillId="0" borderId="125" xfId="0" applyFont="1" applyBorder="1" applyAlignment="1" applyProtection="1">
      <alignment horizontal="center" vertical="center" shrinkToFit="1"/>
      <protection locked="0"/>
    </xf>
    <xf numFmtId="0" fontId="5" fillId="0" borderId="126" xfId="0" applyFont="1" applyBorder="1" applyAlignment="1" applyProtection="1">
      <alignment horizontal="center" vertical="center" shrinkToFit="1"/>
      <protection locked="0"/>
    </xf>
    <xf numFmtId="49" fontId="5" fillId="0" borderId="127" xfId="0" applyNumberFormat="1" applyFont="1" applyBorder="1" applyAlignment="1" applyProtection="1">
      <alignment horizontal="center" vertical="center" shrinkToFit="1"/>
      <protection locked="0"/>
    </xf>
    <xf numFmtId="176" fontId="5" fillId="0" borderId="127" xfId="0" applyNumberFormat="1" applyFont="1" applyBorder="1" applyAlignment="1" applyProtection="1">
      <alignment horizontal="center" vertical="center" shrinkToFit="1"/>
      <protection locked="0"/>
    </xf>
    <xf numFmtId="176" fontId="5" fillId="0" borderId="128" xfId="0" applyNumberFormat="1" applyFont="1" applyBorder="1" applyAlignment="1" applyProtection="1">
      <alignment horizontal="center" vertical="center" shrinkToFit="1"/>
      <protection locked="0"/>
    </xf>
    <xf numFmtId="176" fontId="14" fillId="0" borderId="125" xfId="0" applyNumberFormat="1" applyFont="1" applyBorder="1" applyAlignment="1" applyProtection="1">
      <alignment horizontal="center" vertical="center" shrinkToFit="1"/>
      <protection locked="0"/>
    </xf>
    <xf numFmtId="184" fontId="5" fillId="0" borderId="128" xfId="0" applyNumberFormat="1" applyFont="1" applyBorder="1" applyAlignment="1" applyProtection="1">
      <alignment vertical="center" shrinkToFit="1"/>
      <protection locked="0"/>
    </xf>
    <xf numFmtId="179" fontId="5" fillId="2" borderId="125" xfId="0" applyNumberFormat="1" applyFont="1" applyFill="1" applyBorder="1" applyAlignment="1" applyProtection="1">
      <alignment vertical="center" shrinkToFit="1"/>
      <protection locked="0"/>
    </xf>
    <xf numFmtId="6" fontId="15" fillId="2" borderId="125" xfId="0" applyNumberFormat="1" applyFont="1" applyFill="1" applyBorder="1" applyAlignment="1">
      <alignment vertical="center" shrinkToFit="1"/>
    </xf>
    <xf numFmtId="6" fontId="15" fillId="2" borderId="127" xfId="0" applyNumberFormat="1" applyFont="1" applyFill="1" applyBorder="1" applyAlignment="1">
      <alignment horizontal="center" vertical="center" shrinkToFit="1"/>
    </xf>
    <xf numFmtId="178" fontId="15" fillId="0" borderId="129" xfId="0" applyNumberFormat="1" applyFont="1" applyBorder="1" applyAlignment="1">
      <alignment horizontal="center" vertical="center" shrinkToFit="1"/>
    </xf>
    <xf numFmtId="38" fontId="5" fillId="2" borderId="128" xfId="1" applyFont="1" applyFill="1" applyBorder="1" applyAlignment="1">
      <alignment vertical="center" shrinkToFit="1"/>
    </xf>
    <xf numFmtId="0" fontId="5" fillId="0" borderId="130" xfId="0" applyFont="1" applyBorder="1" applyAlignment="1" applyProtection="1">
      <alignment horizontal="center" vertical="center" wrapText="1" shrinkToFit="1"/>
      <protection locked="0"/>
    </xf>
    <xf numFmtId="0" fontId="5" fillId="0" borderId="26" xfId="0" applyFont="1" applyBorder="1" applyAlignment="1" applyProtection="1">
      <alignment horizontal="center" vertical="center" shrinkToFit="1"/>
      <protection locked="0"/>
    </xf>
    <xf numFmtId="0" fontId="5" fillId="0" borderId="7" xfId="0" applyFont="1" applyBorder="1" applyAlignment="1" applyProtection="1">
      <alignment horizontal="center" vertical="center" shrinkToFit="1"/>
      <protection locked="0"/>
    </xf>
    <xf numFmtId="49" fontId="5" fillId="0" borderId="27" xfId="0" applyNumberFormat="1" applyFont="1" applyBorder="1" applyAlignment="1" applyProtection="1">
      <alignment horizontal="center" vertical="center" shrinkToFit="1"/>
      <protection locked="0"/>
    </xf>
    <xf numFmtId="176" fontId="5" fillId="0" borderId="27" xfId="0" applyNumberFormat="1" applyFont="1" applyBorder="1" applyAlignment="1" applyProtection="1">
      <alignment horizontal="center" vertical="center" shrinkToFit="1"/>
      <protection locked="0"/>
    </xf>
    <xf numFmtId="176" fontId="5" fillId="0" borderId="8" xfId="0" applyNumberFormat="1" applyFont="1" applyBorder="1" applyAlignment="1" applyProtection="1">
      <alignment horizontal="center" vertical="center" shrinkToFit="1"/>
      <protection locked="0"/>
    </xf>
    <xf numFmtId="176" fontId="14" fillId="0" borderId="26" xfId="0" applyNumberFormat="1" applyFont="1" applyBorder="1" applyAlignment="1" applyProtection="1">
      <alignment horizontal="center" vertical="center" shrinkToFit="1"/>
      <protection locked="0"/>
    </xf>
    <xf numFmtId="184" fontId="5" fillId="0" borderId="8" xfId="0" applyNumberFormat="1" applyFont="1" applyBorder="1" applyAlignment="1" applyProtection="1">
      <alignment vertical="center" shrinkToFit="1"/>
      <protection locked="0"/>
    </xf>
    <xf numFmtId="179" fontId="5" fillId="2" borderId="26" xfId="0" applyNumberFormat="1" applyFont="1" applyFill="1" applyBorder="1" applyAlignment="1" applyProtection="1">
      <alignment vertical="center" shrinkToFit="1"/>
      <protection locked="0"/>
    </xf>
    <xf numFmtId="178" fontId="15" fillId="0" borderId="131" xfId="0" applyNumberFormat="1" applyFont="1" applyBorder="1" applyAlignment="1">
      <alignment horizontal="center" vertical="center" shrinkToFit="1"/>
    </xf>
    <xf numFmtId="38" fontId="5" fillId="2" borderId="8" xfId="1" applyFont="1" applyFill="1" applyBorder="1" applyAlignment="1">
      <alignment vertical="center" shrinkToFit="1"/>
    </xf>
    <xf numFmtId="5" fontId="5" fillId="2" borderId="31" xfId="0" applyNumberFormat="1" applyFont="1" applyFill="1" applyBorder="1" applyAlignment="1">
      <alignment horizontal="center" vertical="center" shrinkToFit="1"/>
    </xf>
    <xf numFmtId="0" fontId="5" fillId="2" borderId="32" xfId="0" applyFont="1" applyFill="1" applyBorder="1" applyAlignment="1">
      <alignment vertical="center" shrinkToFit="1"/>
    </xf>
    <xf numFmtId="179" fontId="5" fillId="2" borderId="30" xfId="0" applyNumberFormat="1" applyFont="1" applyFill="1" applyBorder="1" applyAlignment="1" applyProtection="1">
      <alignment horizontal="center" vertical="center" shrinkToFit="1"/>
      <protection locked="0"/>
    </xf>
    <xf numFmtId="178" fontId="15" fillId="2" borderId="132" xfId="0" applyNumberFormat="1" applyFont="1" applyFill="1" applyBorder="1" applyAlignment="1">
      <alignment horizontal="center" vertical="center" shrinkToFit="1"/>
    </xf>
    <xf numFmtId="0" fontId="5" fillId="0" borderId="133" xfId="0" applyFont="1" applyBorder="1" applyAlignment="1" applyProtection="1">
      <alignment horizontal="center" vertical="center" shrinkToFit="1"/>
      <protection locked="0"/>
    </xf>
    <xf numFmtId="0" fontId="5" fillId="0" borderId="134" xfId="0" applyFont="1" applyBorder="1" applyAlignment="1" applyProtection="1">
      <alignment horizontal="center" vertical="center" shrinkToFit="1"/>
      <protection locked="0"/>
    </xf>
    <xf numFmtId="49" fontId="5" fillId="0" borderId="135" xfId="0" applyNumberFormat="1" applyFont="1" applyBorder="1" applyAlignment="1" applyProtection="1">
      <alignment horizontal="center" vertical="center" shrinkToFit="1"/>
      <protection locked="0"/>
    </xf>
    <xf numFmtId="176" fontId="5" fillId="0" borderId="135" xfId="0" applyNumberFormat="1" applyFont="1" applyBorder="1" applyAlignment="1" applyProtection="1">
      <alignment horizontal="center" vertical="center" shrinkToFit="1"/>
      <protection locked="0"/>
    </xf>
    <xf numFmtId="176" fontId="5" fillId="0" borderId="136" xfId="0" applyNumberFormat="1" applyFont="1" applyBorder="1" applyAlignment="1" applyProtection="1">
      <alignment horizontal="center" vertical="center" shrinkToFit="1"/>
      <protection locked="0"/>
    </xf>
    <xf numFmtId="176" fontId="14" fillId="0" borderId="133" xfId="0" applyNumberFormat="1" applyFont="1" applyBorder="1" applyAlignment="1" applyProtection="1">
      <alignment horizontal="center" vertical="center" shrinkToFit="1"/>
      <protection locked="0"/>
    </xf>
    <xf numFmtId="184" fontId="5" fillId="0" borderId="136" xfId="0" applyNumberFormat="1" applyFont="1" applyBorder="1" applyAlignment="1" applyProtection="1">
      <alignment vertical="center" shrinkToFit="1"/>
      <protection locked="0"/>
    </xf>
    <xf numFmtId="179" fontId="5" fillId="2" borderId="133" xfId="0" applyNumberFormat="1" applyFont="1" applyFill="1" applyBorder="1" applyAlignment="1" applyProtection="1">
      <alignment vertical="center" shrinkToFit="1"/>
      <protection locked="0"/>
    </xf>
    <xf numFmtId="6" fontId="15" fillId="2" borderId="133" xfId="0" applyNumberFormat="1" applyFont="1" applyFill="1" applyBorder="1" applyAlignment="1">
      <alignment vertical="center" shrinkToFit="1"/>
    </xf>
    <xf numFmtId="6" fontId="15" fillId="2" borderId="135" xfId="0" applyNumberFormat="1" applyFont="1" applyFill="1" applyBorder="1" applyAlignment="1">
      <alignment horizontal="center" vertical="center" shrinkToFit="1"/>
    </xf>
    <xf numFmtId="178" fontId="15" fillId="0" borderId="137" xfId="0" applyNumberFormat="1" applyFont="1" applyBorder="1" applyAlignment="1">
      <alignment horizontal="center" vertical="center" shrinkToFit="1"/>
    </xf>
    <xf numFmtId="38" fontId="5" fillId="2" borderId="136" xfId="1" applyFont="1" applyFill="1" applyBorder="1" applyAlignment="1">
      <alignment vertical="center" shrinkToFit="1"/>
    </xf>
    <xf numFmtId="0" fontId="5" fillId="0" borderId="123" xfId="0" applyFont="1" applyBorder="1" applyAlignment="1" applyProtection="1">
      <alignment horizontal="center" vertical="center" wrapText="1" shrinkToFit="1"/>
      <protection locked="0"/>
    </xf>
    <xf numFmtId="0" fontId="5" fillId="0" borderId="138" xfId="0" applyFont="1" applyBorder="1" applyAlignment="1" applyProtection="1">
      <alignment horizontal="center" vertical="center" wrapText="1" shrinkToFit="1"/>
      <protection locked="0"/>
    </xf>
    <xf numFmtId="0" fontId="5" fillId="0" borderId="139" xfId="0" applyFont="1" applyBorder="1" applyAlignment="1" applyProtection="1">
      <alignment horizontal="center" vertical="center" wrapText="1" shrinkToFit="1"/>
      <protection locked="0"/>
    </xf>
    <xf numFmtId="0" fontId="5" fillId="0" borderId="140" xfId="0" applyFont="1" applyBorder="1" applyAlignment="1" applyProtection="1">
      <alignment horizontal="center" vertical="center" wrapText="1" shrinkToFit="1"/>
      <protection locked="0"/>
    </xf>
    <xf numFmtId="0" fontId="5" fillId="0" borderId="141" xfId="0" applyFont="1" applyBorder="1" applyAlignment="1" applyProtection="1">
      <alignment horizontal="center" vertical="center" wrapText="1" shrinkToFit="1"/>
      <protection locked="0"/>
    </xf>
    <xf numFmtId="0" fontId="5" fillId="0" borderId="142" xfId="0" applyFont="1" applyBorder="1" applyAlignment="1" applyProtection="1">
      <alignment horizontal="center" vertical="center" wrapText="1" shrinkToFit="1"/>
      <protection locked="0"/>
    </xf>
    <xf numFmtId="178" fontId="5" fillId="0" borderId="26" xfId="0" applyNumberFormat="1" applyFont="1" applyBorder="1" applyAlignment="1">
      <alignment horizontal="center" vertical="center" shrinkToFit="1"/>
    </xf>
    <xf numFmtId="6" fontId="5" fillId="2" borderId="143" xfId="0" applyNumberFormat="1" applyFont="1" applyFill="1" applyBorder="1" applyAlignment="1">
      <alignment vertical="center" shrinkToFit="1"/>
    </xf>
    <xf numFmtId="0" fontId="5" fillId="0" borderId="144" xfId="0" applyFont="1" applyBorder="1" applyAlignment="1" applyProtection="1">
      <alignment horizontal="center" vertical="center" shrinkToFit="1"/>
      <protection locked="0"/>
    </xf>
    <xf numFmtId="0" fontId="5" fillId="0" borderId="145" xfId="0" applyFont="1" applyBorder="1" applyAlignment="1" applyProtection="1">
      <alignment horizontal="center" vertical="center" shrinkToFit="1"/>
      <protection locked="0"/>
    </xf>
    <xf numFmtId="49" fontId="5" fillId="0" borderId="146" xfId="0" applyNumberFormat="1" applyFont="1" applyBorder="1" applyAlignment="1" applyProtection="1">
      <alignment horizontal="center" vertical="center" shrinkToFit="1"/>
      <protection locked="0"/>
    </xf>
    <xf numFmtId="176" fontId="5" fillId="0" borderId="146" xfId="0" applyNumberFormat="1" applyFont="1" applyBorder="1" applyAlignment="1" applyProtection="1">
      <alignment horizontal="center" vertical="center" shrinkToFit="1"/>
      <protection locked="0"/>
    </xf>
    <xf numFmtId="176" fontId="5" fillId="0" borderId="147" xfId="0" applyNumberFormat="1" applyFont="1" applyBorder="1" applyAlignment="1" applyProtection="1">
      <alignment horizontal="center" vertical="center" shrinkToFit="1"/>
      <protection locked="0"/>
    </xf>
    <xf numFmtId="176" fontId="14" fillId="0" borderId="144" xfId="0" applyNumberFormat="1" applyFont="1" applyBorder="1" applyAlignment="1" applyProtection="1">
      <alignment horizontal="center" vertical="center" shrinkToFit="1"/>
      <protection locked="0"/>
    </xf>
    <xf numFmtId="184" fontId="5" fillId="0" borderId="147" xfId="0" applyNumberFormat="1" applyFont="1" applyBorder="1" applyAlignment="1" applyProtection="1">
      <alignment vertical="center" shrinkToFit="1"/>
      <protection locked="0"/>
    </xf>
    <xf numFmtId="179" fontId="5" fillId="2" borderId="144" xfId="0" applyNumberFormat="1" applyFont="1" applyFill="1" applyBorder="1" applyAlignment="1" applyProtection="1">
      <alignment vertical="center" shrinkToFit="1"/>
      <protection locked="0"/>
    </xf>
    <xf numFmtId="6" fontId="15" fillId="2" borderId="144" xfId="0" applyNumberFormat="1" applyFont="1" applyFill="1" applyBorder="1" applyAlignment="1">
      <alignment vertical="center" shrinkToFit="1"/>
    </xf>
    <xf numFmtId="6" fontId="15" fillId="2" borderId="144" xfId="0" applyNumberFormat="1" applyFont="1" applyFill="1" applyBorder="1" applyAlignment="1">
      <alignment horizontal="center" vertical="center" shrinkToFit="1"/>
    </xf>
    <xf numFmtId="178" fontId="5" fillId="0" borderId="144" xfId="0" applyNumberFormat="1" applyFont="1" applyBorder="1" applyAlignment="1">
      <alignment horizontal="center" vertical="center" shrinkToFit="1"/>
    </xf>
    <xf numFmtId="6" fontId="5" fillId="2" borderId="148" xfId="0" applyNumberFormat="1" applyFont="1" applyFill="1" applyBorder="1" applyAlignment="1">
      <alignment vertical="center" shrinkToFit="1"/>
    </xf>
    <xf numFmtId="6" fontId="15" fillId="2" borderId="125" xfId="0" applyNumberFormat="1" applyFont="1" applyFill="1" applyBorder="1" applyAlignment="1">
      <alignment horizontal="center" vertical="center" shrinkToFit="1"/>
    </xf>
    <xf numFmtId="178" fontId="5" fillId="0" borderId="125" xfId="0" applyNumberFormat="1" applyFont="1" applyBorder="1" applyAlignment="1">
      <alignment horizontal="center" vertical="center" shrinkToFit="1"/>
    </xf>
    <xf numFmtId="6" fontId="5" fillId="2" borderId="149" xfId="0" applyNumberFormat="1" applyFont="1" applyFill="1" applyBorder="1" applyAlignment="1">
      <alignment vertical="center" shrinkToFit="1"/>
    </xf>
    <xf numFmtId="6" fontId="15" fillId="2" borderId="26" xfId="0" applyNumberFormat="1" applyFont="1" applyFill="1" applyBorder="1" applyAlignment="1">
      <alignment horizontal="center" vertical="center" shrinkToFit="1"/>
    </xf>
    <xf numFmtId="6" fontId="5" fillId="2" borderId="151" xfId="0" applyNumberFormat="1" applyFont="1" applyFill="1" applyBorder="1" applyAlignment="1">
      <alignment vertical="center" shrinkToFit="1"/>
    </xf>
    <xf numFmtId="0" fontId="5" fillId="0" borderId="152" xfId="0" applyFont="1" applyBorder="1" applyAlignment="1" applyProtection="1">
      <alignment horizontal="center" vertical="center" wrapText="1" shrinkToFit="1"/>
      <protection locked="0"/>
    </xf>
    <xf numFmtId="0" fontId="5" fillId="0" borderId="153" xfId="0" applyFont="1" applyBorder="1" applyAlignment="1" applyProtection="1">
      <alignment horizontal="center" vertical="center" wrapText="1" shrinkToFit="1"/>
      <protection locked="0"/>
    </xf>
    <xf numFmtId="0" fontId="5" fillId="0" borderId="62" xfId="0" applyFont="1" applyBorder="1" applyAlignment="1" applyProtection="1">
      <alignment horizontal="center" vertical="center" wrapText="1" shrinkToFit="1"/>
      <protection locked="0"/>
    </xf>
    <xf numFmtId="0" fontId="5" fillId="0" borderId="154" xfId="0" applyFont="1" applyBorder="1" applyAlignment="1" applyProtection="1">
      <alignment horizontal="center" vertical="center" wrapText="1" shrinkToFit="1"/>
      <protection locked="0"/>
    </xf>
    <xf numFmtId="0" fontId="5" fillId="0" borderId="155" xfId="0" applyFont="1" applyBorder="1" applyAlignment="1" applyProtection="1">
      <alignment horizontal="center" vertical="center" shrinkToFit="1"/>
      <protection locked="0"/>
    </xf>
    <xf numFmtId="0" fontId="5" fillId="0" borderId="155" xfId="0" applyFont="1" applyBorder="1" applyAlignment="1">
      <alignment horizontal="center" vertical="center" shrinkToFit="1"/>
    </xf>
    <xf numFmtId="0" fontId="5" fillId="0" borderId="156" xfId="0" applyFont="1" applyBorder="1" applyAlignment="1">
      <alignment horizontal="center" vertical="center" shrinkToFit="1"/>
    </xf>
    <xf numFmtId="0" fontId="5" fillId="0" borderId="157" xfId="0" applyFont="1" applyBorder="1" applyAlignment="1">
      <alignment horizontal="center" vertical="center" shrinkToFit="1"/>
    </xf>
    <xf numFmtId="179" fontId="5" fillId="2" borderId="158" xfId="0" applyNumberFormat="1" applyFont="1" applyFill="1" applyBorder="1" applyAlignment="1">
      <alignment horizontal="center" vertical="center" shrinkToFit="1"/>
    </xf>
    <xf numFmtId="179" fontId="5" fillId="2" borderId="156" xfId="0" applyNumberFormat="1" applyFont="1" applyFill="1" applyBorder="1" applyAlignment="1">
      <alignment horizontal="center" vertical="center" shrinkToFit="1"/>
    </xf>
    <xf numFmtId="179" fontId="5" fillId="2" borderId="157" xfId="0" applyNumberFormat="1" applyFont="1" applyFill="1" applyBorder="1" applyAlignment="1">
      <alignment horizontal="center" vertical="center" shrinkToFit="1"/>
    </xf>
    <xf numFmtId="179" fontId="5" fillId="2" borderId="157" xfId="0" applyNumberFormat="1" applyFont="1" applyFill="1" applyBorder="1" applyAlignment="1">
      <alignment vertical="center" shrinkToFit="1"/>
    </xf>
    <xf numFmtId="6" fontId="5" fillId="2" borderId="157" xfId="0" applyNumberFormat="1" applyFont="1" applyFill="1" applyBorder="1" applyAlignment="1">
      <alignment vertical="center" shrinkToFit="1"/>
    </xf>
    <xf numFmtId="6" fontId="5" fillId="2" borderId="157" xfId="0" applyNumberFormat="1" applyFont="1" applyFill="1" applyBorder="1" applyAlignment="1">
      <alignment horizontal="center" vertical="center" shrinkToFit="1"/>
    </xf>
    <xf numFmtId="178" fontId="5" fillId="2" borderId="157" xfId="0" applyNumberFormat="1" applyFont="1" applyFill="1" applyBorder="1" applyAlignment="1">
      <alignment horizontal="center" vertical="center" shrinkToFit="1"/>
    </xf>
    <xf numFmtId="6" fontId="19" fillId="2" borderId="159" xfId="0" applyNumberFormat="1" applyFont="1" applyFill="1" applyBorder="1" applyAlignment="1">
      <alignment horizontal="center" vertical="center" shrinkToFit="1"/>
    </xf>
    <xf numFmtId="5" fontId="5" fillId="0" borderId="51" xfId="0" applyNumberFormat="1" applyFont="1" applyBorder="1" applyAlignment="1" applyProtection="1">
      <alignment horizontal="center" vertical="center" shrinkToFit="1"/>
      <protection locked="0"/>
    </xf>
    <xf numFmtId="178" fontId="7" fillId="3" borderId="112" xfId="0" applyNumberFormat="1" applyFont="1" applyFill="1" applyBorder="1" applyAlignment="1" applyProtection="1">
      <alignment vertical="center" shrinkToFit="1"/>
      <protection locked="0"/>
    </xf>
    <xf numFmtId="178" fontId="7" fillId="3" borderId="160" xfId="0" applyNumberFormat="1" applyFont="1" applyFill="1" applyBorder="1" applyAlignment="1" applyProtection="1">
      <alignment vertical="center" shrinkToFit="1"/>
      <protection locked="0"/>
    </xf>
    <xf numFmtId="5" fontId="5" fillId="2" borderId="51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51" xfId="0" applyNumberFormat="1" applyFont="1" applyFill="1" applyBorder="1" applyAlignment="1">
      <alignment horizontal="center" vertical="center" shrinkToFit="1"/>
    </xf>
    <xf numFmtId="5" fontId="8" fillId="0" borderId="116" xfId="0" applyNumberFormat="1" applyFont="1" applyBorder="1" applyAlignment="1" applyProtection="1">
      <alignment horizontal="center" vertical="center" shrinkToFit="1"/>
      <protection locked="0"/>
    </xf>
    <xf numFmtId="5" fontId="5" fillId="0" borderId="150" xfId="0" applyNumberFormat="1" applyFont="1" applyBorder="1" applyAlignment="1" applyProtection="1">
      <alignment horizontal="center" vertical="center" shrinkToFit="1"/>
      <protection locked="0"/>
    </xf>
    <xf numFmtId="178" fontId="7" fillId="3" borderId="161" xfId="0" applyNumberFormat="1" applyFont="1" applyFill="1" applyBorder="1" applyAlignment="1" applyProtection="1">
      <alignment vertical="center" shrinkToFit="1"/>
      <protection locked="0"/>
    </xf>
    <xf numFmtId="5" fontId="5" fillId="0" borderId="162" xfId="0" applyNumberFormat="1" applyFont="1" applyBorder="1" applyAlignment="1" applyProtection="1">
      <alignment horizontal="center" vertical="center" shrinkToFit="1"/>
      <protection locked="0"/>
    </xf>
    <xf numFmtId="184" fontId="5" fillId="0" borderId="163" xfId="0" applyNumberFormat="1" applyFont="1" applyBorder="1" applyAlignment="1" applyProtection="1">
      <alignment vertical="center" shrinkToFit="1"/>
      <protection locked="0"/>
    </xf>
    <xf numFmtId="184" fontId="5" fillId="0" borderId="164" xfId="0" applyNumberFormat="1" applyFont="1" applyBorder="1" applyAlignment="1" applyProtection="1">
      <alignment vertical="center" shrinkToFit="1"/>
      <protection locked="0"/>
    </xf>
    <xf numFmtId="184" fontId="5" fillId="0" borderId="165" xfId="0" applyNumberFormat="1" applyFont="1" applyBorder="1" applyAlignment="1" applyProtection="1">
      <alignment vertical="center" shrinkToFit="1"/>
      <protection locked="0"/>
    </xf>
    <xf numFmtId="184" fontId="5" fillId="0" borderId="166" xfId="0" applyNumberFormat="1" applyFont="1" applyBorder="1" applyAlignment="1" applyProtection="1">
      <alignment vertical="center" shrinkToFit="1"/>
      <protection locked="0"/>
    </xf>
    <xf numFmtId="184" fontId="5" fillId="0" borderId="167" xfId="0" applyNumberFormat="1" applyFont="1" applyBorder="1" applyAlignment="1" applyProtection="1">
      <alignment vertical="center" shrinkToFit="1"/>
      <protection locked="0"/>
    </xf>
    <xf numFmtId="5" fontId="5" fillId="2" borderId="113" xfId="0" applyNumberFormat="1" applyFont="1" applyFill="1" applyBorder="1" applyAlignment="1" applyProtection="1">
      <alignment horizontal="center" vertical="center" shrinkToFit="1"/>
      <protection locked="0"/>
    </xf>
    <xf numFmtId="5" fontId="8" fillId="0" borderId="158" xfId="0" applyNumberFormat="1" applyFont="1" applyBorder="1" applyAlignment="1" applyProtection="1">
      <alignment horizontal="center" vertical="center" shrinkToFit="1"/>
      <protection locked="0"/>
    </xf>
    <xf numFmtId="6" fontId="5" fillId="2" borderId="168" xfId="0" applyNumberFormat="1" applyFont="1" applyFill="1" applyBorder="1" applyAlignment="1">
      <alignment horizontal="center" vertical="center" shrinkToFit="1"/>
    </xf>
    <xf numFmtId="5" fontId="5" fillId="0" borderId="169" xfId="0" applyNumberFormat="1" applyFont="1" applyBorder="1" applyAlignment="1">
      <alignment horizontal="center" vertical="center" shrinkToFit="1"/>
    </xf>
    <xf numFmtId="5" fontId="5" fillId="0" borderId="170" xfId="0" applyNumberFormat="1" applyFont="1" applyBorder="1" applyAlignment="1">
      <alignment vertical="center" shrinkToFit="1"/>
    </xf>
    <xf numFmtId="5" fontId="5" fillId="0" borderId="171" xfId="0" applyNumberFormat="1" applyFont="1" applyBorder="1" applyAlignment="1">
      <alignment horizontal="center" vertical="center" shrinkToFit="1"/>
    </xf>
    <xf numFmtId="176" fontId="5" fillId="0" borderId="169" xfId="0" applyNumberFormat="1" applyFont="1" applyBorder="1" applyAlignment="1" applyProtection="1">
      <alignment horizontal="center" vertical="center" shrinkToFit="1"/>
      <protection locked="0"/>
    </xf>
    <xf numFmtId="176" fontId="5" fillId="0" borderId="170" xfId="0" applyNumberFormat="1" applyFont="1" applyBorder="1" applyAlignment="1" applyProtection="1">
      <alignment horizontal="center" vertical="center" shrinkToFit="1"/>
      <protection locked="0"/>
    </xf>
    <xf numFmtId="176" fontId="5" fillId="0" borderId="172" xfId="0" applyNumberFormat="1" applyFont="1" applyBorder="1" applyAlignment="1" applyProtection="1">
      <alignment horizontal="center" vertical="center" shrinkToFit="1"/>
      <protection locked="0"/>
    </xf>
    <xf numFmtId="179" fontId="5" fillId="0" borderId="172" xfId="0" applyNumberFormat="1" applyFont="1" applyBorder="1" applyAlignment="1" applyProtection="1">
      <alignment vertical="center" shrinkToFit="1"/>
      <protection locked="0"/>
    </xf>
    <xf numFmtId="5" fontId="5" fillId="0" borderId="75" xfId="0" applyNumberFormat="1" applyFont="1" applyBorder="1" applyAlignment="1">
      <alignment horizontal="center" vertical="center" shrinkToFit="1"/>
    </xf>
    <xf numFmtId="5" fontId="5" fillId="0" borderId="76" xfId="0" applyNumberFormat="1" applyFont="1" applyBorder="1" applyAlignment="1">
      <alignment vertical="center" shrinkToFit="1"/>
    </xf>
    <xf numFmtId="5" fontId="5" fillId="0" borderId="173" xfId="0" applyNumberFormat="1" applyFont="1" applyBorder="1" applyAlignment="1">
      <alignment horizontal="center" vertical="center" shrinkToFit="1"/>
    </xf>
    <xf numFmtId="176" fontId="5" fillId="0" borderId="75" xfId="0" applyNumberFormat="1" applyFont="1" applyBorder="1" applyAlignment="1" applyProtection="1">
      <alignment horizontal="center" vertical="center" shrinkToFit="1"/>
      <protection locked="0"/>
    </xf>
    <xf numFmtId="176" fontId="5" fillId="0" borderId="76" xfId="0" applyNumberFormat="1" applyFont="1" applyBorder="1" applyAlignment="1" applyProtection="1">
      <alignment horizontal="center" vertical="center" shrinkToFit="1"/>
      <protection locked="0"/>
    </xf>
    <xf numFmtId="176" fontId="5" fillId="0" borderId="77" xfId="0" applyNumberFormat="1" applyFont="1" applyBorder="1" applyAlignment="1" applyProtection="1">
      <alignment horizontal="center" vertical="center" shrinkToFit="1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FFCC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0</xdr:rowOff>
        </xdr:from>
        <xdr:to>
          <xdr:col>5</xdr:col>
          <xdr:colOff>133350</xdr:colOff>
          <xdr:row>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精算書（支払台帳）作成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B456B-D315-4EF7-889B-B4AA954944E9}">
  <sheetPr codeName="Sheet7"/>
  <dimension ref="A1:S30"/>
  <sheetViews>
    <sheetView tabSelected="1"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55" customWidth="1"/>
    <col min="7" max="7" width="7.625" style="13" customWidth="1"/>
    <col min="8" max="8" width="7.625" style="55" customWidth="1"/>
    <col min="9" max="9" width="15.375" style="56" customWidth="1"/>
    <col min="10" max="12" width="8.625" style="56" customWidth="1"/>
    <col min="13" max="13" width="8.625" style="57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20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218"/>
      <c r="M2" s="218"/>
      <c r="N2" s="218"/>
      <c r="O2" s="11"/>
      <c r="P2" s="6"/>
    </row>
    <row r="3" spans="1:19" s="13" customFormat="1" ht="23.1" customHeight="1">
      <c r="A3" s="219" t="s">
        <v>0</v>
      </c>
      <c r="B3" s="220"/>
      <c r="C3" s="221"/>
      <c r="D3" s="222"/>
      <c r="E3" s="222"/>
      <c r="F3" s="222"/>
      <c r="G3" s="222"/>
      <c r="H3" s="223"/>
      <c r="I3" s="12" t="s">
        <v>21</v>
      </c>
      <c r="J3" s="224"/>
      <c r="K3" s="225"/>
      <c r="L3" s="226"/>
      <c r="M3" s="227"/>
      <c r="N3" s="231" t="s">
        <v>1</v>
      </c>
      <c r="O3" s="231"/>
      <c r="P3" s="231"/>
    </row>
    <row r="4" spans="1:19" s="13" customFormat="1" ht="23.1" customHeight="1">
      <c r="A4" s="232" t="s">
        <v>22</v>
      </c>
      <c r="B4" s="233"/>
      <c r="C4" s="234"/>
      <c r="D4" s="235"/>
      <c r="E4" s="235"/>
      <c r="F4" s="235"/>
      <c r="G4" s="235"/>
      <c r="H4" s="236"/>
      <c r="I4" s="14" t="s">
        <v>23</v>
      </c>
      <c r="J4" s="237"/>
      <c r="K4" s="238"/>
      <c r="L4" s="209"/>
      <c r="M4" s="228"/>
      <c r="N4" s="239"/>
      <c r="O4" s="239"/>
      <c r="P4" s="239"/>
    </row>
    <row r="5" spans="1:19" s="13" customFormat="1" ht="23.1" customHeight="1" thickBot="1">
      <c r="A5" s="241" t="s">
        <v>2</v>
      </c>
      <c r="B5" s="242"/>
      <c r="C5" s="243">
        <f>J3-G24</f>
        <v>0</v>
      </c>
      <c r="D5" s="244"/>
      <c r="E5" s="244"/>
      <c r="F5" s="244"/>
      <c r="G5" s="244"/>
      <c r="H5" s="245"/>
      <c r="I5" s="15" t="s">
        <v>3</v>
      </c>
      <c r="J5" s="246">
        <f>SUM(J3:K4)</f>
        <v>0</v>
      </c>
      <c r="K5" s="247"/>
      <c r="L5" s="209"/>
      <c r="M5" s="228"/>
      <c r="N5" s="239"/>
      <c r="O5" s="239"/>
      <c r="P5" s="239"/>
    </row>
    <row r="6" spans="1:19" s="13" customFormat="1" ht="23.1" customHeight="1" thickBot="1">
      <c r="A6" s="248" t="s">
        <v>4</v>
      </c>
      <c r="B6" s="248"/>
      <c r="C6" s="249"/>
      <c r="D6" s="249"/>
      <c r="E6" s="250"/>
      <c r="F6" s="250"/>
      <c r="G6" s="250" t="s">
        <v>5</v>
      </c>
      <c r="H6" s="250"/>
      <c r="I6" s="16">
        <f>J5-I24</f>
        <v>0</v>
      </c>
      <c r="J6" s="208"/>
      <c r="K6" s="209"/>
      <c r="L6" s="229"/>
      <c r="M6" s="230"/>
      <c r="N6" s="239"/>
      <c r="O6" s="240"/>
      <c r="P6" s="239"/>
    </row>
    <row r="7" spans="1:19" s="13" customFormat="1" ht="18" customHeight="1" thickBot="1">
      <c r="A7" s="198" t="s">
        <v>6</v>
      </c>
      <c r="B7" s="198"/>
      <c r="C7" s="200" t="s">
        <v>24</v>
      </c>
      <c r="D7" s="202" t="s">
        <v>25</v>
      </c>
      <c r="E7" s="204" t="s">
        <v>19</v>
      </c>
      <c r="F7" s="205"/>
      <c r="G7" s="204" t="s">
        <v>26</v>
      </c>
      <c r="H7" s="205"/>
      <c r="I7" s="216" t="s">
        <v>27</v>
      </c>
      <c r="J7" s="114"/>
      <c r="K7" s="17"/>
      <c r="L7" s="192" t="s">
        <v>7</v>
      </c>
      <c r="M7" s="194" t="s">
        <v>8</v>
      </c>
      <c r="N7" s="196" t="s">
        <v>9</v>
      </c>
      <c r="O7" s="210" t="s">
        <v>10</v>
      </c>
      <c r="P7" s="212" t="s">
        <v>11</v>
      </c>
    </row>
    <row r="8" spans="1:19" s="13" customFormat="1" ht="44.25" customHeight="1" thickBot="1">
      <c r="A8" s="199"/>
      <c r="B8" s="199"/>
      <c r="C8" s="201"/>
      <c r="D8" s="203"/>
      <c r="E8" s="206"/>
      <c r="F8" s="207"/>
      <c r="G8" s="206"/>
      <c r="H8" s="207"/>
      <c r="I8" s="217"/>
      <c r="J8" s="121"/>
      <c r="K8" s="122"/>
      <c r="L8" s="193"/>
      <c r="M8" s="195"/>
      <c r="N8" s="197"/>
      <c r="O8" s="211"/>
      <c r="P8" s="213"/>
    </row>
    <row r="9" spans="1:19" ht="18.95" customHeight="1" thickTop="1">
      <c r="A9" s="123"/>
      <c r="B9" s="125"/>
      <c r="C9" s="18"/>
      <c r="D9" s="107"/>
      <c r="E9" s="214"/>
      <c r="F9" s="215"/>
      <c r="G9" s="214"/>
      <c r="H9" s="215"/>
      <c r="I9" s="136"/>
      <c r="J9" s="116"/>
      <c r="K9" s="126"/>
      <c r="L9" s="128">
        <f>SUM(J9:K9)</f>
        <v>0</v>
      </c>
      <c r="M9" s="117">
        <f>I9-L9</f>
        <v>0</v>
      </c>
      <c r="N9" s="118">
        <f>G9-I9</f>
        <v>0</v>
      </c>
      <c r="O9" s="119"/>
      <c r="P9" s="120" t="e">
        <f>L9/O9</f>
        <v>#DIV/0!</v>
      </c>
    </row>
    <row r="10" spans="1:19" ht="18.95" customHeight="1">
      <c r="A10" s="124"/>
      <c r="B10" s="88"/>
      <c r="C10" s="61"/>
      <c r="D10" s="108"/>
      <c r="E10" s="180"/>
      <c r="F10" s="181"/>
      <c r="G10" s="180"/>
      <c r="H10" s="181"/>
      <c r="I10" s="137"/>
      <c r="J10" s="65"/>
      <c r="K10" s="127"/>
      <c r="L10" s="129">
        <f>SUM(J10:K10)</f>
        <v>0</v>
      </c>
      <c r="M10" s="62">
        <f>I10-L10</f>
        <v>0</v>
      </c>
      <c r="N10" s="63">
        <f>G10-I10</f>
        <v>0</v>
      </c>
      <c r="O10" s="67"/>
      <c r="P10" s="64" t="e">
        <f t="shared" ref="P10" si="0">L10/O10</f>
        <v>#DIV/0!</v>
      </c>
      <c r="S10" s="21"/>
    </row>
    <row r="11" spans="1:19" ht="18.95" customHeight="1" thickBot="1">
      <c r="A11" s="22"/>
      <c r="B11" s="23" t="s">
        <v>12</v>
      </c>
      <c r="C11" s="24"/>
      <c r="D11" s="24"/>
      <c r="E11" s="184">
        <f>SUM(E9:F10)</f>
        <v>0</v>
      </c>
      <c r="F11" s="185"/>
      <c r="G11" s="184">
        <f>SUM(G9:H10)</f>
        <v>0</v>
      </c>
      <c r="H11" s="185"/>
      <c r="I11" s="155">
        <f>SUM(I9:I10)</f>
        <v>0</v>
      </c>
      <c r="J11" s="25"/>
      <c r="K11" s="26"/>
      <c r="L11" s="27">
        <f>SUM(L9:L10)</f>
        <v>0</v>
      </c>
      <c r="M11" s="27">
        <f>SUM(M9:M10)</f>
        <v>0</v>
      </c>
      <c r="N11" s="28">
        <f>SUM(N9:N10)</f>
        <v>0</v>
      </c>
      <c r="O11" s="131">
        <f>SUM(O9:O10)</f>
        <v>0</v>
      </c>
      <c r="P11" s="29"/>
    </row>
    <row r="12" spans="1:19" ht="15" customHeight="1" thickTop="1">
      <c r="A12" s="186"/>
      <c r="B12" s="187"/>
      <c r="C12" s="187"/>
      <c r="D12" s="187"/>
      <c r="E12" s="188"/>
      <c r="F12" s="188"/>
      <c r="G12" s="188"/>
      <c r="H12" s="188"/>
      <c r="I12" s="188"/>
      <c r="J12" s="187"/>
      <c r="K12" s="187"/>
      <c r="L12" s="187"/>
      <c r="M12" s="187"/>
      <c r="N12" s="187"/>
      <c r="O12" s="188"/>
      <c r="P12" s="189"/>
    </row>
    <row r="13" spans="1:19" ht="18.95" customHeight="1">
      <c r="A13" s="77"/>
      <c r="B13" s="78" t="s">
        <v>13</v>
      </c>
      <c r="C13" s="78"/>
      <c r="D13" s="79"/>
      <c r="E13" s="190" t="s">
        <v>28</v>
      </c>
      <c r="F13" s="191"/>
      <c r="G13" s="190" t="s">
        <v>14</v>
      </c>
      <c r="H13" s="191"/>
      <c r="I13" s="80" t="s">
        <v>15</v>
      </c>
      <c r="J13" s="81"/>
      <c r="K13" s="81"/>
      <c r="L13" s="81"/>
      <c r="M13" s="82"/>
      <c r="N13" s="83"/>
      <c r="O13" s="83"/>
      <c r="P13" s="84"/>
    </row>
    <row r="14" spans="1:19" ht="18.95" customHeight="1">
      <c r="A14" s="85"/>
      <c r="B14" s="87"/>
      <c r="C14" s="66"/>
      <c r="D14" s="109"/>
      <c r="E14" s="178"/>
      <c r="F14" s="179"/>
      <c r="G14" s="178"/>
      <c r="H14" s="179"/>
      <c r="I14" s="138"/>
      <c r="J14" s="19"/>
      <c r="K14" s="20"/>
      <c r="L14" s="115">
        <f>SUM(J14:K14)</f>
        <v>0</v>
      </c>
      <c r="M14" s="112">
        <f>I14-L14</f>
        <v>0</v>
      </c>
      <c r="N14" s="113">
        <f>G14-I14</f>
        <v>0</v>
      </c>
      <c r="O14" s="59"/>
      <c r="P14" s="68" t="e">
        <f>L14/O14</f>
        <v>#DIV/0!</v>
      </c>
    </row>
    <row r="15" spans="1:19" ht="18.95" customHeight="1">
      <c r="A15" s="86"/>
      <c r="B15" s="88"/>
      <c r="C15" s="61"/>
      <c r="D15" s="108"/>
      <c r="E15" s="180"/>
      <c r="F15" s="181"/>
      <c r="G15" s="180"/>
      <c r="H15" s="181"/>
      <c r="I15" s="139"/>
      <c r="J15" s="89"/>
      <c r="K15" s="90"/>
      <c r="L15" s="129">
        <f t="shared" ref="L15" si="1">SUM(J15:K15)</f>
        <v>0</v>
      </c>
      <c r="M15" s="62">
        <f t="shared" ref="M15" si="2">I15-L15</f>
        <v>0</v>
      </c>
      <c r="N15" s="135">
        <f t="shared" ref="N15" si="3">G15-I15</f>
        <v>0</v>
      </c>
      <c r="O15" s="60"/>
      <c r="P15" s="111" t="e">
        <f>L15/O15</f>
        <v>#DIV/0!</v>
      </c>
    </row>
    <row r="16" spans="1:19" ht="18.95" customHeight="1" thickBot="1">
      <c r="A16" s="69"/>
      <c r="B16" s="30" t="s">
        <v>16</v>
      </c>
      <c r="C16" s="30"/>
      <c r="D16" s="31"/>
      <c r="E16" s="165">
        <f>SUM(E14:E15)</f>
        <v>0</v>
      </c>
      <c r="F16" s="166"/>
      <c r="G16" s="165">
        <f>SUM(G14:G15)</f>
        <v>0</v>
      </c>
      <c r="H16" s="166"/>
      <c r="I16" s="32">
        <f>SUM(I14:I15)</f>
        <v>0</v>
      </c>
      <c r="J16" s="33"/>
      <c r="K16" s="33"/>
      <c r="L16" s="132">
        <f>SUM(L14:L15)</f>
        <v>0</v>
      </c>
      <c r="M16" s="133">
        <f>SUM(M14:M15)</f>
        <v>0</v>
      </c>
      <c r="N16" s="134">
        <f>SUM(N14:N15)</f>
        <v>0</v>
      </c>
      <c r="O16" s="34">
        <f>SUM(O14:O15)</f>
        <v>0</v>
      </c>
      <c r="P16" s="110"/>
    </row>
    <row r="17" spans="1:16" ht="2.25" customHeight="1" thickTop="1" thickBot="1">
      <c r="A17" s="70"/>
      <c r="B17" s="35"/>
      <c r="C17" s="35"/>
      <c r="D17" s="35"/>
      <c r="E17" s="35"/>
      <c r="F17" s="36"/>
      <c r="G17" s="35"/>
      <c r="H17" s="36"/>
      <c r="I17" s="37"/>
      <c r="J17" s="36"/>
      <c r="K17" s="36"/>
      <c r="L17" s="36"/>
      <c r="M17" s="38"/>
      <c r="N17" s="39"/>
      <c r="O17" s="40"/>
      <c r="P17" s="71"/>
    </row>
    <row r="18" spans="1:16" ht="26.25" customHeight="1" thickTop="1" thickBot="1">
      <c r="A18" s="72"/>
      <c r="B18" s="73" t="s">
        <v>17</v>
      </c>
      <c r="C18" s="73"/>
      <c r="D18" s="73"/>
      <c r="E18" s="167"/>
      <c r="F18" s="168"/>
      <c r="G18" s="167"/>
      <c r="H18" s="168"/>
      <c r="I18" s="41"/>
      <c r="J18" s="41"/>
      <c r="K18" s="41"/>
      <c r="L18" s="42">
        <f>SUM(L16,L11)</f>
        <v>0</v>
      </c>
      <c r="M18" s="43">
        <f>SUM(M16,M11)</f>
        <v>0</v>
      </c>
      <c r="N18" s="74">
        <f>N11+N16</f>
        <v>0</v>
      </c>
      <c r="O18" s="75">
        <f>SUM(O16,O11)</f>
        <v>0</v>
      </c>
      <c r="P18" s="76"/>
    </row>
    <row r="19" spans="1:16" ht="2.25" customHeight="1" thickTop="1">
      <c r="A19" s="93"/>
      <c r="B19" s="94"/>
      <c r="C19" s="94"/>
      <c r="D19" s="94"/>
      <c r="E19" s="94"/>
      <c r="F19" s="95"/>
      <c r="G19" s="94"/>
      <c r="H19" s="95"/>
      <c r="I19" s="96"/>
      <c r="J19" s="95"/>
      <c r="K19" s="95"/>
      <c r="L19" s="95"/>
      <c r="M19" s="97"/>
      <c r="N19" s="98"/>
      <c r="O19" s="99"/>
      <c r="P19" s="100"/>
    </row>
    <row r="20" spans="1:16" ht="18.2" customHeight="1">
      <c r="A20" s="101"/>
      <c r="B20" s="102"/>
      <c r="C20" s="102"/>
      <c r="D20" s="102"/>
      <c r="E20" s="182"/>
      <c r="F20" s="183"/>
      <c r="G20" s="182"/>
      <c r="H20" s="183"/>
      <c r="I20" s="103"/>
      <c r="J20" s="91"/>
      <c r="K20" s="91"/>
      <c r="L20" s="91"/>
      <c r="M20" s="104"/>
      <c r="N20" s="105"/>
      <c r="O20" s="106"/>
      <c r="P20" s="105"/>
    </row>
    <row r="21" spans="1:16" ht="18.2" customHeight="1">
      <c r="A21" s="162"/>
      <c r="B21" s="388"/>
      <c r="C21" s="389"/>
      <c r="D21" s="390"/>
      <c r="E21" s="391"/>
      <c r="F21" s="392"/>
      <c r="G21" s="391"/>
      <c r="H21" s="392"/>
      <c r="I21" s="393"/>
      <c r="J21" s="394"/>
      <c r="K21" s="394"/>
      <c r="L21" s="149">
        <f>SUM(J21:K21)</f>
        <v>0</v>
      </c>
      <c r="M21" s="150">
        <f>I21-L21</f>
        <v>0</v>
      </c>
      <c r="N21" s="151">
        <f>G21-I21</f>
        <v>0</v>
      </c>
      <c r="O21" s="152"/>
      <c r="P21" s="153" t="e">
        <f>L21/O21</f>
        <v>#DIV/0!</v>
      </c>
    </row>
    <row r="22" spans="1:16" ht="18.2" customHeight="1">
      <c r="A22" s="163"/>
      <c r="B22" s="395"/>
      <c r="C22" s="396"/>
      <c r="D22" s="397"/>
      <c r="E22" s="398"/>
      <c r="F22" s="399"/>
      <c r="G22" s="398"/>
      <c r="H22" s="399"/>
      <c r="I22" s="400"/>
      <c r="J22" s="91"/>
      <c r="K22" s="91"/>
      <c r="L22" s="140">
        <f>SUM(J22:K22)</f>
        <v>0</v>
      </c>
      <c r="M22" s="141">
        <f>I22-L22</f>
        <v>0</v>
      </c>
      <c r="N22" s="142">
        <f>G22-I22</f>
        <v>0</v>
      </c>
      <c r="O22" s="143"/>
      <c r="P22" s="144" t="e">
        <f>L22/O22</f>
        <v>#DIV/0!</v>
      </c>
    </row>
    <row r="23" spans="1:16" ht="18.95" customHeight="1" thickBot="1">
      <c r="A23" s="156"/>
      <c r="B23" s="157" t="s">
        <v>30</v>
      </c>
      <c r="C23" s="158"/>
      <c r="D23" s="159"/>
      <c r="E23" s="175">
        <f>SUM(E21:F22)</f>
        <v>0</v>
      </c>
      <c r="F23" s="176"/>
      <c r="G23" s="177">
        <f>SUM(G21:H22)</f>
        <v>0</v>
      </c>
      <c r="H23" s="176"/>
      <c r="I23" s="160">
        <f>SUM(I21:I22)</f>
        <v>0</v>
      </c>
      <c r="J23" s="25"/>
      <c r="K23" s="26"/>
      <c r="L23" s="27">
        <f>SUM(L21:L22)</f>
        <v>0</v>
      </c>
      <c r="M23" s="27">
        <f>SUM(M21:M22)</f>
        <v>0</v>
      </c>
      <c r="N23" s="154">
        <f>SUM(N21:N22)</f>
        <v>0</v>
      </c>
      <c r="O23" s="130">
        <f>SUM(O21:O22)</f>
        <v>0</v>
      </c>
      <c r="P23" s="29"/>
    </row>
    <row r="24" spans="1:16" ht="18.2" customHeight="1" thickTop="1">
      <c r="A24" s="44"/>
      <c r="B24" s="171" t="s">
        <v>18</v>
      </c>
      <c r="C24" s="172"/>
      <c r="D24" s="92"/>
      <c r="E24" s="173">
        <f>SUM(E11,E16,E23)</f>
        <v>0</v>
      </c>
      <c r="F24" s="174"/>
      <c r="G24" s="173">
        <f>SUM(G11,G16,G23)</f>
        <v>0</v>
      </c>
      <c r="H24" s="174"/>
      <c r="I24" s="45">
        <f>SUM(I23,I16,I11)</f>
        <v>0</v>
      </c>
      <c r="J24" s="46">
        <f>SUM(J9:J22)</f>
        <v>0</v>
      </c>
      <c r="K24" s="46">
        <f>SUM(K9:K22)</f>
        <v>0</v>
      </c>
      <c r="L24" s="46">
        <f>SUM(J24:K24)</f>
        <v>0</v>
      </c>
      <c r="M24" s="47">
        <f>I24-L24</f>
        <v>0</v>
      </c>
      <c r="N24" s="48">
        <f>SUM(N23,N18)</f>
        <v>0</v>
      </c>
      <c r="O24" s="49">
        <f>SUM(O23,O18)</f>
        <v>0</v>
      </c>
      <c r="P24" s="50"/>
    </row>
    <row r="25" spans="1:16" ht="25.5" customHeight="1">
      <c r="A25" s="51"/>
      <c r="B25" s="51"/>
      <c r="C25" s="51"/>
      <c r="D25" s="51"/>
      <c r="E25" s="51"/>
      <c r="F25" s="52"/>
      <c r="G25" s="51"/>
      <c r="H25" s="52"/>
      <c r="I25" s="53"/>
      <c r="J25" s="53"/>
      <c r="K25" s="53"/>
      <c r="L25" s="53"/>
      <c r="M25" s="54"/>
      <c r="N25" s="51"/>
      <c r="O25" s="51"/>
    </row>
    <row r="26" spans="1:16" ht="6" customHeight="1"/>
    <row r="28" spans="1:16" ht="18" customHeight="1">
      <c r="A28" s="164"/>
      <c r="B28" s="164"/>
      <c r="C28" s="164"/>
      <c r="D28" s="164"/>
      <c r="E28" s="164"/>
      <c r="F28" s="164"/>
      <c r="G28" s="164"/>
      <c r="H28" s="164"/>
      <c r="I28" s="164"/>
      <c r="J28" s="164"/>
      <c r="K28" s="164"/>
    </row>
    <row r="29" spans="1:16" ht="18" customHeight="1">
      <c r="A29" s="164"/>
      <c r="B29" s="164"/>
      <c r="C29" s="164"/>
      <c r="D29" s="164"/>
      <c r="E29" s="164"/>
      <c r="F29" s="164"/>
    </row>
    <row r="30" spans="1:16" ht="18" customHeight="1">
      <c r="A30" s="164"/>
      <c r="B30" s="164"/>
      <c r="C30" s="164"/>
      <c r="D30" s="164"/>
      <c r="E30" s="164"/>
      <c r="F30" s="164"/>
    </row>
  </sheetData>
  <mergeCells count="60"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  <mergeCell ref="A5:B5"/>
    <mergeCell ref="C5:H5"/>
    <mergeCell ref="J5:K5"/>
    <mergeCell ref="A6:B6"/>
    <mergeCell ref="C6:F6"/>
    <mergeCell ref="G6:H6"/>
    <mergeCell ref="J6:K6"/>
    <mergeCell ref="O7:O8"/>
    <mergeCell ref="P7:P8"/>
    <mergeCell ref="E9:F9"/>
    <mergeCell ref="G9:H9"/>
    <mergeCell ref="I7:I8"/>
    <mergeCell ref="A7:B8"/>
    <mergeCell ref="C7:C8"/>
    <mergeCell ref="D7:D8"/>
    <mergeCell ref="E7:F8"/>
    <mergeCell ref="G7:H8"/>
    <mergeCell ref="E10:F10"/>
    <mergeCell ref="G10:H10"/>
    <mergeCell ref="L7:L8"/>
    <mergeCell ref="M7:M8"/>
    <mergeCell ref="N7:N8"/>
    <mergeCell ref="E11:F11"/>
    <mergeCell ref="G11:H11"/>
    <mergeCell ref="A12:P12"/>
    <mergeCell ref="E13:F13"/>
    <mergeCell ref="G13:H13"/>
    <mergeCell ref="G23:H23"/>
    <mergeCell ref="E14:F14"/>
    <mergeCell ref="G14:H14"/>
    <mergeCell ref="E15:F15"/>
    <mergeCell ref="G15:H15"/>
    <mergeCell ref="E20:F20"/>
    <mergeCell ref="G20:H20"/>
    <mergeCell ref="A21:A22"/>
    <mergeCell ref="E22:F22"/>
    <mergeCell ref="G22:H22"/>
    <mergeCell ref="A30:F30"/>
    <mergeCell ref="E16:F16"/>
    <mergeCell ref="G16:H16"/>
    <mergeCell ref="E18:F18"/>
    <mergeCell ref="G18:H18"/>
    <mergeCell ref="E21:F21"/>
    <mergeCell ref="G21:H21"/>
    <mergeCell ref="B24:C24"/>
    <mergeCell ref="E24:F24"/>
    <mergeCell ref="G24:H24"/>
    <mergeCell ref="A28:K28"/>
    <mergeCell ref="A29:F29"/>
    <mergeCell ref="E23:F23"/>
  </mergeCells>
  <phoneticPr fontId="2"/>
  <pageMargins left="0.7" right="0.7" top="0.75" bottom="0.75" header="0.3" footer="0.3"/>
  <pageSetup paperSize="9" scale="4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399D-C19C-4495-BB8B-C16974F92914}">
  <sheetPr codeName="Sheet1"/>
  <dimension ref="C3"/>
  <sheetViews>
    <sheetView workbookViewId="0"/>
  </sheetViews>
  <sheetFormatPr defaultRowHeight="18.75"/>
  <sheetData>
    <row r="3" spans="3:3">
      <c r="C3" s="58" t="s">
        <v>29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CSVWithDynamicCostColumns">
                <anchor moveWithCells="1">
                  <from>
                    <xdr:col>2</xdr:col>
                    <xdr:colOff>342900</xdr:colOff>
                    <xdr:row>4</xdr:row>
                    <xdr:rowOff>0</xdr:rowOff>
                  </from>
                  <to>
                    <xdr:col>5</xdr:col>
                    <xdr:colOff>133350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60A59-5467-4EE9-A855-3F45BD3ED347}">
  <sheetPr codeName="Sheet8"/>
  <dimension ref="A1:AM46"/>
  <sheetViews>
    <sheetView view="pageBreakPreview" zoomScaleNormal="100" zoomScaleSheetLayoutView="100" workbookViewId="0">
      <pane xSplit="2" ySplit="6" topLeftCell="C26" activePane="bottomRight" state="frozen"/>
      <selection pane="topRight" activeCell="C1" sqref="C1"/>
      <selection pane="bottomLeft" activeCell="A9" sqref="A9"/>
      <selection pane="bottomRight" sqref="A1:B1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55" customWidth="1"/>
    <col min="7" max="7" width="7.625" style="13" customWidth="1"/>
    <col min="8" max="8" width="7.625" style="55" customWidth="1"/>
    <col min="9" max="9" width="15.375" style="56" customWidth="1"/>
    <col min="10" max="22" width="8.625" style="56" customWidth="1"/>
    <col min="23" max="23" width="8.625" style="57" customWidth="1"/>
    <col min="24" max="24" width="11.125" style="13" customWidth="1"/>
    <col min="25" max="25" width="8.625" style="13" customWidth="1"/>
    <col min="26" max="26" width="8.625" style="7" customWidth="1"/>
    <col min="27" max="264" width="9" style="7"/>
    <col min="265" max="265" width="8.625" style="7" customWidth="1"/>
    <col min="266" max="266" width="19.625" style="7" customWidth="1"/>
    <col min="267" max="267" width="8.625" style="7" customWidth="1"/>
    <col min="268" max="269" width="7.625" style="7" customWidth="1"/>
    <col min="270" max="270" width="11.125" style="7" customWidth="1"/>
    <col min="271" max="279" width="8.625" style="7" customWidth="1"/>
    <col min="280" max="280" width="11.125" style="7" customWidth="1"/>
    <col min="281" max="282" width="8.625" style="7" customWidth="1"/>
    <col min="283" max="520" width="9" style="7"/>
    <col min="521" max="521" width="8.625" style="7" customWidth="1"/>
    <col min="522" max="522" width="19.625" style="7" customWidth="1"/>
    <col min="523" max="523" width="8.625" style="7" customWidth="1"/>
    <col min="524" max="525" width="7.625" style="7" customWidth="1"/>
    <col min="526" max="526" width="11.125" style="7" customWidth="1"/>
    <col min="527" max="535" width="8.625" style="7" customWidth="1"/>
    <col min="536" max="536" width="11.125" style="7" customWidth="1"/>
    <col min="537" max="538" width="8.625" style="7" customWidth="1"/>
    <col min="539" max="776" width="9" style="7"/>
    <col min="777" max="777" width="8.625" style="7" customWidth="1"/>
    <col min="778" max="778" width="19.625" style="7" customWidth="1"/>
    <col min="779" max="779" width="8.625" style="7" customWidth="1"/>
    <col min="780" max="781" width="7.625" style="7" customWidth="1"/>
    <col min="782" max="782" width="11.125" style="7" customWidth="1"/>
    <col min="783" max="791" width="8.625" style="7" customWidth="1"/>
    <col min="792" max="792" width="11.125" style="7" customWidth="1"/>
    <col min="793" max="794" width="8.625" style="7" customWidth="1"/>
    <col min="795" max="1032" width="9" style="7"/>
    <col min="1033" max="1033" width="8.625" style="7" customWidth="1"/>
    <col min="1034" max="1034" width="19.625" style="7" customWidth="1"/>
    <col min="1035" max="1035" width="8.625" style="7" customWidth="1"/>
    <col min="1036" max="1037" width="7.625" style="7" customWidth="1"/>
    <col min="1038" max="1038" width="11.125" style="7" customWidth="1"/>
    <col min="1039" max="1047" width="8.625" style="7" customWidth="1"/>
    <col min="1048" max="1048" width="11.125" style="7" customWidth="1"/>
    <col min="1049" max="1050" width="8.625" style="7" customWidth="1"/>
    <col min="1051" max="1288" width="9" style="7"/>
    <col min="1289" max="1289" width="8.625" style="7" customWidth="1"/>
    <col min="1290" max="1290" width="19.625" style="7" customWidth="1"/>
    <col min="1291" max="1291" width="8.625" style="7" customWidth="1"/>
    <col min="1292" max="1293" width="7.625" style="7" customWidth="1"/>
    <col min="1294" max="1294" width="11.125" style="7" customWidth="1"/>
    <col min="1295" max="1303" width="8.625" style="7" customWidth="1"/>
    <col min="1304" max="1304" width="11.125" style="7" customWidth="1"/>
    <col min="1305" max="1306" width="8.625" style="7" customWidth="1"/>
    <col min="1307" max="1544" width="9" style="7"/>
    <col min="1545" max="1545" width="8.625" style="7" customWidth="1"/>
    <col min="1546" max="1546" width="19.625" style="7" customWidth="1"/>
    <col min="1547" max="1547" width="8.625" style="7" customWidth="1"/>
    <col min="1548" max="1549" width="7.625" style="7" customWidth="1"/>
    <col min="1550" max="1550" width="11.125" style="7" customWidth="1"/>
    <col min="1551" max="1559" width="8.625" style="7" customWidth="1"/>
    <col min="1560" max="1560" width="11.125" style="7" customWidth="1"/>
    <col min="1561" max="1562" width="8.625" style="7" customWidth="1"/>
    <col min="1563" max="1800" width="9" style="7"/>
    <col min="1801" max="1801" width="8.625" style="7" customWidth="1"/>
    <col min="1802" max="1802" width="19.625" style="7" customWidth="1"/>
    <col min="1803" max="1803" width="8.625" style="7" customWidth="1"/>
    <col min="1804" max="1805" width="7.625" style="7" customWidth="1"/>
    <col min="1806" max="1806" width="11.125" style="7" customWidth="1"/>
    <col min="1807" max="1815" width="8.625" style="7" customWidth="1"/>
    <col min="1816" max="1816" width="11.125" style="7" customWidth="1"/>
    <col min="1817" max="1818" width="8.625" style="7" customWidth="1"/>
    <col min="1819" max="2056" width="9" style="7"/>
    <col min="2057" max="2057" width="8.625" style="7" customWidth="1"/>
    <col min="2058" max="2058" width="19.625" style="7" customWidth="1"/>
    <col min="2059" max="2059" width="8.625" style="7" customWidth="1"/>
    <col min="2060" max="2061" width="7.625" style="7" customWidth="1"/>
    <col min="2062" max="2062" width="11.125" style="7" customWidth="1"/>
    <col min="2063" max="2071" width="8.625" style="7" customWidth="1"/>
    <col min="2072" max="2072" width="11.125" style="7" customWidth="1"/>
    <col min="2073" max="2074" width="8.625" style="7" customWidth="1"/>
    <col min="2075" max="2312" width="9" style="7"/>
    <col min="2313" max="2313" width="8.625" style="7" customWidth="1"/>
    <col min="2314" max="2314" width="19.625" style="7" customWidth="1"/>
    <col min="2315" max="2315" width="8.625" style="7" customWidth="1"/>
    <col min="2316" max="2317" width="7.625" style="7" customWidth="1"/>
    <col min="2318" max="2318" width="11.125" style="7" customWidth="1"/>
    <col min="2319" max="2327" width="8.625" style="7" customWidth="1"/>
    <col min="2328" max="2328" width="11.125" style="7" customWidth="1"/>
    <col min="2329" max="2330" width="8.625" style="7" customWidth="1"/>
    <col min="2331" max="2568" width="9" style="7"/>
    <col min="2569" max="2569" width="8.625" style="7" customWidth="1"/>
    <col min="2570" max="2570" width="19.625" style="7" customWidth="1"/>
    <col min="2571" max="2571" width="8.625" style="7" customWidth="1"/>
    <col min="2572" max="2573" width="7.625" style="7" customWidth="1"/>
    <col min="2574" max="2574" width="11.125" style="7" customWidth="1"/>
    <col min="2575" max="2583" width="8.625" style="7" customWidth="1"/>
    <col min="2584" max="2584" width="11.125" style="7" customWidth="1"/>
    <col min="2585" max="2586" width="8.625" style="7" customWidth="1"/>
    <col min="2587" max="2824" width="9" style="7"/>
    <col min="2825" max="2825" width="8.625" style="7" customWidth="1"/>
    <col min="2826" max="2826" width="19.625" style="7" customWidth="1"/>
    <col min="2827" max="2827" width="8.625" style="7" customWidth="1"/>
    <col min="2828" max="2829" width="7.625" style="7" customWidth="1"/>
    <col min="2830" max="2830" width="11.125" style="7" customWidth="1"/>
    <col min="2831" max="2839" width="8.625" style="7" customWidth="1"/>
    <col min="2840" max="2840" width="11.125" style="7" customWidth="1"/>
    <col min="2841" max="2842" width="8.625" style="7" customWidth="1"/>
    <col min="2843" max="3080" width="9" style="7"/>
    <col min="3081" max="3081" width="8.625" style="7" customWidth="1"/>
    <col min="3082" max="3082" width="19.625" style="7" customWidth="1"/>
    <col min="3083" max="3083" width="8.625" style="7" customWidth="1"/>
    <col min="3084" max="3085" width="7.625" style="7" customWidth="1"/>
    <col min="3086" max="3086" width="11.125" style="7" customWidth="1"/>
    <col min="3087" max="3095" width="8.625" style="7" customWidth="1"/>
    <col min="3096" max="3096" width="11.125" style="7" customWidth="1"/>
    <col min="3097" max="3098" width="8.625" style="7" customWidth="1"/>
    <col min="3099" max="3336" width="9" style="7"/>
    <col min="3337" max="3337" width="8.625" style="7" customWidth="1"/>
    <col min="3338" max="3338" width="19.625" style="7" customWidth="1"/>
    <col min="3339" max="3339" width="8.625" style="7" customWidth="1"/>
    <col min="3340" max="3341" width="7.625" style="7" customWidth="1"/>
    <col min="3342" max="3342" width="11.125" style="7" customWidth="1"/>
    <col min="3343" max="3351" width="8.625" style="7" customWidth="1"/>
    <col min="3352" max="3352" width="11.125" style="7" customWidth="1"/>
    <col min="3353" max="3354" width="8.625" style="7" customWidth="1"/>
    <col min="3355" max="3592" width="9" style="7"/>
    <col min="3593" max="3593" width="8.625" style="7" customWidth="1"/>
    <col min="3594" max="3594" width="19.625" style="7" customWidth="1"/>
    <col min="3595" max="3595" width="8.625" style="7" customWidth="1"/>
    <col min="3596" max="3597" width="7.625" style="7" customWidth="1"/>
    <col min="3598" max="3598" width="11.125" style="7" customWidth="1"/>
    <col min="3599" max="3607" width="8.625" style="7" customWidth="1"/>
    <col min="3608" max="3608" width="11.125" style="7" customWidth="1"/>
    <col min="3609" max="3610" width="8.625" style="7" customWidth="1"/>
    <col min="3611" max="3848" width="9" style="7"/>
    <col min="3849" max="3849" width="8.625" style="7" customWidth="1"/>
    <col min="3850" max="3850" width="19.625" style="7" customWidth="1"/>
    <col min="3851" max="3851" width="8.625" style="7" customWidth="1"/>
    <col min="3852" max="3853" width="7.625" style="7" customWidth="1"/>
    <col min="3854" max="3854" width="11.125" style="7" customWidth="1"/>
    <col min="3855" max="3863" width="8.625" style="7" customWidth="1"/>
    <col min="3864" max="3864" width="11.125" style="7" customWidth="1"/>
    <col min="3865" max="3866" width="8.625" style="7" customWidth="1"/>
    <col min="3867" max="4104" width="9" style="7"/>
    <col min="4105" max="4105" width="8.625" style="7" customWidth="1"/>
    <col min="4106" max="4106" width="19.625" style="7" customWidth="1"/>
    <col min="4107" max="4107" width="8.625" style="7" customWidth="1"/>
    <col min="4108" max="4109" width="7.625" style="7" customWidth="1"/>
    <col min="4110" max="4110" width="11.125" style="7" customWidth="1"/>
    <col min="4111" max="4119" width="8.625" style="7" customWidth="1"/>
    <col min="4120" max="4120" width="11.125" style="7" customWidth="1"/>
    <col min="4121" max="4122" width="8.625" style="7" customWidth="1"/>
    <col min="4123" max="4360" width="9" style="7"/>
    <col min="4361" max="4361" width="8.625" style="7" customWidth="1"/>
    <col min="4362" max="4362" width="19.625" style="7" customWidth="1"/>
    <col min="4363" max="4363" width="8.625" style="7" customWidth="1"/>
    <col min="4364" max="4365" width="7.625" style="7" customWidth="1"/>
    <col min="4366" max="4366" width="11.125" style="7" customWidth="1"/>
    <col min="4367" max="4375" width="8.625" style="7" customWidth="1"/>
    <col min="4376" max="4376" width="11.125" style="7" customWidth="1"/>
    <col min="4377" max="4378" width="8.625" style="7" customWidth="1"/>
    <col min="4379" max="4616" width="9" style="7"/>
    <col min="4617" max="4617" width="8.625" style="7" customWidth="1"/>
    <col min="4618" max="4618" width="19.625" style="7" customWidth="1"/>
    <col min="4619" max="4619" width="8.625" style="7" customWidth="1"/>
    <col min="4620" max="4621" width="7.625" style="7" customWidth="1"/>
    <col min="4622" max="4622" width="11.125" style="7" customWidth="1"/>
    <col min="4623" max="4631" width="8.625" style="7" customWidth="1"/>
    <col min="4632" max="4632" width="11.125" style="7" customWidth="1"/>
    <col min="4633" max="4634" width="8.625" style="7" customWidth="1"/>
    <col min="4635" max="4872" width="9" style="7"/>
    <col min="4873" max="4873" width="8.625" style="7" customWidth="1"/>
    <col min="4874" max="4874" width="19.625" style="7" customWidth="1"/>
    <col min="4875" max="4875" width="8.625" style="7" customWidth="1"/>
    <col min="4876" max="4877" width="7.625" style="7" customWidth="1"/>
    <col min="4878" max="4878" width="11.125" style="7" customWidth="1"/>
    <col min="4879" max="4887" width="8.625" style="7" customWidth="1"/>
    <col min="4888" max="4888" width="11.125" style="7" customWidth="1"/>
    <col min="4889" max="4890" width="8.625" style="7" customWidth="1"/>
    <col min="4891" max="5128" width="9" style="7"/>
    <col min="5129" max="5129" width="8.625" style="7" customWidth="1"/>
    <col min="5130" max="5130" width="19.625" style="7" customWidth="1"/>
    <col min="5131" max="5131" width="8.625" style="7" customWidth="1"/>
    <col min="5132" max="5133" width="7.625" style="7" customWidth="1"/>
    <col min="5134" max="5134" width="11.125" style="7" customWidth="1"/>
    <col min="5135" max="5143" width="8.625" style="7" customWidth="1"/>
    <col min="5144" max="5144" width="11.125" style="7" customWidth="1"/>
    <col min="5145" max="5146" width="8.625" style="7" customWidth="1"/>
    <col min="5147" max="5384" width="9" style="7"/>
    <col min="5385" max="5385" width="8.625" style="7" customWidth="1"/>
    <col min="5386" max="5386" width="19.625" style="7" customWidth="1"/>
    <col min="5387" max="5387" width="8.625" style="7" customWidth="1"/>
    <col min="5388" max="5389" width="7.625" style="7" customWidth="1"/>
    <col min="5390" max="5390" width="11.125" style="7" customWidth="1"/>
    <col min="5391" max="5399" width="8.625" style="7" customWidth="1"/>
    <col min="5400" max="5400" width="11.125" style="7" customWidth="1"/>
    <col min="5401" max="5402" width="8.625" style="7" customWidth="1"/>
    <col min="5403" max="5640" width="9" style="7"/>
    <col min="5641" max="5641" width="8.625" style="7" customWidth="1"/>
    <col min="5642" max="5642" width="19.625" style="7" customWidth="1"/>
    <col min="5643" max="5643" width="8.625" style="7" customWidth="1"/>
    <col min="5644" max="5645" width="7.625" style="7" customWidth="1"/>
    <col min="5646" max="5646" width="11.125" style="7" customWidth="1"/>
    <col min="5647" max="5655" width="8.625" style="7" customWidth="1"/>
    <col min="5656" max="5656" width="11.125" style="7" customWidth="1"/>
    <col min="5657" max="5658" width="8.625" style="7" customWidth="1"/>
    <col min="5659" max="5896" width="9" style="7"/>
    <col min="5897" max="5897" width="8.625" style="7" customWidth="1"/>
    <col min="5898" max="5898" width="19.625" style="7" customWidth="1"/>
    <col min="5899" max="5899" width="8.625" style="7" customWidth="1"/>
    <col min="5900" max="5901" width="7.625" style="7" customWidth="1"/>
    <col min="5902" max="5902" width="11.125" style="7" customWidth="1"/>
    <col min="5903" max="5911" width="8.625" style="7" customWidth="1"/>
    <col min="5912" max="5912" width="11.125" style="7" customWidth="1"/>
    <col min="5913" max="5914" width="8.625" style="7" customWidth="1"/>
    <col min="5915" max="6152" width="9" style="7"/>
    <col min="6153" max="6153" width="8.625" style="7" customWidth="1"/>
    <col min="6154" max="6154" width="19.625" style="7" customWidth="1"/>
    <col min="6155" max="6155" width="8.625" style="7" customWidth="1"/>
    <col min="6156" max="6157" width="7.625" style="7" customWidth="1"/>
    <col min="6158" max="6158" width="11.125" style="7" customWidth="1"/>
    <col min="6159" max="6167" width="8.625" style="7" customWidth="1"/>
    <col min="6168" max="6168" width="11.125" style="7" customWidth="1"/>
    <col min="6169" max="6170" width="8.625" style="7" customWidth="1"/>
    <col min="6171" max="6408" width="9" style="7"/>
    <col min="6409" max="6409" width="8.625" style="7" customWidth="1"/>
    <col min="6410" max="6410" width="19.625" style="7" customWidth="1"/>
    <col min="6411" max="6411" width="8.625" style="7" customWidth="1"/>
    <col min="6412" max="6413" width="7.625" style="7" customWidth="1"/>
    <col min="6414" max="6414" width="11.125" style="7" customWidth="1"/>
    <col min="6415" max="6423" width="8.625" style="7" customWidth="1"/>
    <col min="6424" max="6424" width="11.125" style="7" customWidth="1"/>
    <col min="6425" max="6426" width="8.625" style="7" customWidth="1"/>
    <col min="6427" max="6664" width="9" style="7"/>
    <col min="6665" max="6665" width="8.625" style="7" customWidth="1"/>
    <col min="6666" max="6666" width="19.625" style="7" customWidth="1"/>
    <col min="6667" max="6667" width="8.625" style="7" customWidth="1"/>
    <col min="6668" max="6669" width="7.625" style="7" customWidth="1"/>
    <col min="6670" max="6670" width="11.125" style="7" customWidth="1"/>
    <col min="6671" max="6679" width="8.625" style="7" customWidth="1"/>
    <col min="6680" max="6680" width="11.125" style="7" customWidth="1"/>
    <col min="6681" max="6682" width="8.625" style="7" customWidth="1"/>
    <col min="6683" max="6920" width="9" style="7"/>
    <col min="6921" max="6921" width="8.625" style="7" customWidth="1"/>
    <col min="6922" max="6922" width="19.625" style="7" customWidth="1"/>
    <col min="6923" max="6923" width="8.625" style="7" customWidth="1"/>
    <col min="6924" max="6925" width="7.625" style="7" customWidth="1"/>
    <col min="6926" max="6926" width="11.125" style="7" customWidth="1"/>
    <col min="6927" max="6935" width="8.625" style="7" customWidth="1"/>
    <col min="6936" max="6936" width="11.125" style="7" customWidth="1"/>
    <col min="6937" max="6938" width="8.625" style="7" customWidth="1"/>
    <col min="6939" max="7176" width="9" style="7"/>
    <col min="7177" max="7177" width="8.625" style="7" customWidth="1"/>
    <col min="7178" max="7178" width="19.625" style="7" customWidth="1"/>
    <col min="7179" max="7179" width="8.625" style="7" customWidth="1"/>
    <col min="7180" max="7181" width="7.625" style="7" customWidth="1"/>
    <col min="7182" max="7182" width="11.125" style="7" customWidth="1"/>
    <col min="7183" max="7191" width="8.625" style="7" customWidth="1"/>
    <col min="7192" max="7192" width="11.125" style="7" customWidth="1"/>
    <col min="7193" max="7194" width="8.625" style="7" customWidth="1"/>
    <col min="7195" max="7432" width="9" style="7"/>
    <col min="7433" max="7433" width="8.625" style="7" customWidth="1"/>
    <col min="7434" max="7434" width="19.625" style="7" customWidth="1"/>
    <col min="7435" max="7435" width="8.625" style="7" customWidth="1"/>
    <col min="7436" max="7437" width="7.625" style="7" customWidth="1"/>
    <col min="7438" max="7438" width="11.125" style="7" customWidth="1"/>
    <col min="7439" max="7447" width="8.625" style="7" customWidth="1"/>
    <col min="7448" max="7448" width="11.125" style="7" customWidth="1"/>
    <col min="7449" max="7450" width="8.625" style="7" customWidth="1"/>
    <col min="7451" max="7688" width="9" style="7"/>
    <col min="7689" max="7689" width="8.625" style="7" customWidth="1"/>
    <col min="7690" max="7690" width="19.625" style="7" customWidth="1"/>
    <col min="7691" max="7691" width="8.625" style="7" customWidth="1"/>
    <col min="7692" max="7693" width="7.625" style="7" customWidth="1"/>
    <col min="7694" max="7694" width="11.125" style="7" customWidth="1"/>
    <col min="7695" max="7703" width="8.625" style="7" customWidth="1"/>
    <col min="7704" max="7704" width="11.125" style="7" customWidth="1"/>
    <col min="7705" max="7706" width="8.625" style="7" customWidth="1"/>
    <col min="7707" max="7944" width="9" style="7"/>
    <col min="7945" max="7945" width="8.625" style="7" customWidth="1"/>
    <col min="7946" max="7946" width="19.625" style="7" customWidth="1"/>
    <col min="7947" max="7947" width="8.625" style="7" customWidth="1"/>
    <col min="7948" max="7949" width="7.625" style="7" customWidth="1"/>
    <col min="7950" max="7950" width="11.125" style="7" customWidth="1"/>
    <col min="7951" max="7959" width="8.625" style="7" customWidth="1"/>
    <col min="7960" max="7960" width="11.125" style="7" customWidth="1"/>
    <col min="7961" max="7962" width="8.625" style="7" customWidth="1"/>
    <col min="7963" max="8200" width="9" style="7"/>
    <col min="8201" max="8201" width="8.625" style="7" customWidth="1"/>
    <col min="8202" max="8202" width="19.625" style="7" customWidth="1"/>
    <col min="8203" max="8203" width="8.625" style="7" customWidth="1"/>
    <col min="8204" max="8205" width="7.625" style="7" customWidth="1"/>
    <col min="8206" max="8206" width="11.125" style="7" customWidth="1"/>
    <col min="8207" max="8215" width="8.625" style="7" customWidth="1"/>
    <col min="8216" max="8216" width="11.125" style="7" customWidth="1"/>
    <col min="8217" max="8218" width="8.625" style="7" customWidth="1"/>
    <col min="8219" max="8456" width="9" style="7"/>
    <col min="8457" max="8457" width="8.625" style="7" customWidth="1"/>
    <col min="8458" max="8458" width="19.625" style="7" customWidth="1"/>
    <col min="8459" max="8459" width="8.625" style="7" customWidth="1"/>
    <col min="8460" max="8461" width="7.625" style="7" customWidth="1"/>
    <col min="8462" max="8462" width="11.125" style="7" customWidth="1"/>
    <col min="8463" max="8471" width="8.625" style="7" customWidth="1"/>
    <col min="8472" max="8472" width="11.125" style="7" customWidth="1"/>
    <col min="8473" max="8474" width="8.625" style="7" customWidth="1"/>
    <col min="8475" max="8712" width="9" style="7"/>
    <col min="8713" max="8713" width="8.625" style="7" customWidth="1"/>
    <col min="8714" max="8714" width="19.625" style="7" customWidth="1"/>
    <col min="8715" max="8715" width="8.625" style="7" customWidth="1"/>
    <col min="8716" max="8717" width="7.625" style="7" customWidth="1"/>
    <col min="8718" max="8718" width="11.125" style="7" customWidth="1"/>
    <col min="8719" max="8727" width="8.625" style="7" customWidth="1"/>
    <col min="8728" max="8728" width="11.125" style="7" customWidth="1"/>
    <col min="8729" max="8730" width="8.625" style="7" customWidth="1"/>
    <col min="8731" max="8968" width="9" style="7"/>
    <col min="8969" max="8969" width="8.625" style="7" customWidth="1"/>
    <col min="8970" max="8970" width="19.625" style="7" customWidth="1"/>
    <col min="8971" max="8971" width="8.625" style="7" customWidth="1"/>
    <col min="8972" max="8973" width="7.625" style="7" customWidth="1"/>
    <col min="8974" max="8974" width="11.125" style="7" customWidth="1"/>
    <col min="8975" max="8983" width="8.625" style="7" customWidth="1"/>
    <col min="8984" max="8984" width="11.125" style="7" customWidth="1"/>
    <col min="8985" max="8986" width="8.625" style="7" customWidth="1"/>
    <col min="8987" max="9224" width="9" style="7"/>
    <col min="9225" max="9225" width="8.625" style="7" customWidth="1"/>
    <col min="9226" max="9226" width="19.625" style="7" customWidth="1"/>
    <col min="9227" max="9227" width="8.625" style="7" customWidth="1"/>
    <col min="9228" max="9229" width="7.625" style="7" customWidth="1"/>
    <col min="9230" max="9230" width="11.125" style="7" customWidth="1"/>
    <col min="9231" max="9239" width="8.625" style="7" customWidth="1"/>
    <col min="9240" max="9240" width="11.125" style="7" customWidth="1"/>
    <col min="9241" max="9242" width="8.625" style="7" customWidth="1"/>
    <col min="9243" max="9480" width="9" style="7"/>
    <col min="9481" max="9481" width="8.625" style="7" customWidth="1"/>
    <col min="9482" max="9482" width="19.625" style="7" customWidth="1"/>
    <col min="9483" max="9483" width="8.625" style="7" customWidth="1"/>
    <col min="9484" max="9485" width="7.625" style="7" customWidth="1"/>
    <col min="9486" max="9486" width="11.125" style="7" customWidth="1"/>
    <col min="9487" max="9495" width="8.625" style="7" customWidth="1"/>
    <col min="9496" max="9496" width="11.125" style="7" customWidth="1"/>
    <col min="9497" max="9498" width="8.625" style="7" customWidth="1"/>
    <col min="9499" max="9736" width="9" style="7"/>
    <col min="9737" max="9737" width="8.625" style="7" customWidth="1"/>
    <col min="9738" max="9738" width="19.625" style="7" customWidth="1"/>
    <col min="9739" max="9739" width="8.625" style="7" customWidth="1"/>
    <col min="9740" max="9741" width="7.625" style="7" customWidth="1"/>
    <col min="9742" max="9742" width="11.125" style="7" customWidth="1"/>
    <col min="9743" max="9751" width="8.625" style="7" customWidth="1"/>
    <col min="9752" max="9752" width="11.125" style="7" customWidth="1"/>
    <col min="9753" max="9754" width="8.625" style="7" customWidth="1"/>
    <col min="9755" max="9992" width="9" style="7"/>
    <col min="9993" max="9993" width="8.625" style="7" customWidth="1"/>
    <col min="9994" max="9994" width="19.625" style="7" customWidth="1"/>
    <col min="9995" max="9995" width="8.625" style="7" customWidth="1"/>
    <col min="9996" max="9997" width="7.625" style="7" customWidth="1"/>
    <col min="9998" max="9998" width="11.125" style="7" customWidth="1"/>
    <col min="9999" max="10007" width="8.625" style="7" customWidth="1"/>
    <col min="10008" max="10008" width="11.125" style="7" customWidth="1"/>
    <col min="10009" max="10010" width="8.625" style="7" customWidth="1"/>
    <col min="10011" max="10248" width="9" style="7"/>
    <col min="10249" max="10249" width="8.625" style="7" customWidth="1"/>
    <col min="10250" max="10250" width="19.625" style="7" customWidth="1"/>
    <col min="10251" max="10251" width="8.625" style="7" customWidth="1"/>
    <col min="10252" max="10253" width="7.625" style="7" customWidth="1"/>
    <col min="10254" max="10254" width="11.125" style="7" customWidth="1"/>
    <col min="10255" max="10263" width="8.625" style="7" customWidth="1"/>
    <col min="10264" max="10264" width="11.125" style="7" customWidth="1"/>
    <col min="10265" max="10266" width="8.625" style="7" customWidth="1"/>
    <col min="10267" max="10504" width="9" style="7"/>
    <col min="10505" max="10505" width="8.625" style="7" customWidth="1"/>
    <col min="10506" max="10506" width="19.625" style="7" customWidth="1"/>
    <col min="10507" max="10507" width="8.625" style="7" customWidth="1"/>
    <col min="10508" max="10509" width="7.625" style="7" customWidth="1"/>
    <col min="10510" max="10510" width="11.125" style="7" customWidth="1"/>
    <col min="10511" max="10519" width="8.625" style="7" customWidth="1"/>
    <col min="10520" max="10520" width="11.125" style="7" customWidth="1"/>
    <col min="10521" max="10522" width="8.625" style="7" customWidth="1"/>
    <col min="10523" max="10760" width="9" style="7"/>
    <col min="10761" max="10761" width="8.625" style="7" customWidth="1"/>
    <col min="10762" max="10762" width="19.625" style="7" customWidth="1"/>
    <col min="10763" max="10763" width="8.625" style="7" customWidth="1"/>
    <col min="10764" max="10765" width="7.625" style="7" customWidth="1"/>
    <col min="10766" max="10766" width="11.125" style="7" customWidth="1"/>
    <col min="10767" max="10775" width="8.625" style="7" customWidth="1"/>
    <col min="10776" max="10776" width="11.125" style="7" customWidth="1"/>
    <col min="10777" max="10778" width="8.625" style="7" customWidth="1"/>
    <col min="10779" max="11016" width="9" style="7"/>
    <col min="11017" max="11017" width="8.625" style="7" customWidth="1"/>
    <col min="11018" max="11018" width="19.625" style="7" customWidth="1"/>
    <col min="11019" max="11019" width="8.625" style="7" customWidth="1"/>
    <col min="11020" max="11021" width="7.625" style="7" customWidth="1"/>
    <col min="11022" max="11022" width="11.125" style="7" customWidth="1"/>
    <col min="11023" max="11031" width="8.625" style="7" customWidth="1"/>
    <col min="11032" max="11032" width="11.125" style="7" customWidth="1"/>
    <col min="11033" max="11034" width="8.625" style="7" customWidth="1"/>
    <col min="11035" max="11272" width="9" style="7"/>
    <col min="11273" max="11273" width="8.625" style="7" customWidth="1"/>
    <col min="11274" max="11274" width="19.625" style="7" customWidth="1"/>
    <col min="11275" max="11275" width="8.625" style="7" customWidth="1"/>
    <col min="11276" max="11277" width="7.625" style="7" customWidth="1"/>
    <col min="11278" max="11278" width="11.125" style="7" customWidth="1"/>
    <col min="11279" max="11287" width="8.625" style="7" customWidth="1"/>
    <col min="11288" max="11288" width="11.125" style="7" customWidth="1"/>
    <col min="11289" max="11290" width="8.625" style="7" customWidth="1"/>
    <col min="11291" max="11528" width="9" style="7"/>
    <col min="11529" max="11529" width="8.625" style="7" customWidth="1"/>
    <col min="11530" max="11530" width="19.625" style="7" customWidth="1"/>
    <col min="11531" max="11531" width="8.625" style="7" customWidth="1"/>
    <col min="11532" max="11533" width="7.625" style="7" customWidth="1"/>
    <col min="11534" max="11534" width="11.125" style="7" customWidth="1"/>
    <col min="11535" max="11543" width="8.625" style="7" customWidth="1"/>
    <col min="11544" max="11544" width="11.125" style="7" customWidth="1"/>
    <col min="11545" max="11546" width="8.625" style="7" customWidth="1"/>
    <col min="11547" max="11784" width="9" style="7"/>
    <col min="11785" max="11785" width="8.625" style="7" customWidth="1"/>
    <col min="11786" max="11786" width="19.625" style="7" customWidth="1"/>
    <col min="11787" max="11787" width="8.625" style="7" customWidth="1"/>
    <col min="11788" max="11789" width="7.625" style="7" customWidth="1"/>
    <col min="11790" max="11790" width="11.125" style="7" customWidth="1"/>
    <col min="11791" max="11799" width="8.625" style="7" customWidth="1"/>
    <col min="11800" max="11800" width="11.125" style="7" customWidth="1"/>
    <col min="11801" max="11802" width="8.625" style="7" customWidth="1"/>
    <col min="11803" max="12040" width="9" style="7"/>
    <col min="12041" max="12041" width="8.625" style="7" customWidth="1"/>
    <col min="12042" max="12042" width="19.625" style="7" customWidth="1"/>
    <col min="12043" max="12043" width="8.625" style="7" customWidth="1"/>
    <col min="12044" max="12045" width="7.625" style="7" customWidth="1"/>
    <col min="12046" max="12046" width="11.125" style="7" customWidth="1"/>
    <col min="12047" max="12055" width="8.625" style="7" customWidth="1"/>
    <col min="12056" max="12056" width="11.125" style="7" customWidth="1"/>
    <col min="12057" max="12058" width="8.625" style="7" customWidth="1"/>
    <col min="12059" max="12296" width="9" style="7"/>
    <col min="12297" max="12297" width="8.625" style="7" customWidth="1"/>
    <col min="12298" max="12298" width="19.625" style="7" customWidth="1"/>
    <col min="12299" max="12299" width="8.625" style="7" customWidth="1"/>
    <col min="12300" max="12301" width="7.625" style="7" customWidth="1"/>
    <col min="12302" max="12302" width="11.125" style="7" customWidth="1"/>
    <col min="12303" max="12311" width="8.625" style="7" customWidth="1"/>
    <col min="12312" max="12312" width="11.125" style="7" customWidth="1"/>
    <col min="12313" max="12314" width="8.625" style="7" customWidth="1"/>
    <col min="12315" max="12552" width="9" style="7"/>
    <col min="12553" max="12553" width="8.625" style="7" customWidth="1"/>
    <col min="12554" max="12554" width="19.625" style="7" customWidth="1"/>
    <col min="12555" max="12555" width="8.625" style="7" customWidth="1"/>
    <col min="12556" max="12557" width="7.625" style="7" customWidth="1"/>
    <col min="12558" max="12558" width="11.125" style="7" customWidth="1"/>
    <col min="12559" max="12567" width="8.625" style="7" customWidth="1"/>
    <col min="12568" max="12568" width="11.125" style="7" customWidth="1"/>
    <col min="12569" max="12570" width="8.625" style="7" customWidth="1"/>
    <col min="12571" max="12808" width="9" style="7"/>
    <col min="12809" max="12809" width="8.625" style="7" customWidth="1"/>
    <col min="12810" max="12810" width="19.625" style="7" customWidth="1"/>
    <col min="12811" max="12811" width="8.625" style="7" customWidth="1"/>
    <col min="12812" max="12813" width="7.625" style="7" customWidth="1"/>
    <col min="12814" max="12814" width="11.125" style="7" customWidth="1"/>
    <col min="12815" max="12823" width="8.625" style="7" customWidth="1"/>
    <col min="12824" max="12824" width="11.125" style="7" customWidth="1"/>
    <col min="12825" max="12826" width="8.625" style="7" customWidth="1"/>
    <col min="12827" max="13064" width="9" style="7"/>
    <col min="13065" max="13065" width="8.625" style="7" customWidth="1"/>
    <col min="13066" max="13066" width="19.625" style="7" customWidth="1"/>
    <col min="13067" max="13067" width="8.625" style="7" customWidth="1"/>
    <col min="13068" max="13069" width="7.625" style="7" customWidth="1"/>
    <col min="13070" max="13070" width="11.125" style="7" customWidth="1"/>
    <col min="13071" max="13079" width="8.625" style="7" customWidth="1"/>
    <col min="13080" max="13080" width="11.125" style="7" customWidth="1"/>
    <col min="13081" max="13082" width="8.625" style="7" customWidth="1"/>
    <col min="13083" max="13320" width="9" style="7"/>
    <col min="13321" max="13321" width="8.625" style="7" customWidth="1"/>
    <col min="13322" max="13322" width="19.625" style="7" customWidth="1"/>
    <col min="13323" max="13323" width="8.625" style="7" customWidth="1"/>
    <col min="13324" max="13325" width="7.625" style="7" customWidth="1"/>
    <col min="13326" max="13326" width="11.125" style="7" customWidth="1"/>
    <col min="13327" max="13335" width="8.625" style="7" customWidth="1"/>
    <col min="13336" max="13336" width="11.125" style="7" customWidth="1"/>
    <col min="13337" max="13338" width="8.625" style="7" customWidth="1"/>
    <col min="13339" max="13576" width="9" style="7"/>
    <col min="13577" max="13577" width="8.625" style="7" customWidth="1"/>
    <col min="13578" max="13578" width="19.625" style="7" customWidth="1"/>
    <col min="13579" max="13579" width="8.625" style="7" customWidth="1"/>
    <col min="13580" max="13581" width="7.625" style="7" customWidth="1"/>
    <col min="13582" max="13582" width="11.125" style="7" customWidth="1"/>
    <col min="13583" max="13591" width="8.625" style="7" customWidth="1"/>
    <col min="13592" max="13592" width="11.125" style="7" customWidth="1"/>
    <col min="13593" max="13594" width="8.625" style="7" customWidth="1"/>
    <col min="13595" max="13832" width="9" style="7"/>
    <col min="13833" max="13833" width="8.625" style="7" customWidth="1"/>
    <col min="13834" max="13834" width="19.625" style="7" customWidth="1"/>
    <col min="13835" max="13835" width="8.625" style="7" customWidth="1"/>
    <col min="13836" max="13837" width="7.625" style="7" customWidth="1"/>
    <col min="13838" max="13838" width="11.125" style="7" customWidth="1"/>
    <col min="13839" max="13847" width="8.625" style="7" customWidth="1"/>
    <col min="13848" max="13848" width="11.125" style="7" customWidth="1"/>
    <col min="13849" max="13850" width="8.625" style="7" customWidth="1"/>
    <col min="13851" max="14088" width="9" style="7"/>
    <col min="14089" max="14089" width="8.625" style="7" customWidth="1"/>
    <col min="14090" max="14090" width="19.625" style="7" customWidth="1"/>
    <col min="14091" max="14091" width="8.625" style="7" customWidth="1"/>
    <col min="14092" max="14093" width="7.625" style="7" customWidth="1"/>
    <col min="14094" max="14094" width="11.125" style="7" customWidth="1"/>
    <col min="14095" max="14103" width="8.625" style="7" customWidth="1"/>
    <col min="14104" max="14104" width="11.125" style="7" customWidth="1"/>
    <col min="14105" max="14106" width="8.625" style="7" customWidth="1"/>
    <col min="14107" max="14344" width="9" style="7"/>
    <col min="14345" max="14345" width="8.625" style="7" customWidth="1"/>
    <col min="14346" max="14346" width="19.625" style="7" customWidth="1"/>
    <col min="14347" max="14347" width="8.625" style="7" customWidth="1"/>
    <col min="14348" max="14349" width="7.625" style="7" customWidth="1"/>
    <col min="14350" max="14350" width="11.125" style="7" customWidth="1"/>
    <col min="14351" max="14359" width="8.625" style="7" customWidth="1"/>
    <col min="14360" max="14360" width="11.125" style="7" customWidth="1"/>
    <col min="14361" max="14362" width="8.625" style="7" customWidth="1"/>
    <col min="14363" max="14600" width="9" style="7"/>
    <col min="14601" max="14601" width="8.625" style="7" customWidth="1"/>
    <col min="14602" max="14602" width="19.625" style="7" customWidth="1"/>
    <col min="14603" max="14603" width="8.625" style="7" customWidth="1"/>
    <col min="14604" max="14605" width="7.625" style="7" customWidth="1"/>
    <col min="14606" max="14606" width="11.125" style="7" customWidth="1"/>
    <col min="14607" max="14615" width="8.625" style="7" customWidth="1"/>
    <col min="14616" max="14616" width="11.125" style="7" customWidth="1"/>
    <col min="14617" max="14618" width="8.625" style="7" customWidth="1"/>
    <col min="14619" max="14856" width="9" style="7"/>
    <col min="14857" max="14857" width="8.625" style="7" customWidth="1"/>
    <col min="14858" max="14858" width="19.625" style="7" customWidth="1"/>
    <col min="14859" max="14859" width="8.625" style="7" customWidth="1"/>
    <col min="14860" max="14861" width="7.625" style="7" customWidth="1"/>
    <col min="14862" max="14862" width="11.125" style="7" customWidth="1"/>
    <col min="14863" max="14871" width="8.625" style="7" customWidth="1"/>
    <col min="14872" max="14872" width="11.125" style="7" customWidth="1"/>
    <col min="14873" max="14874" width="8.625" style="7" customWidth="1"/>
    <col min="14875" max="15112" width="9" style="7"/>
    <col min="15113" max="15113" width="8.625" style="7" customWidth="1"/>
    <col min="15114" max="15114" width="19.625" style="7" customWidth="1"/>
    <col min="15115" max="15115" width="8.625" style="7" customWidth="1"/>
    <col min="15116" max="15117" width="7.625" style="7" customWidth="1"/>
    <col min="15118" max="15118" width="11.125" style="7" customWidth="1"/>
    <col min="15119" max="15127" width="8.625" style="7" customWidth="1"/>
    <col min="15128" max="15128" width="11.125" style="7" customWidth="1"/>
    <col min="15129" max="15130" width="8.625" style="7" customWidth="1"/>
    <col min="15131" max="15368" width="9" style="7"/>
    <col min="15369" max="15369" width="8.625" style="7" customWidth="1"/>
    <col min="15370" max="15370" width="19.625" style="7" customWidth="1"/>
    <col min="15371" max="15371" width="8.625" style="7" customWidth="1"/>
    <col min="15372" max="15373" width="7.625" style="7" customWidth="1"/>
    <col min="15374" max="15374" width="11.125" style="7" customWidth="1"/>
    <col min="15375" max="15383" width="8.625" style="7" customWidth="1"/>
    <col min="15384" max="15384" width="11.125" style="7" customWidth="1"/>
    <col min="15385" max="15386" width="8.625" style="7" customWidth="1"/>
    <col min="15387" max="15624" width="9" style="7"/>
    <col min="15625" max="15625" width="8.625" style="7" customWidth="1"/>
    <col min="15626" max="15626" width="19.625" style="7" customWidth="1"/>
    <col min="15627" max="15627" width="8.625" style="7" customWidth="1"/>
    <col min="15628" max="15629" width="7.625" style="7" customWidth="1"/>
    <col min="15630" max="15630" width="11.125" style="7" customWidth="1"/>
    <col min="15631" max="15639" width="8.625" style="7" customWidth="1"/>
    <col min="15640" max="15640" width="11.125" style="7" customWidth="1"/>
    <col min="15641" max="15642" width="8.625" style="7" customWidth="1"/>
    <col min="15643" max="15880" width="9" style="7"/>
    <col min="15881" max="15881" width="8.625" style="7" customWidth="1"/>
    <col min="15882" max="15882" width="19.625" style="7" customWidth="1"/>
    <col min="15883" max="15883" width="8.625" style="7" customWidth="1"/>
    <col min="15884" max="15885" width="7.625" style="7" customWidth="1"/>
    <col min="15886" max="15886" width="11.125" style="7" customWidth="1"/>
    <col min="15887" max="15895" width="8.625" style="7" customWidth="1"/>
    <col min="15896" max="15896" width="11.125" style="7" customWidth="1"/>
    <col min="15897" max="15898" width="8.625" style="7" customWidth="1"/>
    <col min="15899" max="16136" width="9" style="7"/>
    <col min="16137" max="16137" width="8.625" style="7" customWidth="1"/>
    <col min="16138" max="16138" width="19.625" style="7" customWidth="1"/>
    <col min="16139" max="16139" width="8.625" style="7" customWidth="1"/>
    <col min="16140" max="16141" width="7.625" style="7" customWidth="1"/>
    <col min="16142" max="16142" width="11.125" style="7" customWidth="1"/>
    <col min="16143" max="16151" width="8.625" style="7" customWidth="1"/>
    <col min="16152" max="16152" width="11.125" style="7" customWidth="1"/>
    <col min="16153" max="16154" width="8.625" style="7" customWidth="1"/>
    <col min="16155" max="16384" width="9" style="7"/>
  </cols>
  <sheetData>
    <row r="1" spans="1:39" s="13" customFormat="1" ht="23.1" customHeight="1">
      <c r="A1" s="219" t="s">
        <v>0</v>
      </c>
      <c r="B1" s="220"/>
      <c r="C1" s="221" t="s">
        <v>31</v>
      </c>
      <c r="D1" s="222"/>
      <c r="E1" s="222"/>
      <c r="F1" s="222"/>
      <c r="G1" s="222"/>
      <c r="H1" s="223"/>
      <c r="I1" s="12" t="s">
        <v>21</v>
      </c>
      <c r="J1" s="224">
        <v>82000000</v>
      </c>
      <c r="K1" s="225"/>
      <c r="L1" s="225"/>
      <c r="M1" s="225"/>
      <c r="N1" s="258"/>
      <c r="O1" s="254" t="s">
        <v>1</v>
      </c>
      <c r="P1" s="254"/>
      <c r="Q1" s="261"/>
      <c r="R1" s="265"/>
      <c r="S1" s="253"/>
      <c r="T1" s="253"/>
      <c r="U1" s="376"/>
      <c r="V1" s="253"/>
      <c r="W1" s="253"/>
      <c r="X1" s="253"/>
      <c r="Y1" s="253"/>
      <c r="Z1" s="253"/>
    </row>
    <row r="2" spans="1:39" s="13" customFormat="1" ht="23.1" customHeight="1">
      <c r="A2" s="232" t="s">
        <v>22</v>
      </c>
      <c r="B2" s="233"/>
      <c r="C2" s="234" t="s">
        <v>32</v>
      </c>
      <c r="D2" s="235"/>
      <c r="E2" s="235"/>
      <c r="F2" s="235"/>
      <c r="G2" s="235"/>
      <c r="H2" s="236"/>
      <c r="I2" s="14" t="s">
        <v>23</v>
      </c>
      <c r="J2" s="237">
        <v>5634000</v>
      </c>
      <c r="K2" s="238"/>
      <c r="L2" s="238"/>
      <c r="M2" s="238"/>
      <c r="N2" s="259"/>
      <c r="O2" s="255">
        <v>45905</v>
      </c>
      <c r="P2" s="255"/>
      <c r="Q2" s="262"/>
      <c r="R2" s="265"/>
      <c r="S2" s="253"/>
      <c r="T2" s="253"/>
      <c r="U2" s="376"/>
      <c r="V2" s="253"/>
      <c r="W2" s="253"/>
      <c r="X2" s="253"/>
      <c r="Y2" s="253"/>
      <c r="Z2" s="253"/>
    </row>
    <row r="3" spans="1:39" s="13" customFormat="1" ht="23.1" customHeight="1" thickBot="1">
      <c r="A3" s="241" t="s">
        <v>2</v>
      </c>
      <c r="B3" s="242"/>
      <c r="C3" s="243">
        <f>J1-G40</f>
        <v>67936940</v>
      </c>
      <c r="D3" s="244"/>
      <c r="E3" s="244"/>
      <c r="F3" s="244"/>
      <c r="G3" s="244"/>
      <c r="H3" s="245"/>
      <c r="I3" s="15" t="s">
        <v>3</v>
      </c>
      <c r="J3" s="246">
        <f>SUM(J1:U2)</f>
        <v>87679905</v>
      </c>
      <c r="K3" s="247"/>
      <c r="L3" s="247"/>
      <c r="M3" s="247"/>
      <c r="N3" s="260"/>
      <c r="O3" s="256"/>
      <c r="P3" s="256"/>
      <c r="Q3" s="263"/>
      <c r="R3" s="265"/>
      <c r="S3" s="253"/>
      <c r="T3" s="253"/>
      <c r="U3" s="376"/>
      <c r="V3" s="253"/>
      <c r="W3" s="253"/>
      <c r="X3" s="253"/>
      <c r="Y3" s="253"/>
      <c r="Z3" s="253"/>
    </row>
    <row r="4" spans="1:39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266">
        <f>J3-I40</f>
        <v>70834425</v>
      </c>
      <c r="J4" s="267"/>
      <c r="K4" s="267"/>
      <c r="L4" s="267"/>
      <c r="M4" s="267"/>
      <c r="N4" s="268"/>
      <c r="O4" s="257"/>
      <c r="P4" s="257"/>
      <c r="Q4" s="264"/>
      <c r="R4" s="265"/>
      <c r="S4" s="253"/>
      <c r="T4" s="253"/>
      <c r="U4" s="253"/>
      <c r="V4" s="386"/>
      <c r="W4" s="386"/>
      <c r="X4" s="386"/>
      <c r="Y4" s="386"/>
      <c r="Z4" s="386"/>
    </row>
    <row r="5" spans="1:39" s="13" customFormat="1" ht="18" customHeight="1" thickBot="1">
      <c r="A5" s="198" t="s">
        <v>6</v>
      </c>
      <c r="B5" s="198"/>
      <c r="C5" s="200" t="s">
        <v>24</v>
      </c>
      <c r="D5" s="202" t="s">
        <v>25</v>
      </c>
      <c r="E5" s="204" t="s">
        <v>19</v>
      </c>
      <c r="F5" s="205"/>
      <c r="G5" s="204" t="s">
        <v>26</v>
      </c>
      <c r="H5" s="205"/>
      <c r="I5" s="251" t="s">
        <v>27</v>
      </c>
      <c r="J5" s="252">
        <v>2025</v>
      </c>
      <c r="K5" s="17"/>
      <c r="L5" s="17"/>
      <c r="M5" s="17"/>
      <c r="N5" s="17"/>
      <c r="O5" s="17"/>
      <c r="P5" s="17"/>
      <c r="Q5" s="17"/>
      <c r="R5" s="17"/>
      <c r="S5" s="372"/>
      <c r="T5" s="252">
        <v>2026</v>
      </c>
      <c r="U5" s="373"/>
      <c r="V5" s="385" t="s">
        <v>7</v>
      </c>
      <c r="W5" s="387" t="s">
        <v>8</v>
      </c>
      <c r="X5" s="196" t="s">
        <v>9</v>
      </c>
      <c r="Y5" s="279" t="s">
        <v>10</v>
      </c>
      <c r="Z5" s="212" t="s">
        <v>11</v>
      </c>
      <c r="AB5" s="378">
        <v>2025</v>
      </c>
      <c r="AC5" s="17"/>
      <c r="AD5" s="17"/>
      <c r="AE5" s="17"/>
      <c r="AF5" s="17"/>
      <c r="AG5" s="17"/>
      <c r="AH5" s="17"/>
      <c r="AI5" s="17"/>
      <c r="AJ5" s="17"/>
      <c r="AK5" s="372"/>
      <c r="AL5" s="252">
        <v>2026</v>
      </c>
      <c r="AM5" s="373"/>
    </row>
    <row r="6" spans="1:39" s="13" customFormat="1" ht="44.25" customHeight="1" thickBot="1">
      <c r="A6" s="272"/>
      <c r="B6" s="272"/>
      <c r="C6" s="273"/>
      <c r="D6" s="274"/>
      <c r="E6" s="275"/>
      <c r="F6" s="276"/>
      <c r="G6" s="275"/>
      <c r="H6" s="276"/>
      <c r="I6" s="277"/>
      <c r="J6" s="371" t="s">
        <v>53</v>
      </c>
      <c r="K6" s="371" t="s">
        <v>54</v>
      </c>
      <c r="L6" s="371" t="s">
        <v>55</v>
      </c>
      <c r="M6" s="371" t="s">
        <v>56</v>
      </c>
      <c r="N6" s="371" t="s">
        <v>57</v>
      </c>
      <c r="O6" s="371" t="s">
        <v>58</v>
      </c>
      <c r="P6" s="371" t="s">
        <v>59</v>
      </c>
      <c r="Q6" s="371" t="s">
        <v>60</v>
      </c>
      <c r="R6" s="371" t="s">
        <v>61</v>
      </c>
      <c r="S6" s="371" t="s">
        <v>62</v>
      </c>
      <c r="T6" s="371" t="s">
        <v>54</v>
      </c>
      <c r="U6" s="371" t="s">
        <v>55</v>
      </c>
      <c r="V6" s="374"/>
      <c r="W6" s="375"/>
      <c r="X6" s="278"/>
      <c r="Y6" s="279"/>
      <c r="Z6" s="212"/>
      <c r="AB6" s="379" t="s">
        <v>53</v>
      </c>
      <c r="AC6" s="377" t="s">
        <v>54</v>
      </c>
      <c r="AD6" s="371" t="s">
        <v>55</v>
      </c>
      <c r="AE6" s="371" t="s">
        <v>56</v>
      </c>
      <c r="AF6" s="371" t="s">
        <v>57</v>
      </c>
      <c r="AG6" s="371" t="s">
        <v>58</v>
      </c>
      <c r="AH6" s="371" t="s">
        <v>59</v>
      </c>
      <c r="AI6" s="371" t="s">
        <v>60</v>
      </c>
      <c r="AJ6" s="371" t="s">
        <v>61</v>
      </c>
      <c r="AK6" s="371" t="s">
        <v>62</v>
      </c>
      <c r="AL6" s="371" t="s">
        <v>54</v>
      </c>
      <c r="AM6" s="371" t="s">
        <v>55</v>
      </c>
    </row>
    <row r="7" spans="1:39" ht="18.95" customHeight="1" thickTop="1">
      <c r="A7" s="330" t="s">
        <v>33</v>
      </c>
      <c r="B7" s="280" t="s">
        <v>34</v>
      </c>
      <c r="C7" s="161" t="s">
        <v>35</v>
      </c>
      <c r="D7" s="281" t="s">
        <v>36</v>
      </c>
      <c r="E7" s="282">
        <v>450000</v>
      </c>
      <c r="F7" s="283"/>
      <c r="G7" s="282">
        <v>800000</v>
      </c>
      <c r="H7" s="283"/>
      <c r="I7" s="284">
        <v>800000</v>
      </c>
      <c r="J7" s="285">
        <v>0</v>
      </c>
      <c r="K7" s="285">
        <v>0</v>
      </c>
      <c r="L7" s="285">
        <v>300000</v>
      </c>
      <c r="M7" s="285">
        <v>210000</v>
      </c>
      <c r="N7" s="285">
        <v>0</v>
      </c>
      <c r="O7" s="285">
        <v>0</v>
      </c>
      <c r="P7" s="285">
        <v>0</v>
      </c>
      <c r="Q7" s="285">
        <v>0</v>
      </c>
      <c r="R7" s="285">
        <v>10</v>
      </c>
      <c r="S7" s="285">
        <v>-1000</v>
      </c>
      <c r="T7" s="285">
        <v>-2000</v>
      </c>
      <c r="U7" s="285">
        <v>-3000</v>
      </c>
      <c r="V7" s="286">
        <f>SUM(J7:U7)</f>
        <v>504010</v>
      </c>
      <c r="W7" s="287">
        <f>I7-V7</f>
        <v>295990</v>
      </c>
      <c r="X7" s="288">
        <f>G7-I7</f>
        <v>0</v>
      </c>
      <c r="Y7" s="289">
        <v>0</v>
      </c>
      <c r="Z7" s="290" t="e">
        <f>V7/Y7</f>
        <v>#DIV/0!</v>
      </c>
      <c r="AB7" s="380"/>
      <c r="AC7" s="285"/>
      <c r="AD7" s="285"/>
      <c r="AE7" s="285"/>
      <c r="AF7" s="285"/>
      <c r="AG7" s="285"/>
      <c r="AH7" s="285"/>
      <c r="AI7" s="285"/>
      <c r="AJ7" s="285"/>
      <c r="AK7" s="285"/>
      <c r="AL7" s="285"/>
      <c r="AM7" s="285"/>
    </row>
    <row r="8" spans="1:39" ht="18.95" customHeight="1">
      <c r="A8" s="331"/>
      <c r="B8" s="291" t="s">
        <v>37</v>
      </c>
      <c r="C8" s="292" t="s">
        <v>38</v>
      </c>
      <c r="D8" s="293" t="s">
        <v>39</v>
      </c>
      <c r="E8" s="294">
        <v>0</v>
      </c>
      <c r="F8" s="295"/>
      <c r="G8" s="294">
        <v>1925000</v>
      </c>
      <c r="H8" s="295"/>
      <c r="I8" s="296">
        <v>1137500</v>
      </c>
      <c r="J8" s="297">
        <v>0</v>
      </c>
      <c r="K8" s="297">
        <v>0</v>
      </c>
      <c r="L8" s="297">
        <v>0</v>
      </c>
      <c r="M8" s="297">
        <v>0</v>
      </c>
      <c r="N8" s="297">
        <v>0</v>
      </c>
      <c r="O8" s="297">
        <v>0</v>
      </c>
      <c r="P8" s="297">
        <v>0</v>
      </c>
      <c r="Q8" s="297">
        <v>0</v>
      </c>
      <c r="R8" s="297">
        <v>10</v>
      </c>
      <c r="S8" s="297">
        <v>-1000</v>
      </c>
      <c r="T8" s="297">
        <v>-2000</v>
      </c>
      <c r="U8" s="297">
        <v>-3000</v>
      </c>
      <c r="V8" s="298">
        <f>SUM(J8:U8)</f>
        <v>-5990</v>
      </c>
      <c r="W8" s="299">
        <f>I8-V8</f>
        <v>1143490</v>
      </c>
      <c r="X8" s="300">
        <f>G8-I8</f>
        <v>787500</v>
      </c>
      <c r="Y8" s="301">
        <v>0</v>
      </c>
      <c r="Z8" s="302" t="e">
        <f t="shared" ref="Z8:Z16" si="0">V8/Y8</f>
        <v>#DIV/0!</v>
      </c>
      <c r="AB8" s="381"/>
      <c r="AC8" s="297"/>
      <c r="AD8" s="297"/>
      <c r="AE8" s="297"/>
      <c r="AF8" s="297"/>
      <c r="AG8" s="297"/>
      <c r="AH8" s="297"/>
      <c r="AI8" s="297"/>
      <c r="AJ8" s="297"/>
      <c r="AK8" s="297"/>
      <c r="AL8" s="297"/>
      <c r="AM8" s="297"/>
    </row>
    <row r="9" spans="1:39" ht="18.95" customHeight="1">
      <c r="A9" s="331"/>
      <c r="B9" s="291" t="s">
        <v>40</v>
      </c>
      <c r="C9" s="292" t="s">
        <v>41</v>
      </c>
      <c r="D9" s="293" t="s">
        <v>39</v>
      </c>
      <c r="E9" s="294">
        <v>0</v>
      </c>
      <c r="F9" s="295"/>
      <c r="G9" s="294">
        <v>0</v>
      </c>
      <c r="H9" s="295"/>
      <c r="I9" s="296">
        <v>0</v>
      </c>
      <c r="J9" s="297">
        <v>0</v>
      </c>
      <c r="K9" s="297">
        <v>18400</v>
      </c>
      <c r="L9" s="297">
        <v>0</v>
      </c>
      <c r="M9" s="297">
        <v>0</v>
      </c>
      <c r="N9" s="297">
        <v>0</v>
      </c>
      <c r="O9" s="297">
        <v>0</v>
      </c>
      <c r="P9" s="297">
        <v>0</v>
      </c>
      <c r="Q9" s="297">
        <v>0</v>
      </c>
      <c r="R9" s="297">
        <v>10</v>
      </c>
      <c r="S9" s="297">
        <v>-1000</v>
      </c>
      <c r="T9" s="297">
        <v>-2000</v>
      </c>
      <c r="U9" s="297">
        <v>-3000</v>
      </c>
      <c r="V9" s="298">
        <f>SUM(J9:U9)</f>
        <v>12410</v>
      </c>
      <c r="W9" s="299">
        <f>I9-V9</f>
        <v>-12410</v>
      </c>
      <c r="X9" s="300">
        <f>G9-I9</f>
        <v>0</v>
      </c>
      <c r="Y9" s="301">
        <v>0</v>
      </c>
      <c r="Z9" s="302" t="e">
        <f t="shared" si="0"/>
        <v>#DIV/0!</v>
      </c>
      <c r="AB9" s="381"/>
      <c r="AC9" s="297"/>
      <c r="AD9" s="297"/>
      <c r="AE9" s="297"/>
      <c r="AF9" s="297"/>
      <c r="AG9" s="297"/>
      <c r="AH9" s="297"/>
      <c r="AI9" s="297"/>
      <c r="AJ9" s="297"/>
      <c r="AK9" s="297"/>
      <c r="AL9" s="297"/>
      <c r="AM9" s="297"/>
    </row>
    <row r="10" spans="1:39" ht="18.95" customHeight="1">
      <c r="A10" s="331"/>
      <c r="B10" s="291" t="s">
        <v>42</v>
      </c>
      <c r="C10" s="292" t="s">
        <v>43</v>
      </c>
      <c r="D10" s="293" t="s">
        <v>44</v>
      </c>
      <c r="E10" s="294">
        <v>400000</v>
      </c>
      <c r="F10" s="295"/>
      <c r="G10" s="294">
        <v>400000</v>
      </c>
      <c r="H10" s="295"/>
      <c r="I10" s="296">
        <v>400000</v>
      </c>
      <c r="J10" s="297">
        <v>0</v>
      </c>
      <c r="K10" s="297">
        <v>0</v>
      </c>
      <c r="L10" s="297">
        <v>0</v>
      </c>
      <c r="M10" s="297">
        <v>216000</v>
      </c>
      <c r="N10" s="297">
        <v>0</v>
      </c>
      <c r="O10" s="297">
        <v>0</v>
      </c>
      <c r="P10" s="297">
        <v>0</v>
      </c>
      <c r="Q10" s="297">
        <v>0</v>
      </c>
      <c r="R10" s="297">
        <v>10</v>
      </c>
      <c r="S10" s="297">
        <v>-1000</v>
      </c>
      <c r="T10" s="297">
        <v>-2000</v>
      </c>
      <c r="U10" s="297">
        <v>-3000</v>
      </c>
      <c r="V10" s="298">
        <f>SUM(J10:U10)</f>
        <v>210010</v>
      </c>
      <c r="W10" s="299">
        <f>I10-V10</f>
        <v>189990</v>
      </c>
      <c r="X10" s="300">
        <f>G10-I10</f>
        <v>0</v>
      </c>
      <c r="Y10" s="301">
        <v>0</v>
      </c>
      <c r="Z10" s="302" t="e">
        <f t="shared" si="0"/>
        <v>#DIV/0!</v>
      </c>
      <c r="AB10" s="381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 ht="18.95" customHeight="1">
      <c r="A11" s="331"/>
      <c r="B11" s="291" t="s">
        <v>45</v>
      </c>
      <c r="C11" s="292" t="s">
        <v>46</v>
      </c>
      <c r="D11" s="293" t="s">
        <v>39</v>
      </c>
      <c r="E11" s="294">
        <v>0</v>
      </c>
      <c r="F11" s="295"/>
      <c r="G11" s="294">
        <v>0</v>
      </c>
      <c r="H11" s="295"/>
      <c r="I11" s="296">
        <v>0</v>
      </c>
      <c r="J11" s="297">
        <v>0</v>
      </c>
      <c r="K11" s="297">
        <v>0</v>
      </c>
      <c r="L11" s="297">
        <v>0</v>
      </c>
      <c r="M11" s="297">
        <v>105000</v>
      </c>
      <c r="N11" s="297">
        <v>174500</v>
      </c>
      <c r="O11" s="297">
        <v>45000</v>
      </c>
      <c r="P11" s="297">
        <v>0</v>
      </c>
      <c r="Q11" s="297">
        <v>0</v>
      </c>
      <c r="R11" s="297">
        <v>10</v>
      </c>
      <c r="S11" s="297">
        <v>-1000</v>
      </c>
      <c r="T11" s="297">
        <v>-2000</v>
      </c>
      <c r="U11" s="297">
        <v>-3000</v>
      </c>
      <c r="V11" s="298">
        <f>SUM(J11:U11)</f>
        <v>318510</v>
      </c>
      <c r="W11" s="299">
        <f>I11-V11</f>
        <v>-318510</v>
      </c>
      <c r="X11" s="300">
        <f>G11-I11</f>
        <v>0</v>
      </c>
      <c r="Y11" s="301">
        <v>0</v>
      </c>
      <c r="Z11" s="302" t="e">
        <f t="shared" si="0"/>
        <v>#DIV/0!</v>
      </c>
      <c r="AB11" s="381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</row>
    <row r="12" spans="1:39" ht="18.95" customHeight="1">
      <c r="A12" s="332"/>
      <c r="B12" s="291" t="s">
        <v>47</v>
      </c>
      <c r="C12" s="292" t="s">
        <v>41</v>
      </c>
      <c r="D12" s="293" t="s">
        <v>39</v>
      </c>
      <c r="E12" s="294">
        <v>0</v>
      </c>
      <c r="F12" s="295"/>
      <c r="G12" s="294">
        <v>0</v>
      </c>
      <c r="H12" s="295"/>
      <c r="I12" s="296">
        <v>0</v>
      </c>
      <c r="J12" s="297">
        <v>0</v>
      </c>
      <c r="K12" s="297">
        <v>0</v>
      </c>
      <c r="L12" s="297">
        <v>29200</v>
      </c>
      <c r="M12" s="297">
        <v>0</v>
      </c>
      <c r="N12" s="297">
        <v>0</v>
      </c>
      <c r="O12" s="297">
        <v>0</v>
      </c>
      <c r="P12" s="297">
        <v>0</v>
      </c>
      <c r="Q12" s="297">
        <v>0</v>
      </c>
      <c r="R12" s="297">
        <v>10</v>
      </c>
      <c r="S12" s="297">
        <v>-1000</v>
      </c>
      <c r="T12" s="297">
        <v>-2000</v>
      </c>
      <c r="U12" s="297">
        <v>-3000</v>
      </c>
      <c r="V12" s="298">
        <f>SUM(J12:U12)</f>
        <v>23210</v>
      </c>
      <c r="W12" s="299">
        <f>I12-V12</f>
        <v>-23210</v>
      </c>
      <c r="X12" s="300">
        <f>G12-I12</f>
        <v>0</v>
      </c>
      <c r="Y12" s="301">
        <v>0</v>
      </c>
      <c r="Z12" s="302" t="e">
        <f t="shared" si="0"/>
        <v>#DIV/0!</v>
      </c>
      <c r="AB12" s="381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</row>
    <row r="13" spans="1:39" ht="36.950000000000003" customHeight="1">
      <c r="A13" s="303" t="s">
        <v>48</v>
      </c>
      <c r="B13" s="304"/>
      <c r="C13" s="305" t="s">
        <v>49</v>
      </c>
      <c r="D13" s="306" t="s">
        <v>39</v>
      </c>
      <c r="E13" s="307">
        <v>0</v>
      </c>
      <c r="F13" s="308"/>
      <c r="G13" s="307">
        <v>0</v>
      </c>
      <c r="H13" s="308"/>
      <c r="I13" s="309">
        <v>0</v>
      </c>
      <c r="J13" s="310">
        <v>0</v>
      </c>
      <c r="K13" s="310">
        <v>0</v>
      </c>
      <c r="L13" s="310">
        <v>0</v>
      </c>
      <c r="M13" s="310">
        <v>0</v>
      </c>
      <c r="N13" s="310">
        <v>0</v>
      </c>
      <c r="O13" s="310">
        <v>0</v>
      </c>
      <c r="P13" s="310">
        <v>0</v>
      </c>
      <c r="Q13" s="310">
        <v>0</v>
      </c>
      <c r="R13" s="310">
        <v>10</v>
      </c>
      <c r="S13" s="310">
        <v>-1000</v>
      </c>
      <c r="T13" s="310">
        <v>-2000</v>
      </c>
      <c r="U13" s="310">
        <v>-3000</v>
      </c>
      <c r="V13" s="311">
        <f>SUM(J13:U13)</f>
        <v>-5990</v>
      </c>
      <c r="W13" s="112">
        <f>I13-V13</f>
        <v>5990</v>
      </c>
      <c r="X13" s="113">
        <f>G13-I13</f>
        <v>0</v>
      </c>
      <c r="Y13" s="312">
        <v>0</v>
      </c>
      <c r="Z13" s="313" t="e">
        <f t="shared" si="0"/>
        <v>#DIV/0!</v>
      </c>
      <c r="AB13" s="383"/>
      <c r="AC13" s="310"/>
      <c r="AD13" s="310"/>
      <c r="AE13" s="310"/>
      <c r="AF13" s="310"/>
      <c r="AG13" s="310"/>
      <c r="AH13" s="310"/>
      <c r="AI13" s="310"/>
      <c r="AJ13" s="310"/>
      <c r="AK13" s="310"/>
      <c r="AL13" s="310"/>
      <c r="AM13" s="310"/>
    </row>
    <row r="14" spans="1:39" ht="18.95" customHeight="1">
      <c r="A14" s="333" t="s">
        <v>50</v>
      </c>
      <c r="B14" s="304" t="s">
        <v>34</v>
      </c>
      <c r="C14" s="305" t="s">
        <v>51</v>
      </c>
      <c r="D14" s="306" t="s">
        <v>36</v>
      </c>
      <c r="E14" s="307">
        <v>607100</v>
      </c>
      <c r="F14" s="308"/>
      <c r="G14" s="307">
        <v>477250</v>
      </c>
      <c r="H14" s="308"/>
      <c r="I14" s="309">
        <v>477250</v>
      </c>
      <c r="J14" s="310">
        <v>0</v>
      </c>
      <c r="K14" s="310">
        <v>0</v>
      </c>
      <c r="L14" s="310">
        <v>0</v>
      </c>
      <c r="M14" s="310">
        <v>0</v>
      </c>
      <c r="N14" s="310">
        <v>0</v>
      </c>
      <c r="O14" s="310">
        <v>0</v>
      </c>
      <c r="P14" s="310">
        <v>0</v>
      </c>
      <c r="Q14" s="310">
        <v>0</v>
      </c>
      <c r="R14" s="310">
        <v>10</v>
      </c>
      <c r="S14" s="310">
        <v>-1000</v>
      </c>
      <c r="T14" s="310">
        <v>-2000</v>
      </c>
      <c r="U14" s="310">
        <v>-3000</v>
      </c>
      <c r="V14" s="311">
        <f>SUM(J14:U14)</f>
        <v>-5990</v>
      </c>
      <c r="W14" s="112">
        <f>I14-V14</f>
        <v>483240</v>
      </c>
      <c r="X14" s="113">
        <f>G14-I14</f>
        <v>0</v>
      </c>
      <c r="Y14" s="312">
        <v>0</v>
      </c>
      <c r="Z14" s="313" t="e">
        <f t="shared" si="0"/>
        <v>#DIV/0!</v>
      </c>
      <c r="AB14" s="383"/>
      <c r="AC14" s="310"/>
      <c r="AD14" s="310"/>
      <c r="AE14" s="310"/>
      <c r="AF14" s="310"/>
      <c r="AG14" s="310"/>
      <c r="AH14" s="310"/>
      <c r="AI14" s="310"/>
      <c r="AJ14" s="310"/>
      <c r="AK14" s="310"/>
      <c r="AL14" s="310"/>
      <c r="AM14" s="310"/>
    </row>
    <row r="15" spans="1:39" ht="18.95" customHeight="1">
      <c r="A15" s="331"/>
      <c r="B15" s="291"/>
      <c r="C15" s="292" t="s">
        <v>51</v>
      </c>
      <c r="D15" s="293" t="s">
        <v>39</v>
      </c>
      <c r="E15" s="294">
        <v>150000</v>
      </c>
      <c r="F15" s="295"/>
      <c r="G15" s="294">
        <v>0</v>
      </c>
      <c r="H15" s="295"/>
      <c r="I15" s="296">
        <v>0</v>
      </c>
      <c r="J15" s="297">
        <v>0</v>
      </c>
      <c r="K15" s="297">
        <v>0</v>
      </c>
      <c r="L15" s="297">
        <v>0</v>
      </c>
      <c r="M15" s="297">
        <v>0</v>
      </c>
      <c r="N15" s="297">
        <v>0</v>
      </c>
      <c r="O15" s="297">
        <v>0</v>
      </c>
      <c r="P15" s="297">
        <v>0</v>
      </c>
      <c r="Q15" s="297">
        <v>0</v>
      </c>
      <c r="R15" s="297">
        <v>10</v>
      </c>
      <c r="S15" s="297">
        <v>-1000</v>
      </c>
      <c r="T15" s="297">
        <v>-2000</v>
      </c>
      <c r="U15" s="297">
        <v>-3000</v>
      </c>
      <c r="V15" s="298">
        <f>SUM(J15:U15)</f>
        <v>-5990</v>
      </c>
      <c r="W15" s="299">
        <f>I15-V15</f>
        <v>5990</v>
      </c>
      <c r="X15" s="300">
        <f>G15-I15</f>
        <v>0</v>
      </c>
      <c r="Y15" s="301">
        <v>0</v>
      </c>
      <c r="Z15" s="302" t="e">
        <f t="shared" si="0"/>
        <v>#DIV/0!</v>
      </c>
      <c r="AB15" s="381"/>
      <c r="AC15" s="297"/>
      <c r="AD15" s="297"/>
      <c r="AE15" s="297"/>
      <c r="AF15" s="297"/>
      <c r="AG15" s="297"/>
      <c r="AH15" s="297"/>
      <c r="AI15" s="297"/>
      <c r="AJ15" s="297"/>
      <c r="AK15" s="297"/>
      <c r="AL15" s="297"/>
      <c r="AM15" s="297"/>
    </row>
    <row r="16" spans="1:39" ht="18.95" customHeight="1" thickBot="1">
      <c r="A16" s="334"/>
      <c r="B16" s="318"/>
      <c r="C16" s="319" t="s">
        <v>52</v>
      </c>
      <c r="D16" s="320" t="s">
        <v>39</v>
      </c>
      <c r="E16" s="321">
        <v>0</v>
      </c>
      <c r="F16" s="322"/>
      <c r="G16" s="321">
        <v>0</v>
      </c>
      <c r="H16" s="322"/>
      <c r="I16" s="323">
        <v>0</v>
      </c>
      <c r="J16" s="324">
        <v>0</v>
      </c>
      <c r="K16" s="324">
        <v>0</v>
      </c>
      <c r="L16" s="324">
        <v>0</v>
      </c>
      <c r="M16" s="324">
        <v>0</v>
      </c>
      <c r="N16" s="324">
        <v>0</v>
      </c>
      <c r="O16" s="324">
        <v>0</v>
      </c>
      <c r="P16" s="324">
        <v>0</v>
      </c>
      <c r="Q16" s="324">
        <v>0</v>
      </c>
      <c r="R16" s="324">
        <v>10</v>
      </c>
      <c r="S16" s="324">
        <v>-1000</v>
      </c>
      <c r="T16" s="324">
        <v>-2000</v>
      </c>
      <c r="U16" s="324">
        <v>-3000</v>
      </c>
      <c r="V16" s="325">
        <f>SUM(J16:U16)</f>
        <v>-5990</v>
      </c>
      <c r="W16" s="326">
        <f>I16-V16</f>
        <v>5990</v>
      </c>
      <c r="X16" s="327">
        <f>G16-I16</f>
        <v>0</v>
      </c>
      <c r="Y16" s="328">
        <v>0</v>
      </c>
      <c r="Z16" s="329" t="e">
        <f t="shared" si="0"/>
        <v>#DIV/0!</v>
      </c>
      <c r="AB16" s="384"/>
      <c r="AC16" s="324"/>
      <c r="AD16" s="324"/>
      <c r="AE16" s="324"/>
      <c r="AF16" s="324"/>
      <c r="AG16" s="324"/>
      <c r="AH16" s="324"/>
      <c r="AI16" s="324"/>
      <c r="AJ16" s="324"/>
      <c r="AK16" s="324"/>
      <c r="AL16" s="324"/>
      <c r="AM16" s="324"/>
    </row>
    <row r="17" spans="1:39" ht="18.95" customHeight="1" thickTop="1" thickBot="1">
      <c r="A17" s="22"/>
      <c r="B17" s="23" t="s">
        <v>12</v>
      </c>
      <c r="C17" s="24"/>
      <c r="D17" s="24"/>
      <c r="E17" s="314">
        <f>SUM(E7:F16)</f>
        <v>1607100</v>
      </c>
      <c r="F17" s="315"/>
      <c r="G17" s="314">
        <f>SUM(G7:H16)</f>
        <v>3602250</v>
      </c>
      <c r="H17" s="315"/>
      <c r="I17" s="316">
        <f>SUM(I7:I16)</f>
        <v>2814750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7">
        <f>SUM(V7:V16)</f>
        <v>1038200</v>
      </c>
      <c r="W17" s="27">
        <f>SUM(W7:W16)</f>
        <v>1776550</v>
      </c>
      <c r="X17" s="28">
        <f>SUM(X7:X16)</f>
        <v>787500</v>
      </c>
      <c r="Y17" s="317">
        <f>SUM(Y7:Y16)</f>
        <v>0</v>
      </c>
      <c r="Z17" s="29"/>
    </row>
    <row r="18" spans="1:39" ht="15" customHeight="1" thickTop="1">
      <c r="A18" s="186"/>
      <c r="B18" s="187"/>
      <c r="C18" s="187"/>
      <c r="D18" s="187"/>
      <c r="E18" s="188"/>
      <c r="F18" s="188"/>
      <c r="G18" s="188"/>
      <c r="H18" s="188"/>
      <c r="I18" s="188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8"/>
      <c r="Z18" s="189"/>
    </row>
    <row r="19" spans="1:39" ht="18.95" customHeight="1">
      <c r="A19" s="77"/>
      <c r="B19" s="78" t="s">
        <v>13</v>
      </c>
      <c r="C19" s="78"/>
      <c r="D19" s="79"/>
      <c r="E19" s="190" t="s">
        <v>28</v>
      </c>
      <c r="F19" s="191"/>
      <c r="G19" s="190" t="s">
        <v>14</v>
      </c>
      <c r="H19" s="191"/>
      <c r="I19" s="80" t="s">
        <v>15</v>
      </c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2"/>
      <c r="X19" s="83"/>
      <c r="Y19" s="83"/>
      <c r="Z19" s="84"/>
    </row>
    <row r="20" spans="1:39" ht="18.95" customHeight="1">
      <c r="A20" s="355" t="s">
        <v>63</v>
      </c>
      <c r="B20" s="304" t="s">
        <v>34</v>
      </c>
      <c r="C20" s="305" t="s">
        <v>64</v>
      </c>
      <c r="D20" s="306" t="s">
        <v>36</v>
      </c>
      <c r="E20" s="307">
        <v>1539000</v>
      </c>
      <c r="F20" s="308"/>
      <c r="G20" s="307">
        <v>1556560</v>
      </c>
      <c r="H20" s="308"/>
      <c r="I20" s="309">
        <v>1556560</v>
      </c>
      <c r="J20" s="310">
        <v>0</v>
      </c>
      <c r="K20" s="310">
        <v>0</v>
      </c>
      <c r="L20" s="310">
        <v>0</v>
      </c>
      <c r="M20" s="310">
        <v>0</v>
      </c>
      <c r="N20" s="310">
        <v>0</v>
      </c>
      <c r="O20" s="310">
        <v>0</v>
      </c>
      <c r="P20" s="310">
        <v>0</v>
      </c>
      <c r="Q20" s="310">
        <v>0</v>
      </c>
      <c r="R20" s="310">
        <v>10</v>
      </c>
      <c r="S20" s="310">
        <v>-1000</v>
      </c>
      <c r="T20" s="310">
        <v>-2000</v>
      </c>
      <c r="U20" s="310">
        <v>-3000</v>
      </c>
      <c r="V20" s="115">
        <f>SUM(J20:U20)</f>
        <v>-5990</v>
      </c>
      <c r="W20" s="112">
        <f>I20-V20</f>
        <v>1562550</v>
      </c>
      <c r="X20" s="113">
        <f>G20-I20</f>
        <v>0</v>
      </c>
      <c r="Y20" s="336">
        <v>0</v>
      </c>
      <c r="Z20" s="337" t="e">
        <f>V20/Y20</f>
        <v>#DIV/0!</v>
      </c>
      <c r="AB20" s="383"/>
      <c r="AC20" s="310"/>
      <c r="AD20" s="310"/>
      <c r="AE20" s="310"/>
      <c r="AF20" s="310"/>
      <c r="AG20" s="310"/>
      <c r="AH20" s="310"/>
      <c r="AI20" s="310"/>
      <c r="AJ20" s="310"/>
      <c r="AK20" s="310"/>
      <c r="AL20" s="310"/>
      <c r="AM20" s="310"/>
    </row>
    <row r="21" spans="1:39" ht="18.95" customHeight="1">
      <c r="A21" s="356"/>
      <c r="B21" s="291"/>
      <c r="C21" s="292" t="s">
        <v>64</v>
      </c>
      <c r="D21" s="293" t="s">
        <v>39</v>
      </c>
      <c r="E21" s="294">
        <v>0</v>
      </c>
      <c r="F21" s="295"/>
      <c r="G21" s="294">
        <v>0</v>
      </c>
      <c r="H21" s="295"/>
      <c r="I21" s="296">
        <v>0</v>
      </c>
      <c r="J21" s="297">
        <v>0</v>
      </c>
      <c r="K21" s="297">
        <v>0</v>
      </c>
      <c r="L21" s="297">
        <v>0</v>
      </c>
      <c r="M21" s="297">
        <v>0</v>
      </c>
      <c r="N21" s="297">
        <v>0</v>
      </c>
      <c r="O21" s="297">
        <v>0</v>
      </c>
      <c r="P21" s="297">
        <v>0</v>
      </c>
      <c r="Q21" s="297">
        <v>0</v>
      </c>
      <c r="R21" s="297">
        <v>10</v>
      </c>
      <c r="S21" s="297">
        <v>-1000</v>
      </c>
      <c r="T21" s="297">
        <v>-2000</v>
      </c>
      <c r="U21" s="297">
        <v>-3000</v>
      </c>
      <c r="V21" s="298">
        <f>SUM(J21:U21)</f>
        <v>-5990</v>
      </c>
      <c r="W21" s="299">
        <f>I21-V21</f>
        <v>5990</v>
      </c>
      <c r="X21" s="350">
        <f>G21-I21</f>
        <v>0</v>
      </c>
      <c r="Y21" s="351">
        <v>0</v>
      </c>
      <c r="Z21" s="352" t="e">
        <f t="shared" ref="Z21:Z25" si="1">V21/Y21</f>
        <v>#DIV/0!</v>
      </c>
      <c r="AB21" s="381"/>
      <c r="AC21" s="297"/>
      <c r="AD21" s="297"/>
      <c r="AE21" s="297"/>
      <c r="AF21" s="297"/>
      <c r="AG21" s="297"/>
      <c r="AH21" s="297"/>
      <c r="AI21" s="297"/>
      <c r="AJ21" s="297"/>
      <c r="AK21" s="297"/>
      <c r="AL21" s="297"/>
      <c r="AM21" s="297"/>
    </row>
    <row r="22" spans="1:39" ht="36.950000000000003" customHeight="1">
      <c r="A22" s="335" t="s">
        <v>65</v>
      </c>
      <c r="B22" s="304"/>
      <c r="C22" s="305" t="s">
        <v>49</v>
      </c>
      <c r="D22" s="306" t="s">
        <v>39</v>
      </c>
      <c r="E22" s="307">
        <v>0</v>
      </c>
      <c r="F22" s="308"/>
      <c r="G22" s="307">
        <v>0</v>
      </c>
      <c r="H22" s="308"/>
      <c r="I22" s="309">
        <v>0</v>
      </c>
      <c r="J22" s="310">
        <v>0</v>
      </c>
      <c r="K22" s="310">
        <v>0</v>
      </c>
      <c r="L22" s="310">
        <v>0</v>
      </c>
      <c r="M22" s="310">
        <v>0</v>
      </c>
      <c r="N22" s="310">
        <v>0</v>
      </c>
      <c r="O22" s="310">
        <v>0</v>
      </c>
      <c r="P22" s="310">
        <v>0</v>
      </c>
      <c r="Q22" s="310">
        <v>0</v>
      </c>
      <c r="R22" s="310">
        <v>10</v>
      </c>
      <c r="S22" s="310">
        <v>-1000</v>
      </c>
      <c r="T22" s="310">
        <v>-2000</v>
      </c>
      <c r="U22" s="310">
        <v>-3000</v>
      </c>
      <c r="V22" s="311">
        <f>SUM(J22:U22)</f>
        <v>-5990</v>
      </c>
      <c r="W22" s="112">
        <f>I22-V22</f>
        <v>5990</v>
      </c>
      <c r="X22" s="353">
        <f>G22-I22</f>
        <v>0</v>
      </c>
      <c r="Y22" s="336">
        <v>0</v>
      </c>
      <c r="Z22" s="354" t="e">
        <f t="shared" si="1"/>
        <v>#DIV/0!</v>
      </c>
      <c r="AB22" s="383"/>
      <c r="AC22" s="310"/>
      <c r="AD22" s="310"/>
      <c r="AE22" s="310"/>
      <c r="AF22" s="310"/>
      <c r="AG22" s="310"/>
      <c r="AH22" s="310"/>
      <c r="AI22" s="310"/>
      <c r="AJ22" s="310"/>
      <c r="AK22" s="310"/>
      <c r="AL22" s="310"/>
      <c r="AM22" s="310"/>
    </row>
    <row r="23" spans="1:39" ht="18.95" customHeight="1">
      <c r="A23" s="355" t="s">
        <v>66</v>
      </c>
      <c r="B23" s="304" t="s">
        <v>34</v>
      </c>
      <c r="C23" s="305" t="s">
        <v>51</v>
      </c>
      <c r="D23" s="306" t="s">
        <v>36</v>
      </c>
      <c r="E23" s="307">
        <v>607100</v>
      </c>
      <c r="F23" s="308"/>
      <c r="G23" s="307">
        <v>477250</v>
      </c>
      <c r="H23" s="308"/>
      <c r="I23" s="309">
        <v>477250</v>
      </c>
      <c r="J23" s="310">
        <v>0</v>
      </c>
      <c r="K23" s="310">
        <v>0</v>
      </c>
      <c r="L23" s="310">
        <v>0</v>
      </c>
      <c r="M23" s="310">
        <v>0</v>
      </c>
      <c r="N23" s="310">
        <v>0</v>
      </c>
      <c r="O23" s="310">
        <v>0</v>
      </c>
      <c r="P23" s="310">
        <v>0</v>
      </c>
      <c r="Q23" s="310">
        <v>0</v>
      </c>
      <c r="R23" s="310">
        <v>10</v>
      </c>
      <c r="S23" s="310">
        <v>-1000</v>
      </c>
      <c r="T23" s="310">
        <v>-2000</v>
      </c>
      <c r="U23" s="310">
        <v>-3000</v>
      </c>
      <c r="V23" s="311">
        <f>SUM(J23:U23)</f>
        <v>-5990</v>
      </c>
      <c r="W23" s="112">
        <f>I23-V23</f>
        <v>483240</v>
      </c>
      <c r="X23" s="353">
        <f>G23-I23</f>
        <v>0</v>
      </c>
      <c r="Y23" s="336">
        <v>0</v>
      </c>
      <c r="Z23" s="354" t="e">
        <f t="shared" si="1"/>
        <v>#DIV/0!</v>
      </c>
      <c r="AB23" s="383"/>
      <c r="AC23" s="310"/>
      <c r="AD23" s="310"/>
      <c r="AE23" s="310"/>
      <c r="AF23" s="310"/>
      <c r="AG23" s="310"/>
      <c r="AH23" s="310"/>
      <c r="AI23" s="310"/>
      <c r="AJ23" s="310"/>
      <c r="AK23" s="310"/>
      <c r="AL23" s="310"/>
      <c r="AM23" s="310"/>
    </row>
    <row r="24" spans="1:39" ht="18.95" customHeight="1">
      <c r="A24" s="357"/>
      <c r="B24" s="291"/>
      <c r="C24" s="292" t="s">
        <v>51</v>
      </c>
      <c r="D24" s="293" t="s">
        <v>39</v>
      </c>
      <c r="E24" s="294">
        <v>150000</v>
      </c>
      <c r="F24" s="295"/>
      <c r="G24" s="294">
        <v>0</v>
      </c>
      <c r="H24" s="295"/>
      <c r="I24" s="296">
        <v>0</v>
      </c>
      <c r="J24" s="297">
        <v>0</v>
      </c>
      <c r="K24" s="297">
        <v>0</v>
      </c>
      <c r="L24" s="297">
        <v>0</v>
      </c>
      <c r="M24" s="297">
        <v>0</v>
      </c>
      <c r="N24" s="297">
        <v>0</v>
      </c>
      <c r="O24" s="297">
        <v>0</v>
      </c>
      <c r="P24" s="297">
        <v>0</v>
      </c>
      <c r="Q24" s="297">
        <v>0</v>
      </c>
      <c r="R24" s="297">
        <v>10</v>
      </c>
      <c r="S24" s="297">
        <v>-1000</v>
      </c>
      <c r="T24" s="297">
        <v>-2000</v>
      </c>
      <c r="U24" s="297">
        <v>-3000</v>
      </c>
      <c r="V24" s="298">
        <f>SUM(J24:U24)</f>
        <v>-5990</v>
      </c>
      <c r="W24" s="299">
        <f>I24-V24</f>
        <v>5990</v>
      </c>
      <c r="X24" s="350">
        <f>G24-I24</f>
        <v>0</v>
      </c>
      <c r="Y24" s="351">
        <v>0</v>
      </c>
      <c r="Z24" s="352" t="e">
        <f t="shared" si="1"/>
        <v>#DIV/0!</v>
      </c>
      <c r="AB24" s="381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  <c r="AM24" s="297"/>
    </row>
    <row r="25" spans="1:39" ht="18.95" customHeight="1">
      <c r="A25" s="358"/>
      <c r="B25" s="338"/>
      <c r="C25" s="339" t="s">
        <v>52</v>
      </c>
      <c r="D25" s="340" t="s">
        <v>39</v>
      </c>
      <c r="E25" s="341">
        <v>0</v>
      </c>
      <c r="F25" s="342"/>
      <c r="G25" s="341">
        <v>0</v>
      </c>
      <c r="H25" s="342"/>
      <c r="I25" s="343">
        <v>0</v>
      </c>
      <c r="J25" s="344">
        <v>0</v>
      </c>
      <c r="K25" s="344">
        <v>0</v>
      </c>
      <c r="L25" s="344">
        <v>0</v>
      </c>
      <c r="M25" s="344">
        <v>0</v>
      </c>
      <c r="N25" s="344">
        <v>0</v>
      </c>
      <c r="O25" s="344">
        <v>0</v>
      </c>
      <c r="P25" s="344">
        <v>0</v>
      </c>
      <c r="Q25" s="344">
        <v>0</v>
      </c>
      <c r="R25" s="344">
        <v>10</v>
      </c>
      <c r="S25" s="344">
        <v>-1000</v>
      </c>
      <c r="T25" s="344">
        <v>-2000</v>
      </c>
      <c r="U25" s="344">
        <v>-3000</v>
      </c>
      <c r="V25" s="345">
        <f>SUM(J25:U25)</f>
        <v>-5990</v>
      </c>
      <c r="W25" s="346">
        <f>I25-V25</f>
        <v>5990</v>
      </c>
      <c r="X25" s="347">
        <f>G25-I25</f>
        <v>0</v>
      </c>
      <c r="Y25" s="348">
        <v>0</v>
      </c>
      <c r="Z25" s="349" t="e">
        <f t="shared" si="1"/>
        <v>#DIV/0!</v>
      </c>
      <c r="AB25" s="382"/>
      <c r="AC25" s="344"/>
      <c r="AD25" s="344"/>
      <c r="AE25" s="344"/>
      <c r="AF25" s="344"/>
      <c r="AG25" s="344"/>
      <c r="AH25" s="344"/>
      <c r="AI25" s="344"/>
      <c r="AJ25" s="344"/>
      <c r="AK25" s="344"/>
      <c r="AL25" s="344"/>
      <c r="AM25" s="344"/>
    </row>
    <row r="26" spans="1:39" ht="32.1" customHeight="1" thickBot="1">
      <c r="A26" s="69"/>
      <c r="B26" s="30" t="s">
        <v>16</v>
      </c>
      <c r="C26" s="30"/>
      <c r="D26" s="31"/>
      <c r="E26" s="165">
        <f>SUM(E20:E25)</f>
        <v>2296100</v>
      </c>
      <c r="F26" s="166"/>
      <c r="G26" s="165">
        <f>SUM(G20:G25)</f>
        <v>2033810</v>
      </c>
      <c r="H26" s="166"/>
      <c r="I26" s="32">
        <f>SUM(I20:I25)</f>
        <v>2033810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132">
        <f>SUM(V20:V25)</f>
        <v>-35940</v>
      </c>
      <c r="W26" s="133">
        <f>SUM(W20:W25)</f>
        <v>2069750</v>
      </c>
      <c r="X26" s="134">
        <f>SUM(X20:X25)</f>
        <v>0</v>
      </c>
      <c r="Y26" s="34">
        <f>SUM(Y20:Y25)</f>
        <v>0</v>
      </c>
      <c r="Z26" s="110"/>
    </row>
    <row r="27" spans="1:39" ht="2.25" customHeight="1" thickTop="1" thickBot="1">
      <c r="A27" s="70"/>
      <c r="B27" s="35"/>
      <c r="C27" s="35"/>
      <c r="D27" s="35"/>
      <c r="E27" s="35"/>
      <c r="F27" s="36"/>
      <c r="G27" s="35"/>
      <c r="H27" s="36"/>
      <c r="I27" s="37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8"/>
      <c r="X27" s="39"/>
      <c r="Y27" s="40"/>
      <c r="Z27" s="71"/>
    </row>
    <row r="28" spans="1:39" ht="26.25" customHeight="1" thickTop="1" thickBot="1">
      <c r="A28" s="72"/>
      <c r="B28" s="73" t="s">
        <v>17</v>
      </c>
      <c r="C28" s="73"/>
      <c r="D28" s="73"/>
      <c r="E28" s="167"/>
      <c r="F28" s="168"/>
      <c r="G28" s="167"/>
      <c r="H28" s="168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2">
        <f>SUM(V26,V17)</f>
        <v>1002260</v>
      </c>
      <c r="W28" s="43">
        <f>SUM(W26,W17)</f>
        <v>3846300</v>
      </c>
      <c r="X28" s="74">
        <f>X17+X26</f>
        <v>787500</v>
      </c>
      <c r="Y28" s="75">
        <f>SUM(Y26,Y17)</f>
        <v>0</v>
      </c>
      <c r="Z28" s="76"/>
    </row>
    <row r="29" spans="1:39" ht="2.25" customHeight="1" thickTop="1">
      <c r="A29" s="93"/>
      <c r="B29" s="94"/>
      <c r="C29" s="94"/>
      <c r="D29" s="94"/>
      <c r="E29" s="94"/>
      <c r="F29" s="95"/>
      <c r="G29" s="94"/>
      <c r="H29" s="95"/>
      <c r="I29" s="96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7"/>
      <c r="X29" s="98"/>
      <c r="Y29" s="99"/>
      <c r="Z29" s="100"/>
    </row>
    <row r="30" spans="1:39" ht="18.2" customHeight="1">
      <c r="A30" s="101"/>
      <c r="B30" s="102"/>
      <c r="C30" s="102"/>
      <c r="D30" s="102"/>
      <c r="E30" s="182"/>
      <c r="F30" s="183"/>
      <c r="G30" s="182"/>
      <c r="H30" s="183"/>
      <c r="I30" s="103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104"/>
      <c r="X30" s="105"/>
      <c r="Y30" s="106"/>
      <c r="Z30" s="105"/>
    </row>
    <row r="31" spans="1:39" ht="18.2" customHeight="1">
      <c r="A31" s="269" t="s">
        <v>67</v>
      </c>
      <c r="B31" s="145" t="s">
        <v>34</v>
      </c>
      <c r="C31" s="146"/>
      <c r="D31" s="147"/>
      <c r="E31" s="169">
        <v>1101</v>
      </c>
      <c r="F31" s="170"/>
      <c r="G31" s="169">
        <v>4000000</v>
      </c>
      <c r="H31" s="170"/>
      <c r="I31" s="148">
        <v>8000000</v>
      </c>
      <c r="J31" s="271">
        <v>11</v>
      </c>
      <c r="K31" s="271">
        <v>102</v>
      </c>
      <c r="L31" s="271">
        <v>600003</v>
      </c>
      <c r="M31" s="271">
        <v>660004</v>
      </c>
      <c r="N31" s="271">
        <v>540005</v>
      </c>
      <c r="O31" s="271">
        <v>540006</v>
      </c>
      <c r="P31" s="271">
        <v>7</v>
      </c>
      <c r="Q31" s="271">
        <v>8</v>
      </c>
      <c r="R31" s="271">
        <v>30</v>
      </c>
      <c r="S31" s="271">
        <v>-3000</v>
      </c>
      <c r="T31" s="271">
        <v>-6000</v>
      </c>
      <c r="U31" s="271">
        <v>-9000</v>
      </c>
      <c r="V31" s="149">
        <f>SUM(J31:U31)</f>
        <v>2322176</v>
      </c>
      <c r="W31" s="150">
        <f>I31-V31</f>
        <v>5677824</v>
      </c>
      <c r="X31" s="151">
        <f>G31-I31</f>
        <v>-4000000</v>
      </c>
      <c r="Y31" s="152">
        <v>0</v>
      </c>
      <c r="Z31" s="153" t="e">
        <f>V31/Y31</f>
        <v>#DIV/0!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</row>
    <row r="32" spans="1:39" ht="18.2" customHeight="1">
      <c r="A32" s="270"/>
      <c r="B32" s="145" t="s">
        <v>68</v>
      </c>
      <c r="C32" s="146"/>
      <c r="D32" s="147"/>
      <c r="E32" s="169">
        <v>0</v>
      </c>
      <c r="F32" s="170"/>
      <c r="G32" s="169">
        <v>0</v>
      </c>
      <c r="H32" s="170"/>
      <c r="I32" s="148">
        <v>0</v>
      </c>
      <c r="J32" s="271">
        <v>0</v>
      </c>
      <c r="K32" s="271">
        <v>1304</v>
      </c>
      <c r="L32" s="271">
        <v>0</v>
      </c>
      <c r="M32" s="271">
        <v>655</v>
      </c>
      <c r="N32" s="271">
        <v>0</v>
      </c>
      <c r="O32" s="271">
        <v>0</v>
      </c>
      <c r="P32" s="271">
        <v>0</v>
      </c>
      <c r="Q32" s="271">
        <v>0</v>
      </c>
      <c r="R32" s="271">
        <v>10</v>
      </c>
      <c r="S32" s="271">
        <v>-1000</v>
      </c>
      <c r="T32" s="271">
        <v>-2000</v>
      </c>
      <c r="U32" s="271">
        <v>-3000</v>
      </c>
      <c r="V32" s="149">
        <f>SUM(J32:U32)</f>
        <v>-4031</v>
      </c>
      <c r="W32" s="150">
        <f>I32-V32</f>
        <v>4031</v>
      </c>
      <c r="X32" s="151">
        <f>G32-I32</f>
        <v>0</v>
      </c>
      <c r="Y32" s="152">
        <v>0</v>
      </c>
      <c r="Z32" s="153" t="e">
        <f t="shared" ref="Z32:Z38" si="2">V32/Y32</f>
        <v>#DIV/0!</v>
      </c>
      <c r="AB32" s="271"/>
      <c r="AC32" s="271"/>
      <c r="AD32" s="271"/>
      <c r="AE32" s="271"/>
      <c r="AF32" s="271"/>
      <c r="AG32" s="271"/>
      <c r="AH32" s="271"/>
      <c r="AI32" s="271"/>
      <c r="AJ32" s="271"/>
      <c r="AK32" s="271"/>
      <c r="AL32" s="271"/>
      <c r="AM32" s="271"/>
    </row>
    <row r="33" spans="1:39" ht="18.2" customHeight="1">
      <c r="A33" s="270"/>
      <c r="B33" s="145" t="s">
        <v>69</v>
      </c>
      <c r="C33" s="146"/>
      <c r="D33" s="147"/>
      <c r="E33" s="169">
        <v>0</v>
      </c>
      <c r="F33" s="170"/>
      <c r="G33" s="169">
        <v>0</v>
      </c>
      <c r="H33" s="170"/>
      <c r="I33" s="148">
        <v>0</v>
      </c>
      <c r="J33" s="271">
        <v>0</v>
      </c>
      <c r="K33" s="271">
        <v>0</v>
      </c>
      <c r="L33" s="271">
        <v>1926</v>
      </c>
      <c r="M33" s="271">
        <v>0</v>
      </c>
      <c r="N33" s="271">
        <v>0</v>
      </c>
      <c r="O33" s="271">
        <v>0</v>
      </c>
      <c r="P33" s="271">
        <v>0</v>
      </c>
      <c r="Q33" s="271">
        <v>0</v>
      </c>
      <c r="R33" s="271">
        <v>10</v>
      </c>
      <c r="S33" s="271">
        <v>-1000</v>
      </c>
      <c r="T33" s="271">
        <v>-2000</v>
      </c>
      <c r="U33" s="271">
        <v>-3000</v>
      </c>
      <c r="V33" s="149">
        <f>SUM(J33:U33)</f>
        <v>-4064</v>
      </c>
      <c r="W33" s="150">
        <f>I33-V33</f>
        <v>4064</v>
      </c>
      <c r="X33" s="151">
        <f>G33-I33</f>
        <v>0</v>
      </c>
      <c r="Y33" s="152">
        <v>0</v>
      </c>
      <c r="Z33" s="153" t="e">
        <f t="shared" si="2"/>
        <v>#DIV/0!</v>
      </c>
      <c r="AB33" s="271"/>
      <c r="AC33" s="271"/>
      <c r="AD33" s="271"/>
      <c r="AE33" s="271"/>
      <c r="AF33" s="271"/>
      <c r="AG33" s="271"/>
      <c r="AH33" s="271"/>
      <c r="AI33" s="271"/>
      <c r="AJ33" s="271"/>
      <c r="AK33" s="271"/>
      <c r="AL33" s="271"/>
      <c r="AM33" s="271"/>
    </row>
    <row r="34" spans="1:39" ht="18.2" customHeight="1">
      <c r="A34" s="270"/>
      <c r="B34" s="145" t="s">
        <v>70</v>
      </c>
      <c r="C34" s="146"/>
      <c r="D34" s="147"/>
      <c r="E34" s="169">
        <v>0</v>
      </c>
      <c r="F34" s="170"/>
      <c r="G34" s="169">
        <v>0</v>
      </c>
      <c r="H34" s="170"/>
      <c r="I34" s="148">
        <v>0</v>
      </c>
      <c r="J34" s="271">
        <v>0</v>
      </c>
      <c r="K34" s="271">
        <v>0</v>
      </c>
      <c r="L34" s="271">
        <v>13130</v>
      </c>
      <c r="M34" s="271">
        <v>122228</v>
      </c>
      <c r="N34" s="271">
        <v>210960</v>
      </c>
      <c r="O34" s="271">
        <v>169189</v>
      </c>
      <c r="P34" s="271">
        <v>36141</v>
      </c>
      <c r="Q34" s="271">
        <v>0</v>
      </c>
      <c r="R34" s="271">
        <v>10</v>
      </c>
      <c r="S34" s="271">
        <v>-1000</v>
      </c>
      <c r="T34" s="271">
        <v>-2000</v>
      </c>
      <c r="U34" s="271">
        <v>-3000</v>
      </c>
      <c r="V34" s="149">
        <f>SUM(J34:U34)</f>
        <v>545658</v>
      </c>
      <c r="W34" s="150">
        <f>I34-V34</f>
        <v>-545658</v>
      </c>
      <c r="X34" s="151">
        <f>G34-I34</f>
        <v>0</v>
      </c>
      <c r="Y34" s="152">
        <v>0</v>
      </c>
      <c r="Z34" s="153" t="e">
        <f t="shared" si="2"/>
        <v>#DIV/0!</v>
      </c>
      <c r="AB34" s="271"/>
      <c r="AC34" s="271"/>
      <c r="AD34" s="271"/>
      <c r="AE34" s="271"/>
      <c r="AF34" s="271"/>
      <c r="AG34" s="271"/>
      <c r="AH34" s="271"/>
      <c r="AI34" s="271"/>
      <c r="AJ34" s="271"/>
      <c r="AK34" s="271"/>
      <c r="AL34" s="271"/>
      <c r="AM34" s="271"/>
    </row>
    <row r="35" spans="1:39" ht="18.2" customHeight="1">
      <c r="A35" s="270"/>
      <c r="B35" s="145" t="s">
        <v>71</v>
      </c>
      <c r="C35" s="146"/>
      <c r="D35" s="147"/>
      <c r="E35" s="169">
        <v>0</v>
      </c>
      <c r="F35" s="170"/>
      <c r="G35" s="169">
        <v>0</v>
      </c>
      <c r="H35" s="170"/>
      <c r="I35" s="148">
        <v>0</v>
      </c>
      <c r="J35" s="271">
        <v>13000</v>
      </c>
      <c r="K35" s="271">
        <v>38490</v>
      </c>
      <c r="L35" s="271">
        <v>13341</v>
      </c>
      <c r="M35" s="271">
        <v>3000</v>
      </c>
      <c r="N35" s="271">
        <v>750</v>
      </c>
      <c r="O35" s="271">
        <v>300</v>
      </c>
      <c r="P35" s="271">
        <v>750</v>
      </c>
      <c r="Q35" s="271">
        <v>0</v>
      </c>
      <c r="R35" s="271">
        <v>10</v>
      </c>
      <c r="S35" s="271">
        <v>-1000</v>
      </c>
      <c r="T35" s="271">
        <v>-2000</v>
      </c>
      <c r="U35" s="271">
        <v>-3000</v>
      </c>
      <c r="V35" s="149">
        <f>SUM(J35:U35)</f>
        <v>63641</v>
      </c>
      <c r="W35" s="150">
        <f>I35-V35</f>
        <v>-63641</v>
      </c>
      <c r="X35" s="151">
        <f>G35-I35</f>
        <v>0</v>
      </c>
      <c r="Y35" s="152">
        <v>0</v>
      </c>
      <c r="Z35" s="153" t="e">
        <f t="shared" si="2"/>
        <v>#DIV/0!</v>
      </c>
      <c r="AB35" s="271"/>
      <c r="AC35" s="271"/>
      <c r="AD35" s="271"/>
      <c r="AE35" s="271"/>
      <c r="AF35" s="271"/>
      <c r="AG35" s="271"/>
      <c r="AH35" s="271"/>
      <c r="AI35" s="271"/>
      <c r="AJ35" s="271"/>
      <c r="AK35" s="271"/>
      <c r="AL35" s="271"/>
      <c r="AM35" s="271"/>
    </row>
    <row r="36" spans="1:39" ht="18.2" customHeight="1">
      <c r="A36" s="270"/>
      <c r="B36" s="145" t="s">
        <v>72</v>
      </c>
      <c r="C36" s="146"/>
      <c r="D36" s="147"/>
      <c r="E36" s="169">
        <v>0</v>
      </c>
      <c r="F36" s="170"/>
      <c r="G36" s="169">
        <v>0</v>
      </c>
      <c r="H36" s="170"/>
      <c r="I36" s="148">
        <v>0</v>
      </c>
      <c r="J36" s="271">
        <v>0</v>
      </c>
      <c r="K36" s="271">
        <v>1670884</v>
      </c>
      <c r="L36" s="271">
        <v>92273</v>
      </c>
      <c r="M36" s="271">
        <v>368121</v>
      </c>
      <c r="N36" s="271">
        <v>10821</v>
      </c>
      <c r="O36" s="271">
        <v>24039</v>
      </c>
      <c r="P36" s="271">
        <v>18928</v>
      </c>
      <c r="Q36" s="271">
        <v>0</v>
      </c>
      <c r="R36" s="271">
        <v>20</v>
      </c>
      <c r="S36" s="271">
        <v>-2000</v>
      </c>
      <c r="T36" s="271">
        <v>-4000</v>
      </c>
      <c r="U36" s="271">
        <v>-6000</v>
      </c>
      <c r="V36" s="149">
        <f>SUM(J36:U36)</f>
        <v>2173086</v>
      </c>
      <c r="W36" s="150">
        <f>I36-V36</f>
        <v>-2173086</v>
      </c>
      <c r="X36" s="151">
        <f>G36-I36</f>
        <v>0</v>
      </c>
      <c r="Y36" s="152">
        <v>0</v>
      </c>
      <c r="Z36" s="153" t="e">
        <f t="shared" si="2"/>
        <v>#DIV/0!</v>
      </c>
      <c r="AB36" s="271"/>
      <c r="AC36" s="271"/>
      <c r="AD36" s="271"/>
      <c r="AE36" s="271"/>
      <c r="AF36" s="271"/>
      <c r="AG36" s="271"/>
      <c r="AH36" s="271"/>
      <c r="AI36" s="271"/>
      <c r="AJ36" s="271"/>
      <c r="AK36" s="271"/>
      <c r="AL36" s="271"/>
      <c r="AM36" s="271"/>
    </row>
    <row r="37" spans="1:39" ht="18.2" customHeight="1">
      <c r="A37" s="270"/>
      <c r="B37" s="145" t="s">
        <v>73</v>
      </c>
      <c r="C37" s="146"/>
      <c r="D37" s="147"/>
      <c r="E37" s="169">
        <v>0</v>
      </c>
      <c r="F37" s="170"/>
      <c r="G37" s="169">
        <v>0</v>
      </c>
      <c r="H37" s="170"/>
      <c r="I37" s="148">
        <v>0</v>
      </c>
      <c r="J37" s="271">
        <v>0</v>
      </c>
      <c r="K37" s="271">
        <v>4983</v>
      </c>
      <c r="L37" s="271">
        <v>1391</v>
      </c>
      <c r="M37" s="271">
        <v>0</v>
      </c>
      <c r="N37" s="271">
        <v>364</v>
      </c>
      <c r="O37" s="271">
        <v>182</v>
      </c>
      <c r="P37" s="271">
        <v>1182</v>
      </c>
      <c r="Q37" s="271">
        <v>0</v>
      </c>
      <c r="R37" s="271">
        <v>10</v>
      </c>
      <c r="S37" s="271">
        <v>-1000</v>
      </c>
      <c r="T37" s="271">
        <v>-2000</v>
      </c>
      <c r="U37" s="271">
        <v>-3000</v>
      </c>
      <c r="V37" s="149">
        <f>SUM(J37:U37)</f>
        <v>2112</v>
      </c>
      <c r="W37" s="150">
        <f>I37-V37</f>
        <v>-2112</v>
      </c>
      <c r="X37" s="151">
        <f>G37-I37</f>
        <v>0</v>
      </c>
      <c r="Y37" s="152">
        <v>0</v>
      </c>
      <c r="Z37" s="153" t="e">
        <f t="shared" si="2"/>
        <v>#DIV/0!</v>
      </c>
      <c r="AB37" s="271"/>
      <c r="AC37" s="271"/>
      <c r="AD37" s="271"/>
      <c r="AE37" s="271"/>
      <c r="AF37" s="271"/>
      <c r="AG37" s="271"/>
      <c r="AH37" s="271"/>
      <c r="AI37" s="271"/>
      <c r="AJ37" s="271"/>
      <c r="AK37" s="271"/>
      <c r="AL37" s="271"/>
      <c r="AM37" s="271"/>
    </row>
    <row r="38" spans="1:39" ht="18.2" customHeight="1">
      <c r="A38" s="270"/>
      <c r="B38" s="145"/>
      <c r="C38" s="146"/>
      <c r="D38" s="147"/>
      <c r="E38" s="169">
        <v>24160000</v>
      </c>
      <c r="F38" s="170"/>
      <c r="G38" s="169">
        <v>4427000</v>
      </c>
      <c r="H38" s="170"/>
      <c r="I38" s="148">
        <v>3996920</v>
      </c>
      <c r="J38" s="271">
        <v>0</v>
      </c>
      <c r="K38" s="271">
        <v>0</v>
      </c>
      <c r="L38" s="271">
        <v>0</v>
      </c>
      <c r="M38" s="271">
        <v>0</v>
      </c>
      <c r="N38" s="271">
        <v>0</v>
      </c>
      <c r="O38" s="271">
        <v>0</v>
      </c>
      <c r="P38" s="271">
        <v>0</v>
      </c>
      <c r="Q38" s="271">
        <v>0</v>
      </c>
      <c r="R38" s="271">
        <v>30</v>
      </c>
      <c r="S38" s="271">
        <v>-3000</v>
      </c>
      <c r="T38" s="271">
        <v>-6000</v>
      </c>
      <c r="U38" s="271">
        <v>-9000</v>
      </c>
      <c r="V38" s="149">
        <f>SUM(J38:U38)</f>
        <v>-17970</v>
      </c>
      <c r="W38" s="150">
        <f>I38-V38</f>
        <v>4014890</v>
      </c>
      <c r="X38" s="151">
        <f>G38-I38</f>
        <v>430080</v>
      </c>
      <c r="Y38" s="152">
        <v>0</v>
      </c>
      <c r="Z38" s="153" t="e">
        <f t="shared" si="2"/>
        <v>#DIV/0!</v>
      </c>
      <c r="AB38" s="271"/>
      <c r="AC38" s="271"/>
      <c r="AD38" s="271"/>
      <c r="AE38" s="271"/>
      <c r="AF38" s="271"/>
      <c r="AG38" s="271"/>
      <c r="AH38" s="271"/>
      <c r="AI38" s="271"/>
      <c r="AJ38" s="271"/>
      <c r="AK38" s="271"/>
      <c r="AL38" s="271"/>
      <c r="AM38" s="271"/>
    </row>
    <row r="39" spans="1:39" ht="18.95" customHeight="1" thickBot="1">
      <c r="A39" s="156"/>
      <c r="B39" s="157" t="s">
        <v>30</v>
      </c>
      <c r="C39" s="158"/>
      <c r="D39" s="159"/>
      <c r="E39" s="175">
        <f>SUM(E31:F38)</f>
        <v>24161101</v>
      </c>
      <c r="F39" s="176"/>
      <c r="G39" s="177">
        <f>SUM(G31:H38)</f>
        <v>8427000</v>
      </c>
      <c r="H39" s="176"/>
      <c r="I39" s="160">
        <f>SUM(I31:I38)</f>
        <v>11996920</v>
      </c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7">
        <f>SUM(V31:V38)</f>
        <v>5080608</v>
      </c>
      <c r="W39" s="27">
        <f>SUM(W31:W38)</f>
        <v>6916312</v>
      </c>
      <c r="X39" s="154">
        <f>SUM(X31:X38)</f>
        <v>-3569920</v>
      </c>
      <c r="Y39" s="130">
        <f>SUM(Y31:Y38)</f>
        <v>0</v>
      </c>
      <c r="Z39" s="29"/>
    </row>
    <row r="40" spans="1:39" ht="18.2" customHeight="1" thickTop="1">
      <c r="A40" s="359"/>
      <c r="B40" s="360" t="s">
        <v>18</v>
      </c>
      <c r="C40" s="361"/>
      <c r="D40" s="362"/>
      <c r="E40" s="363">
        <f>SUM(E17,E26,E39)</f>
        <v>28064301</v>
      </c>
      <c r="F40" s="364"/>
      <c r="G40" s="363">
        <f>SUM(G17,G26,G39)</f>
        <v>14063060</v>
      </c>
      <c r="H40" s="364"/>
      <c r="I40" s="365">
        <f>SUM(I39,I26,I17)</f>
        <v>16845480</v>
      </c>
      <c r="J40" s="366">
        <f>SUM(J7:J38)</f>
        <v>13011</v>
      </c>
      <c r="K40" s="366">
        <f>SUM(K7:K38)</f>
        <v>1734163</v>
      </c>
      <c r="L40" s="366">
        <f>SUM(L7:L38)</f>
        <v>1051264</v>
      </c>
      <c r="M40" s="366">
        <f>SUM(M7:M38)</f>
        <v>1685008</v>
      </c>
      <c r="N40" s="366">
        <f>SUM(N7:N38)</f>
        <v>937400</v>
      </c>
      <c r="O40" s="366">
        <f>SUM(O7:O38)</f>
        <v>778716</v>
      </c>
      <c r="P40" s="366">
        <f>SUM(P7:P38)</f>
        <v>57008</v>
      </c>
      <c r="Q40" s="366">
        <f>SUM(Q7:Q38)</f>
        <v>8</v>
      </c>
      <c r="R40" s="366">
        <f>SUM(R7:R38)</f>
        <v>290</v>
      </c>
      <c r="S40" s="366">
        <f>SUM(S7:S38)</f>
        <v>-29000</v>
      </c>
      <c r="T40" s="366">
        <f>SUM(T7:T38)</f>
        <v>-58000</v>
      </c>
      <c r="U40" s="366">
        <f>SUM(U7:U38)</f>
        <v>-87000</v>
      </c>
      <c r="V40" s="366">
        <f>SUM(J40:U40)</f>
        <v>6082868</v>
      </c>
      <c r="W40" s="367">
        <f>I40-V40</f>
        <v>10762612</v>
      </c>
      <c r="X40" s="368">
        <f>SUM(X39,X28)</f>
        <v>-2782420</v>
      </c>
      <c r="Y40" s="369">
        <f>SUM(Y39,Y28)</f>
        <v>0</v>
      </c>
      <c r="Z40" s="370"/>
    </row>
    <row r="41" spans="1:39" ht="25.5" customHeight="1">
      <c r="A41" s="51"/>
      <c r="B41" s="51"/>
      <c r="C41" s="51"/>
      <c r="D41" s="51"/>
      <c r="E41" s="51"/>
      <c r="F41" s="52"/>
      <c r="G41" s="51"/>
      <c r="H41" s="52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4"/>
      <c r="X41" s="51"/>
      <c r="Y41" s="51"/>
    </row>
    <row r="42" spans="1:39" ht="6" customHeight="1"/>
    <row r="44" spans="1:39" ht="18" customHeight="1">
      <c r="A44" s="164"/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</row>
    <row r="45" spans="1:39" ht="18" customHeight="1">
      <c r="A45" s="164"/>
      <c r="B45" s="164"/>
      <c r="C45" s="164"/>
      <c r="D45" s="164"/>
      <c r="E45" s="164"/>
      <c r="F45" s="164"/>
    </row>
    <row r="46" spans="1:39" ht="18" customHeight="1">
      <c r="A46" s="164"/>
      <c r="B46" s="164"/>
      <c r="C46" s="164"/>
      <c r="D46" s="164"/>
      <c r="E46" s="164"/>
      <c r="F46" s="164"/>
    </row>
  </sheetData>
  <mergeCells count="99">
    <mergeCell ref="A7:A12"/>
    <mergeCell ref="A14:A16"/>
    <mergeCell ref="A20:A21"/>
    <mergeCell ref="A23:A25"/>
    <mergeCell ref="E37:F37"/>
    <mergeCell ref="G37:H37"/>
    <mergeCell ref="E38:F38"/>
    <mergeCell ref="G38:H38"/>
    <mergeCell ref="E34:F34"/>
    <mergeCell ref="G34:H34"/>
    <mergeCell ref="E35:F35"/>
    <mergeCell ref="G35:H35"/>
    <mergeCell ref="E36:F36"/>
    <mergeCell ref="G36:H36"/>
    <mergeCell ref="E32:F32"/>
    <mergeCell ref="G32:H32"/>
    <mergeCell ref="E33:F33"/>
    <mergeCell ref="G33:H33"/>
    <mergeCell ref="E24:F24"/>
    <mergeCell ref="G24:H24"/>
    <mergeCell ref="E25:F25"/>
    <mergeCell ref="G25:H25"/>
    <mergeCell ref="O1:Q1"/>
    <mergeCell ref="O2:Q4"/>
    <mergeCell ref="R1:Z4"/>
    <mergeCell ref="I4:N4"/>
    <mergeCell ref="E21:F21"/>
    <mergeCell ref="G21:H21"/>
    <mergeCell ref="E15:F15"/>
    <mergeCell ref="G15:H15"/>
    <mergeCell ref="E16:F16"/>
    <mergeCell ref="G16:H16"/>
    <mergeCell ref="J1:N1"/>
    <mergeCell ref="J2:N2"/>
    <mergeCell ref="J3:N3"/>
    <mergeCell ref="E12:F12"/>
    <mergeCell ref="G12:H12"/>
    <mergeCell ref="E13:F13"/>
    <mergeCell ref="G13:H13"/>
    <mergeCell ref="E14:F14"/>
    <mergeCell ref="G14:H14"/>
    <mergeCell ref="A45:F45"/>
    <mergeCell ref="A46:F46"/>
    <mergeCell ref="E8:F8"/>
    <mergeCell ref="G8:H8"/>
    <mergeCell ref="E9:F9"/>
    <mergeCell ref="G9:H9"/>
    <mergeCell ref="E10:F10"/>
    <mergeCell ref="G10:H10"/>
    <mergeCell ref="E11:F11"/>
    <mergeCell ref="G11:H11"/>
    <mergeCell ref="E39:F39"/>
    <mergeCell ref="G39:H39"/>
    <mergeCell ref="B40:C40"/>
    <mergeCell ref="E40:F40"/>
    <mergeCell ref="G40:H40"/>
    <mergeCell ref="A44:U44"/>
    <mergeCell ref="E28:F28"/>
    <mergeCell ref="G28:H28"/>
    <mergeCell ref="E30:F30"/>
    <mergeCell ref="G30:H30"/>
    <mergeCell ref="A31:A38"/>
    <mergeCell ref="E31:F31"/>
    <mergeCell ref="G31:H31"/>
    <mergeCell ref="E20:F20"/>
    <mergeCell ref="G20:H20"/>
    <mergeCell ref="E26:F26"/>
    <mergeCell ref="G26:H26"/>
    <mergeCell ref="E22:F22"/>
    <mergeCell ref="G22:H22"/>
    <mergeCell ref="E23:F23"/>
    <mergeCell ref="G23:H23"/>
    <mergeCell ref="E17:F17"/>
    <mergeCell ref="G17:H17"/>
    <mergeCell ref="A18:Z18"/>
    <mergeCell ref="E19:F19"/>
    <mergeCell ref="G19:H19"/>
    <mergeCell ref="V5:V6"/>
    <mergeCell ref="W5:W6"/>
    <mergeCell ref="X5:X6"/>
    <mergeCell ref="Y5:Y6"/>
    <mergeCell ref="Z5:Z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A1:B1"/>
    <mergeCell ref="C1:H1"/>
    <mergeCell ref="A2:B2"/>
    <mergeCell ref="C2:H2"/>
  </mergeCells>
  <phoneticPr fontId="2"/>
  <pageMargins left="0.7" right="0.7" top="0.75" bottom="0.75" header="0.3" footer="0.3"/>
  <pageSetup paperSize="9" scale="43" orientation="portrait" r:id="rId1"/>
</worksheet>
</file>

<file path=docMetadata/LabelInfo.xml><?xml version="1.0" encoding="utf-8"?>
<clbl:labelList xmlns:clbl="http://schemas.microsoft.com/office/2020/mipLabelMetadata">
  <clbl:label id="{abef13c3-ec84-4360-afc1-346329e5c56e}" enabled="1" method="Standard" siteId="{f54277c9-dafe-44aa-85a4-73d5c7c5245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templete</vt:lpstr>
      <vt:lpstr>精算書（支払台帳）作成</vt:lpstr>
      <vt:lpstr>報告(2026年02月)</vt:lpstr>
      <vt:lpstr>templete!Print_Area</vt:lpstr>
      <vt:lpstr>'報告(2026年02月)'!Print_Area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rentaladmin</dc:creator>
  <cp:lastModifiedBy>辛敏豪 / XIN，MINHAO</cp:lastModifiedBy>
  <dcterms:created xsi:type="dcterms:W3CDTF">2015-06-05T18:19:34Z</dcterms:created>
  <dcterms:modified xsi:type="dcterms:W3CDTF">2025-09-05T05:50:54Z</dcterms:modified>
</cp:coreProperties>
</file>