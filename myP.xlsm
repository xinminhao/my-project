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taladmin\Desktop\0908\"/>
    </mc:Choice>
  </mc:AlternateContent>
  <xr:revisionPtr revIDLastSave="0" documentId="13_ncr:1_{3E9BBBCB-BA77-43AB-BC2F-0DE76BFD9EB8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templete" sheetId="8" state="hidden" r:id="rId1"/>
    <sheet name="精算書（支払台帳）作成" sheetId="20" r:id="rId2"/>
  </sheets>
  <functionGroups builtInGroupCount="19"/>
  <definedNames>
    <definedName name="_xlnm.Print_Area" localSheetId="0">templete!$A$1:$P$24</definedName>
  </definedNames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8" l="1"/>
  <c r="E24" i="8"/>
  <c r="I24" i="8" l="1"/>
  <c r="K24" i="8"/>
  <c r="J24" i="8"/>
  <c r="N24" i="8"/>
  <c r="E23" i="8"/>
  <c r="G23" i="8"/>
  <c r="I23" i="8"/>
  <c r="O24" i="8"/>
  <c r="O23" i="8"/>
  <c r="L23" i="8"/>
  <c r="N23" i="8"/>
  <c r="M23" i="8"/>
  <c r="N22" i="8" l="1"/>
  <c r="L22" i="8"/>
  <c r="P22" i="8" s="1"/>
  <c r="M22" i="8" l="1"/>
  <c r="N15" i="8" l="1"/>
  <c r="L15" i="8"/>
  <c r="P15" i="8" s="1"/>
  <c r="J5" i="8"/>
  <c r="L9" i="8"/>
  <c r="M9" i="8" s="1"/>
  <c r="N9" i="8"/>
  <c r="P9" i="8"/>
  <c r="L10" i="8"/>
  <c r="M10" i="8" s="1"/>
  <c r="N10" i="8"/>
  <c r="E11" i="8"/>
  <c r="G11" i="8"/>
  <c r="I11" i="8"/>
  <c r="O11" i="8"/>
  <c r="L14" i="8"/>
  <c r="M14" i="8" s="1"/>
  <c r="N14" i="8"/>
  <c r="E16" i="8"/>
  <c r="G16" i="8"/>
  <c r="I16" i="8"/>
  <c r="N16" i="8"/>
  <c r="O16" i="8"/>
  <c r="L21" i="8"/>
  <c r="N21" i="8"/>
  <c r="P21" i="8"/>
  <c r="I6" i="8"/>
  <c r="C5" i="8" l="1"/>
  <c r="O18" i="8"/>
  <c r="M21" i="8"/>
  <c r="L24" i="8"/>
  <c r="M24" i="8" s="1"/>
  <c r="M15" i="8"/>
  <c r="M16" i="8" s="1"/>
  <c r="L16" i="8"/>
  <c r="P14" i="8"/>
  <c r="N11" i="8"/>
  <c r="N18" i="8" s="1"/>
  <c r="L11" i="8"/>
  <c r="P10" i="8"/>
  <c r="M11" i="8"/>
  <c r="L18" i="8" l="1"/>
  <c r="M18" i="8"/>
</calcChain>
</file>

<file path=xl/sharedStrings.xml><?xml version="1.0" encoding="utf-8"?>
<sst xmlns="http://schemas.openxmlformats.org/spreadsheetml/2006/main" count="31" uniqueCount="31">
  <si>
    <t>工事件名</t>
    <rPh sb="0" eb="2">
      <t>コウジ</t>
    </rPh>
    <rPh sb="2" eb="4">
      <t>ケンメイ</t>
    </rPh>
    <phoneticPr fontId="4"/>
  </si>
  <si>
    <t>更新日</t>
    <rPh sb="0" eb="2">
      <t>コウシン</t>
    </rPh>
    <phoneticPr fontId="4"/>
  </si>
  <si>
    <t>実行予算時利益額（上司修正済後の金額）</t>
    <rPh sb="0" eb="2">
      <t>ジッコウ</t>
    </rPh>
    <rPh sb="2" eb="4">
      <t>ヨサン</t>
    </rPh>
    <rPh sb="4" eb="5">
      <t>ジ</t>
    </rPh>
    <rPh sb="5" eb="7">
      <t>リエキ</t>
    </rPh>
    <rPh sb="7" eb="8">
      <t>ガク</t>
    </rPh>
    <phoneticPr fontId="4"/>
  </si>
  <si>
    <t>最終請負金額</t>
    <phoneticPr fontId="4"/>
  </si>
  <si>
    <t>実行予算時利益率</t>
    <rPh sb="0" eb="2">
      <t>ジッコウ</t>
    </rPh>
    <rPh sb="2" eb="4">
      <t>ヨサン</t>
    </rPh>
    <rPh sb="4" eb="5">
      <t>ジ</t>
    </rPh>
    <rPh sb="5" eb="7">
      <t>リエキ</t>
    </rPh>
    <rPh sb="7" eb="8">
      <t>リツ</t>
    </rPh>
    <phoneticPr fontId="4"/>
  </si>
  <si>
    <t>取極め後利益額</t>
    <rPh sb="0" eb="2">
      <t>トリキ</t>
    </rPh>
    <rPh sb="3" eb="4">
      <t>ゴ</t>
    </rPh>
    <rPh sb="4" eb="6">
      <t>リエキ</t>
    </rPh>
    <rPh sb="6" eb="7">
      <t>ガク</t>
    </rPh>
    <phoneticPr fontId="4"/>
  </si>
  <si>
    <t>取極業者名　　　　　　　　　　　　　　</t>
    <rPh sb="0" eb="2">
      <t>トリキ</t>
    </rPh>
    <rPh sb="2" eb="4">
      <t>ギョウシャ</t>
    </rPh>
    <rPh sb="4" eb="5">
      <t>メイ</t>
    </rPh>
    <phoneticPr fontId="4"/>
  </si>
  <si>
    <t>支払合計</t>
    <rPh sb="0" eb="2">
      <t>シハラ</t>
    </rPh>
    <rPh sb="2" eb="4">
      <t>ゴウケイ</t>
    </rPh>
    <phoneticPr fontId="4"/>
  </si>
  <si>
    <t>支払残金</t>
    <rPh sb="0" eb="2">
      <t>シハライ</t>
    </rPh>
    <rPh sb="2" eb="4">
      <t>ザンキン</t>
    </rPh>
    <phoneticPr fontId="4"/>
  </si>
  <si>
    <t>予算増減金額　     　　　　（実行予算-取極め金額）</t>
    <rPh sb="0" eb="2">
      <t>ヨサン</t>
    </rPh>
    <rPh sb="2" eb="4">
      <t>ゾウゲン</t>
    </rPh>
    <rPh sb="4" eb="5">
      <t>キン</t>
    </rPh>
    <rPh sb="5" eb="6">
      <t>ガク</t>
    </rPh>
    <rPh sb="17" eb="19">
      <t>ジッコウ</t>
    </rPh>
    <rPh sb="19" eb="21">
      <t>ヨサン</t>
    </rPh>
    <rPh sb="22" eb="24">
      <t>トリキ</t>
    </rPh>
    <rPh sb="25" eb="27">
      <t>キンガク</t>
    </rPh>
    <phoneticPr fontId="4"/>
  </si>
  <si>
    <t>人工</t>
    <rPh sb="0" eb="2">
      <t>ニンク</t>
    </rPh>
    <phoneticPr fontId="4"/>
  </si>
  <si>
    <t>1人工
単価</t>
    <rPh sb="1" eb="3">
      <t>ニンク</t>
    </rPh>
    <rPh sb="4" eb="6">
      <t>タンカ</t>
    </rPh>
    <phoneticPr fontId="4"/>
  </si>
  <si>
    <t>本工事利益増減金額合計</t>
    <rPh sb="0" eb="3">
      <t>ホンコウジ</t>
    </rPh>
    <rPh sb="3" eb="5">
      <t>リエキ</t>
    </rPh>
    <rPh sb="5" eb="7">
      <t>ゾウゲン</t>
    </rPh>
    <rPh sb="7" eb="9">
      <t>キンガク</t>
    </rPh>
    <rPh sb="9" eb="11">
      <t>ゴウケイ</t>
    </rPh>
    <phoneticPr fontId="4"/>
  </si>
  <si>
    <t>【追加工事】</t>
    <rPh sb="1" eb="3">
      <t>ツイカ</t>
    </rPh>
    <rPh sb="3" eb="5">
      <t>コウジ</t>
    </rPh>
    <phoneticPr fontId="4"/>
  </si>
  <si>
    <t>実行予算額</t>
    <phoneticPr fontId="4"/>
  </si>
  <si>
    <t>取極・見込額　</t>
    <phoneticPr fontId="4"/>
  </si>
  <si>
    <t>B.実行予算外工事合計</t>
    <rPh sb="2" eb="4">
      <t>ジッコウ</t>
    </rPh>
    <rPh sb="4" eb="6">
      <t>ヨサン</t>
    </rPh>
    <rPh sb="6" eb="7">
      <t>ガイ</t>
    </rPh>
    <rPh sb="7" eb="9">
      <t>コウジ</t>
    </rPh>
    <rPh sb="9" eb="11">
      <t>ゴウケイ</t>
    </rPh>
    <phoneticPr fontId="4"/>
  </si>
  <si>
    <t>最終利益増減金額計（A+B）</t>
    <rPh sb="0" eb="2">
      <t>サイシュウ</t>
    </rPh>
    <rPh sb="2" eb="4">
      <t>リエキ</t>
    </rPh>
    <rPh sb="4" eb="6">
      <t>ゾウゲン</t>
    </rPh>
    <rPh sb="6" eb="8">
      <t>キンガク</t>
    </rPh>
    <rPh sb="8" eb="9">
      <t>ケイ</t>
    </rPh>
    <phoneticPr fontId="4"/>
  </si>
  <si>
    <t>合計</t>
    <rPh sb="0" eb="2">
      <t>ゴウケイ</t>
    </rPh>
    <phoneticPr fontId="4"/>
  </si>
  <si>
    <t>元積額</t>
    <rPh sb="0" eb="2">
      <t>モトヅ</t>
    </rPh>
    <rPh sb="2" eb="3">
      <t>ガク</t>
    </rPh>
    <phoneticPr fontId="4"/>
  </si>
  <si>
    <t>精算書（支払台帳）書式サンプル</t>
    <rPh sb="0" eb="2">
      <t>セイサン</t>
    </rPh>
    <rPh sb="9" eb="11">
      <t>ショシキ</t>
    </rPh>
    <phoneticPr fontId="4"/>
  </si>
  <si>
    <t>請負金額</t>
    <phoneticPr fontId="4"/>
  </si>
  <si>
    <t>工事コード</t>
    <rPh sb="0" eb="2">
      <t>コウジ</t>
    </rPh>
    <phoneticPr fontId="4"/>
  </si>
  <si>
    <t>追加変更金額</t>
    <phoneticPr fontId="4"/>
  </si>
  <si>
    <t>工種コード</t>
    <rPh sb="0" eb="2">
      <t>コウシュ</t>
    </rPh>
    <phoneticPr fontId="4"/>
  </si>
  <si>
    <t>注文書番号</t>
    <rPh sb="0" eb="3">
      <t>チュウモンショ</t>
    </rPh>
    <rPh sb="3" eb="5">
      <t>バンゴウ</t>
    </rPh>
    <phoneticPr fontId="4"/>
  </si>
  <si>
    <t>実行予算額</t>
    <rPh sb="0" eb="2">
      <t>ジッコウ</t>
    </rPh>
    <rPh sb="2" eb="4">
      <t>ヨサン</t>
    </rPh>
    <rPh sb="4" eb="5">
      <t>ガク</t>
    </rPh>
    <phoneticPr fontId="4"/>
  </si>
  <si>
    <r>
      <t>取極・見込額　</t>
    </r>
    <r>
      <rPr>
        <sz val="10"/>
        <color indexed="10"/>
        <rFont val="メイリオ"/>
        <family val="3"/>
        <charset val="128"/>
      </rPr>
      <t>　　　　</t>
    </r>
    <rPh sb="0" eb="2">
      <t>トリキ</t>
    </rPh>
    <rPh sb="3" eb="5">
      <t>ミコミ</t>
    </rPh>
    <rPh sb="5" eb="6">
      <t>ガク</t>
    </rPh>
    <phoneticPr fontId="4"/>
  </si>
  <si>
    <t>元積額</t>
    <rPh sb="0" eb="2">
      <t>モトヅ</t>
    </rPh>
    <phoneticPr fontId="4"/>
  </si>
  <si>
    <t>「精算書（支払台帳）ボタンをクリックして、読み込むCSVファイルを選択してください」</t>
  </si>
  <si>
    <t>経費合計</t>
    <rPh sb="0" eb="2">
      <t>ケイヒ</t>
    </rPh>
    <rPh sb="2" eb="4">
      <t>ゴウケイ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</si>
</sst>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6" formatCode="&quot;¥&quot;#,##0;[Red]&quot;¥&quot;\-#,##0"/>
    <numFmt numFmtId="176" formatCode="&quot;¥&quot;#,##0_);[Red]\(&quot;¥&quot;#,##0\)"/>
    <numFmt numFmtId="177" formatCode="0.0%"/>
    <numFmt numFmtId="178" formatCode="0_);[Red]\(0\)"/>
    <numFmt numFmtId="179" formatCode="&quot;¥&quot;#,##0;&quot;¥&quot;&quot;▲&quot;#,##0"/>
    <numFmt numFmtId="180" formatCode="&quot;¥&quot;#,##0_);\(&quot;¥&quot;#,##0\)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name val="メイリオ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11"/>
      <name val="ＭＳ Ｐ明朝"/>
      <family val="1"/>
      <charset val="128"/>
    </font>
    <font>
      <b/>
      <sz val="11"/>
      <name val="メイリオ"/>
      <family val="3"/>
      <charset val="128"/>
    </font>
    <font>
      <sz val="12"/>
      <name val="メイリオ"/>
      <family val="3"/>
      <charset val="128"/>
    </font>
    <font>
      <b/>
      <sz val="12"/>
      <name val="メイリオ"/>
      <family val="3"/>
      <charset val="128"/>
    </font>
    <font>
      <sz val="8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1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indexed="63"/>
      <name val="メイリオ"/>
      <family val="3"/>
      <charset val="128"/>
    </font>
    <font>
      <sz val="11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color theme="4" tint="-0.499984740745262"/>
      <name val="メイリオ"/>
      <family val="3"/>
      <charset val="128"/>
    </font>
    <font>
      <b/>
      <sz val="14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 diagonalUp="1">
      <left/>
      <right style="thin">
        <color indexed="64"/>
      </right>
      <top/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 diagonalUp="1">
      <left style="thin">
        <color indexed="64"/>
      </left>
      <right/>
      <top style="double">
        <color indexed="64"/>
      </top>
      <bottom style="double">
        <color indexed="64"/>
      </bottom>
      <diagonal style="thin">
        <color indexed="64"/>
      </diagonal>
    </border>
    <border diagonalUp="1">
      <left/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double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/>
      <right style="medium">
        <color theme="1"/>
      </right>
      <top style="thin">
        <color indexed="64"/>
      </top>
      <bottom style="hair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 diagonalUp="1"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 style="medium">
        <color theme="1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indexed="64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rgb="FFFF0000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theme="1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theme="1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double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double">
        <color indexed="64"/>
      </bottom>
      <diagonal/>
    </border>
    <border>
      <left style="thin">
        <color indexed="64"/>
      </left>
      <right/>
      <top style="thin">
        <color theme="1"/>
      </top>
      <bottom style="double">
        <color indexed="64"/>
      </bottom>
      <diagonal/>
    </border>
    <border>
      <left/>
      <right style="thin">
        <color indexed="64"/>
      </right>
      <top style="thin">
        <color theme="1"/>
      </top>
      <bottom style="double">
        <color indexed="64"/>
      </bottom>
      <diagonal/>
    </border>
    <border>
      <left/>
      <right/>
      <top style="thin">
        <color theme="1"/>
      </top>
      <bottom style="double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257">
    <xf numFmtId="0" fontId="0" fillId="0" borderId="0" xfId="0"/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5" fontId="5" fillId="0" borderId="0" xfId="0" applyNumberFormat="1" applyFont="1" applyAlignment="1">
      <alignment vertical="center" shrinkToFit="1"/>
    </xf>
    <xf numFmtId="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5" fillId="0" borderId="0" xfId="0" applyFont="1" applyAlignment="1" applyProtection="1">
      <alignment horizontal="center" vertical="center" shrinkToFit="1"/>
      <protection locked="0"/>
    </xf>
    <xf numFmtId="176" fontId="5" fillId="0" borderId="0" xfId="0" applyNumberFormat="1" applyFont="1" applyAlignment="1" applyProtection="1">
      <alignment horizontal="center" vertical="center" shrinkToFit="1"/>
      <protection locked="0"/>
    </xf>
    <xf numFmtId="5" fontId="5" fillId="0" borderId="0" xfId="0" applyNumberFormat="1" applyFont="1" applyAlignment="1" applyProtection="1">
      <alignment vertical="center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 shrinkToFit="1"/>
    </xf>
    <xf numFmtId="0" fontId="8" fillId="0" borderId="12" xfId="0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>
      <alignment horizontal="center" vertical="center" shrinkToFit="1"/>
    </xf>
    <xf numFmtId="5" fontId="8" fillId="2" borderId="22" xfId="0" applyNumberFormat="1" applyFont="1" applyFill="1" applyBorder="1" applyAlignment="1">
      <alignment horizontal="center" vertical="center" shrinkToFit="1"/>
    </xf>
    <xf numFmtId="178" fontId="7" fillId="3" borderId="28" xfId="0" applyNumberFormat="1" applyFont="1" applyFill="1" applyBorder="1" applyAlignment="1" applyProtection="1">
      <alignment vertical="center" shrinkToFit="1"/>
      <protection locked="0"/>
    </xf>
    <xf numFmtId="0" fontId="5" fillId="0" borderId="33" xfId="0" applyFont="1" applyBorder="1" applyAlignment="1" applyProtection="1">
      <alignment horizontal="center" vertical="center" shrinkToFit="1"/>
      <protection locked="0"/>
    </xf>
    <xf numFmtId="179" fontId="5" fillId="0" borderId="36" xfId="0" applyNumberFormat="1" applyFont="1" applyBorder="1" applyAlignment="1" applyProtection="1">
      <alignment vertical="center" shrinkToFit="1"/>
      <protection locked="0"/>
    </xf>
    <xf numFmtId="179" fontId="5" fillId="0" borderId="37" xfId="0" applyNumberFormat="1" applyFont="1" applyBorder="1" applyAlignment="1" applyProtection="1">
      <alignment vertical="center" shrinkToFit="1"/>
      <protection locked="0"/>
    </xf>
    <xf numFmtId="0" fontId="6" fillId="0" borderId="39" xfId="0" applyFont="1" applyBorder="1" applyAlignment="1">
      <alignment vertical="center" shrinkToFit="1"/>
    </xf>
    <xf numFmtId="0" fontId="5" fillId="0" borderId="30" xfId="0" applyFont="1" applyBorder="1" applyAlignment="1" applyProtection="1">
      <alignment horizontal="center" vertical="center" shrinkToFit="1"/>
      <protection locked="0"/>
    </xf>
    <xf numFmtId="5" fontId="5" fillId="0" borderId="22" xfId="0" applyNumberFormat="1" applyFont="1" applyBorder="1" applyAlignment="1" applyProtection="1">
      <alignment horizontal="center" vertical="center" shrinkToFit="1"/>
      <protection locked="0"/>
    </xf>
    <xf numFmtId="5" fontId="5" fillId="0" borderId="23" xfId="0" applyNumberFormat="1" applyFont="1" applyBorder="1" applyAlignment="1" applyProtection="1">
      <alignment horizontal="center" vertical="center" shrinkToFit="1"/>
      <protection locked="0"/>
    </xf>
    <xf numFmtId="179" fontId="5" fillId="0" borderId="40" xfId="0" applyNumberFormat="1" applyFont="1" applyBorder="1" applyAlignment="1" applyProtection="1">
      <alignment vertical="center" shrinkToFit="1"/>
      <protection locked="0"/>
    </xf>
    <xf numFmtId="179" fontId="5" fillId="0" borderId="41" xfId="0" applyNumberFormat="1" applyFont="1" applyBorder="1" applyAlignment="1" applyProtection="1">
      <alignment vertical="center" shrinkToFit="1"/>
      <protection locked="0"/>
    </xf>
    <xf numFmtId="179" fontId="5" fillId="2" borderId="30" xfId="0" applyNumberFormat="1" applyFont="1" applyFill="1" applyBorder="1" applyAlignment="1" applyProtection="1">
      <alignment vertical="center" shrinkToFit="1"/>
      <protection locked="0"/>
    </xf>
    <xf numFmtId="179" fontId="5" fillId="2" borderId="31" xfId="0" applyNumberFormat="1" applyFont="1" applyFill="1" applyBorder="1" applyAlignment="1" applyProtection="1">
      <alignment vertical="center" shrinkToFit="1"/>
      <protection locked="0"/>
    </xf>
    <xf numFmtId="6" fontId="15" fillId="2" borderId="40" xfId="0" applyNumberFormat="1" applyFont="1" applyFill="1" applyBorder="1" applyAlignment="1">
      <alignment horizontal="center" vertical="center" shrinkToFit="1"/>
    </xf>
    <xf numFmtId="0" fontId="17" fillId="2" borderId="22" xfId="0" applyFont="1" applyFill="1" applyBorder="1" applyAlignment="1">
      <alignment horizontal="center" vertical="center" shrinkToFit="1"/>
    </xf>
    <xf numFmtId="0" fontId="17" fillId="2" borderId="23" xfId="0" applyFont="1" applyFill="1" applyBorder="1" applyAlignment="1">
      <alignment horizontal="center" vertical="center" shrinkToFit="1"/>
    </xf>
    <xf numFmtId="179" fontId="14" fillId="2" borderId="22" xfId="0" applyNumberFormat="1" applyFont="1" applyFill="1" applyBorder="1" applyAlignment="1">
      <alignment horizontal="center" vertical="center" shrinkToFit="1"/>
    </xf>
    <xf numFmtId="179" fontId="14" fillId="0" borderId="41" xfId="0" applyNumberFormat="1" applyFont="1" applyBorder="1" applyAlignment="1">
      <alignment vertical="center" shrinkToFit="1"/>
    </xf>
    <xf numFmtId="178" fontId="14" fillId="2" borderId="30" xfId="0" applyNumberFormat="1" applyFont="1" applyFill="1" applyBorder="1" applyAlignment="1">
      <alignment horizontal="center" vertical="center" shrinkToFit="1"/>
    </xf>
    <xf numFmtId="0" fontId="10" fillId="0" borderId="45" xfId="0" applyFont="1" applyBorder="1" applyAlignment="1" applyProtection="1">
      <alignment horizontal="center" vertical="center" shrinkToFit="1"/>
      <protection locked="0"/>
    </xf>
    <xf numFmtId="179" fontId="5" fillId="0" borderId="45" xfId="0" applyNumberFormat="1" applyFont="1" applyBorder="1" applyAlignment="1" applyProtection="1">
      <alignment vertical="center" shrinkToFit="1"/>
      <protection locked="0"/>
    </xf>
    <xf numFmtId="179" fontId="18" fillId="0" borderId="45" xfId="0" applyNumberFormat="1" applyFont="1" applyBorder="1" applyAlignment="1" applyProtection="1">
      <alignment vertical="center" shrinkToFit="1"/>
      <protection locked="0"/>
    </xf>
    <xf numFmtId="6" fontId="15" fillId="0" borderId="45" xfId="0" applyNumberFormat="1" applyFont="1" applyBorder="1" applyAlignment="1" applyProtection="1">
      <alignment vertical="center" shrinkToFit="1"/>
      <protection locked="0"/>
    </xf>
    <xf numFmtId="6" fontId="15" fillId="0" borderId="45" xfId="0" applyNumberFormat="1" applyFont="1" applyBorder="1" applyAlignment="1" applyProtection="1">
      <alignment horizontal="center" vertical="center" shrinkToFit="1"/>
      <protection locked="0"/>
    </xf>
    <xf numFmtId="178" fontId="15" fillId="0" borderId="45" xfId="0" applyNumberFormat="1" applyFont="1" applyBorder="1" applyAlignment="1" applyProtection="1">
      <alignment horizontal="center" vertical="center" shrinkToFit="1"/>
      <protection locked="0"/>
    </xf>
    <xf numFmtId="179" fontId="5" fillId="0" borderId="48" xfId="0" applyNumberFormat="1" applyFont="1" applyBorder="1" applyAlignment="1" applyProtection="1">
      <alignment vertical="center" shrinkToFit="1"/>
      <protection locked="0"/>
    </xf>
    <xf numFmtId="179" fontId="5" fillId="2" borderId="45" xfId="0" applyNumberFormat="1" applyFont="1" applyFill="1" applyBorder="1" applyAlignment="1" applyProtection="1">
      <alignment vertical="center" shrinkToFit="1"/>
      <protection locked="0"/>
    </xf>
    <xf numFmtId="6" fontId="15" fillId="2" borderId="45" xfId="0" applyNumberFormat="1" applyFont="1" applyFill="1" applyBorder="1" applyAlignment="1" applyProtection="1">
      <alignment vertical="center" shrinkToFit="1"/>
      <protection locked="0"/>
    </xf>
    <xf numFmtId="0" fontId="5" fillId="0" borderId="24" xfId="0" applyFont="1" applyBorder="1" applyAlignment="1" applyProtection="1">
      <alignment horizontal="center" vertical="center" shrinkToFit="1"/>
      <protection locked="0"/>
    </xf>
    <xf numFmtId="179" fontId="5" fillId="2" borderId="21" xfId="0" applyNumberFormat="1" applyFont="1" applyFill="1" applyBorder="1" applyAlignment="1">
      <alignment horizontal="center" vertical="center" shrinkToFit="1"/>
    </xf>
    <xf numFmtId="179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horizontal="center" vertical="center" shrinkToFit="1"/>
    </xf>
    <xf numFmtId="178" fontId="5" fillId="2" borderId="21" xfId="0" applyNumberFormat="1" applyFont="1" applyFill="1" applyBorder="1" applyAlignment="1">
      <alignment horizontal="center" vertical="center" shrinkToFit="1"/>
    </xf>
    <xf numFmtId="6" fontId="19" fillId="2" borderId="50" xfId="0" applyNumberFormat="1" applyFont="1" applyFill="1" applyBorder="1" applyAlignment="1">
      <alignment horizontal="center" vertical="center" shrinkToFit="1"/>
    </xf>
    <xf numFmtId="0" fontId="6" fillId="0" borderId="0" xfId="0" applyFont="1" applyAlignment="1" applyProtection="1">
      <alignment horizontal="center" vertical="center" shrinkToFit="1"/>
      <protection locked="0"/>
    </xf>
    <xf numFmtId="176" fontId="6" fillId="0" borderId="0" xfId="0" applyNumberFormat="1" applyFont="1" applyAlignment="1" applyProtection="1">
      <alignment horizontal="center" vertical="center" shrinkToFit="1"/>
      <protection locked="0"/>
    </xf>
    <xf numFmtId="5" fontId="6" fillId="0" borderId="0" xfId="0" applyNumberFormat="1" applyFont="1" applyAlignment="1" applyProtection="1">
      <alignment vertical="center" shrinkToFit="1"/>
      <protection locked="0"/>
    </xf>
    <xf numFmtId="6" fontId="6" fillId="0" borderId="0" xfId="0" applyNumberFormat="1" applyFont="1" applyAlignment="1" applyProtection="1">
      <alignment vertical="center" shrinkToFit="1"/>
      <protection locked="0"/>
    </xf>
    <xf numFmtId="176" fontId="6" fillId="0" borderId="0" xfId="0" applyNumberFormat="1" applyFont="1" applyAlignment="1">
      <alignment horizontal="center" vertical="center" shrinkToFit="1"/>
    </xf>
    <xf numFmtId="5" fontId="6" fillId="0" borderId="0" xfId="0" applyNumberFormat="1" applyFont="1" applyAlignment="1">
      <alignment vertical="center" shrinkToFit="1"/>
    </xf>
    <xf numFmtId="6" fontId="6" fillId="0" borderId="0" xfId="0" applyNumberFormat="1" applyFont="1" applyAlignment="1">
      <alignment vertical="center" shrinkToFit="1"/>
    </xf>
    <xf numFmtId="0" fontId="20" fillId="0" borderId="0" xfId="0" applyFont="1"/>
    <xf numFmtId="178" fontId="5" fillId="0" borderId="37" xfId="0" applyNumberFormat="1" applyFont="1" applyBorder="1" applyAlignment="1">
      <alignment horizontal="center" vertical="center" shrinkToFit="1"/>
    </xf>
    <xf numFmtId="178" fontId="5" fillId="0" borderId="21" xfId="0" applyNumberFormat="1" applyFont="1" applyBorder="1" applyAlignment="1">
      <alignment horizontal="center" vertical="center" shrinkToFit="1"/>
    </xf>
    <xf numFmtId="0" fontId="5" fillId="0" borderId="52" xfId="0" applyFont="1" applyBorder="1" applyAlignment="1" applyProtection="1">
      <alignment horizontal="center" vertical="center" shrinkToFit="1"/>
      <protection locked="0"/>
    </xf>
    <xf numFmtId="6" fontId="15" fillId="2" borderId="55" xfId="0" applyNumberFormat="1" applyFont="1" applyFill="1" applyBorder="1" applyAlignment="1">
      <alignment vertical="center" shrinkToFit="1"/>
    </xf>
    <xf numFmtId="6" fontId="15" fillId="2" borderId="53" xfId="0" applyNumberFormat="1" applyFont="1" applyFill="1" applyBorder="1" applyAlignment="1">
      <alignment horizontal="center" vertical="center" shrinkToFit="1"/>
    </xf>
    <xf numFmtId="38" fontId="5" fillId="2" borderId="54" xfId="1" applyFont="1" applyFill="1" applyBorder="1" applyAlignment="1">
      <alignment vertical="center" shrinkToFit="1"/>
    </xf>
    <xf numFmtId="179" fontId="5" fillId="0" borderId="54" xfId="0" applyNumberFormat="1" applyFont="1" applyBorder="1" applyAlignment="1" applyProtection="1">
      <alignment vertical="center" shrinkToFit="1"/>
      <protection locked="0"/>
    </xf>
    <xf numFmtId="0" fontId="5" fillId="0" borderId="57" xfId="0" applyFont="1" applyBorder="1" applyAlignment="1" applyProtection="1">
      <alignment horizontal="center" vertical="center" shrinkToFit="1"/>
      <protection locked="0"/>
    </xf>
    <xf numFmtId="178" fontId="15" fillId="0" borderId="59" xfId="0" applyNumberFormat="1" applyFont="1" applyBorder="1" applyAlignment="1">
      <alignment horizontal="center" vertical="center" shrinkToFit="1"/>
    </xf>
    <xf numFmtId="6" fontId="5" fillId="2" borderId="61" xfId="0" applyNumberFormat="1" applyFont="1" applyFill="1" applyBorder="1" applyAlignment="1">
      <alignment vertical="center" shrinkToFit="1"/>
    </xf>
    <xf numFmtId="0" fontId="14" fillId="0" borderId="62" xfId="0" applyFont="1" applyBorder="1" applyAlignment="1" applyProtection="1">
      <alignment horizontal="center" vertical="center" shrinkToFit="1"/>
      <protection locked="0"/>
    </xf>
    <xf numFmtId="0" fontId="5" fillId="0" borderId="64" xfId="0" applyFont="1" applyBorder="1" applyAlignment="1" applyProtection="1">
      <alignment horizontal="center" vertical="center" shrinkToFit="1"/>
      <protection locked="0"/>
    </xf>
    <xf numFmtId="6" fontId="15" fillId="2" borderId="65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66" xfId="0" applyFont="1" applyBorder="1" applyAlignment="1" applyProtection="1">
      <alignment horizontal="center" vertical="center" shrinkToFit="1"/>
      <protection locked="0"/>
    </xf>
    <xf numFmtId="0" fontId="10" fillId="0" borderId="30" xfId="0" applyFont="1" applyBorder="1" applyAlignment="1" applyProtection="1">
      <alignment horizontal="center" vertical="center" shrinkToFit="1"/>
      <protection locked="0"/>
    </xf>
    <xf numFmtId="6" fontId="15" fillId="2" borderId="30" xfId="0" applyNumberFormat="1" applyFont="1" applyFill="1" applyBorder="1" applyAlignment="1">
      <alignment horizontal="center" vertical="center" shrinkToFit="1"/>
    </xf>
    <xf numFmtId="178" fontId="15" fillId="2" borderId="30" xfId="0" applyNumberFormat="1" applyFont="1" applyFill="1" applyBorder="1" applyAlignment="1">
      <alignment horizontal="center" vertical="center" shrinkToFit="1"/>
    </xf>
    <xf numFmtId="6" fontId="15" fillId="2" borderId="63" xfId="0" applyNumberFormat="1" applyFont="1" applyFill="1" applyBorder="1" applyAlignment="1">
      <alignment horizontal="center" vertical="center" shrinkToFit="1"/>
    </xf>
    <xf numFmtId="0" fontId="5" fillId="0" borderId="67" xfId="0" applyFont="1" applyBorder="1" applyAlignment="1" applyProtection="1">
      <alignment horizontal="center" vertical="center" shrinkToFit="1"/>
      <protection locked="0"/>
    </xf>
    <xf numFmtId="5" fontId="14" fillId="0" borderId="68" xfId="0" applyNumberFormat="1" applyFont="1" applyBorder="1" applyAlignment="1" applyProtection="1">
      <alignment horizontal="center" vertical="center" shrinkToFit="1"/>
      <protection locked="0"/>
    </xf>
    <xf numFmtId="5" fontId="14" fillId="0" borderId="69" xfId="0" applyNumberFormat="1" applyFont="1" applyBorder="1" applyAlignment="1" applyProtection="1">
      <alignment horizontal="center" vertical="center" shrinkToFit="1"/>
      <protection locked="0"/>
    </xf>
    <xf numFmtId="179" fontId="14" fillId="0" borderId="68" xfId="0" applyNumberFormat="1" applyFont="1" applyBorder="1" applyAlignment="1" applyProtection="1">
      <alignment horizontal="center" vertical="center" shrinkToFit="1"/>
      <protection locked="0"/>
    </xf>
    <xf numFmtId="179" fontId="16" fillId="0" borderId="68" xfId="0" applyNumberFormat="1" applyFont="1" applyBorder="1" applyAlignment="1" applyProtection="1">
      <alignment vertical="center" shrinkToFit="1"/>
      <protection locked="0"/>
    </xf>
    <xf numFmtId="6" fontId="16" fillId="0" borderId="68" xfId="0" applyNumberFormat="1" applyFont="1" applyBorder="1" applyAlignment="1">
      <alignment vertical="center" shrinkToFit="1"/>
    </xf>
    <xf numFmtId="6" fontId="16" fillId="0" borderId="68" xfId="0" applyNumberFormat="1" applyFont="1" applyBorder="1" applyAlignment="1">
      <alignment horizontal="center" vertical="center" shrinkToFit="1"/>
    </xf>
    <xf numFmtId="6" fontId="16" fillId="0" borderId="71" xfId="0" applyNumberFormat="1" applyFont="1" applyBorder="1" applyAlignment="1">
      <alignment horizontal="center" vertical="center" shrinkToFit="1"/>
    </xf>
    <xf numFmtId="0" fontId="5" fillId="0" borderId="72" xfId="0" applyFont="1" applyBorder="1" applyAlignment="1" applyProtection="1">
      <alignment horizontal="center" vertical="center" wrapText="1" shrinkToFit="1"/>
      <protection locked="0"/>
    </xf>
    <xf numFmtId="0" fontId="5" fillId="0" borderId="73" xfId="0" applyFont="1" applyBorder="1" applyAlignment="1" applyProtection="1">
      <alignment horizontal="center" vertical="center" shrinkToFit="1"/>
      <protection locked="0"/>
    </xf>
    <xf numFmtId="0" fontId="5" fillId="0" borderId="37" xfId="0" applyFont="1" applyBorder="1" applyAlignment="1" applyProtection="1">
      <alignment horizontal="center" vertical="center" shrinkToFit="1"/>
      <protection locked="0"/>
    </xf>
    <xf numFmtId="0" fontId="5" fillId="0" borderId="55" xfId="0" applyFont="1" applyBorder="1" applyAlignment="1" applyProtection="1">
      <alignment horizontal="center" vertical="center" shrinkToFit="1"/>
      <protection locked="0"/>
    </xf>
    <xf numFmtId="179" fontId="5" fillId="0" borderId="25" xfId="0" applyNumberFormat="1" applyFont="1" applyBorder="1" applyAlignment="1" applyProtection="1">
      <alignment vertical="center" shrinkToFit="1"/>
      <protection locked="0"/>
    </xf>
    <xf numFmtId="179" fontId="5" fillId="0" borderId="21" xfId="0" applyNumberFormat="1" applyFont="1" applyBorder="1" applyAlignment="1" applyProtection="1">
      <alignment vertical="center" shrinkToFit="1"/>
      <protection locked="0"/>
    </xf>
    <xf numFmtId="179" fontId="5" fillId="0" borderId="77" xfId="0" applyNumberFormat="1" applyFont="1" applyBorder="1" applyAlignment="1" applyProtection="1">
      <alignment vertical="center" shrinkToFit="1"/>
      <protection locked="0"/>
    </xf>
    <xf numFmtId="0" fontId="5" fillId="0" borderId="21" xfId="0" applyFont="1" applyBorder="1" applyAlignment="1">
      <alignment horizontal="center" vertical="center" shrinkToFit="1"/>
    </xf>
    <xf numFmtId="0" fontId="5" fillId="0" borderId="78" xfId="0" applyFont="1" applyBorder="1" applyAlignment="1" applyProtection="1">
      <alignment horizontal="center" vertical="center" shrinkToFit="1"/>
      <protection locked="0"/>
    </xf>
    <xf numFmtId="0" fontId="10" fillId="0" borderId="79" xfId="0" applyFont="1" applyBorder="1" applyAlignment="1" applyProtection="1">
      <alignment horizontal="center" vertical="center" shrinkToFit="1"/>
      <protection locked="0"/>
    </xf>
    <xf numFmtId="179" fontId="5" fillId="0" borderId="79" xfId="0" applyNumberFormat="1" applyFont="1" applyBorder="1" applyAlignment="1" applyProtection="1">
      <alignment vertical="center" shrinkToFit="1"/>
      <protection locked="0"/>
    </xf>
    <xf numFmtId="179" fontId="18" fillId="0" borderId="79" xfId="0" applyNumberFormat="1" applyFont="1" applyBorder="1" applyAlignment="1" applyProtection="1">
      <alignment vertical="center" shrinkToFit="1"/>
      <protection locked="0"/>
    </xf>
    <xf numFmtId="6" fontId="15" fillId="0" borderId="79" xfId="0" applyNumberFormat="1" applyFont="1" applyBorder="1" applyAlignment="1" applyProtection="1">
      <alignment vertical="center" shrinkToFit="1"/>
      <protection locked="0"/>
    </xf>
    <xf numFmtId="6" fontId="15" fillId="0" borderId="79" xfId="0" applyNumberFormat="1" applyFont="1" applyBorder="1" applyAlignment="1" applyProtection="1">
      <alignment horizontal="center" vertical="center" shrinkToFit="1"/>
      <protection locked="0"/>
    </xf>
    <xf numFmtId="178" fontId="15" fillId="0" borderId="79" xfId="0" applyNumberFormat="1" applyFont="1" applyBorder="1" applyAlignment="1" applyProtection="1">
      <alignment horizontal="center" vertical="center" shrinkToFit="1"/>
      <protection locked="0"/>
    </xf>
    <xf numFmtId="6" fontId="15" fillId="0" borderId="56" xfId="0" applyNumberFormat="1" applyFont="1" applyBorder="1" applyAlignment="1" applyProtection="1">
      <alignment horizontal="center" vertical="center" shrinkToFit="1"/>
      <protection locked="0"/>
    </xf>
    <xf numFmtId="0" fontId="5" fillId="0" borderId="77" xfId="0" applyFont="1" applyBorder="1" applyAlignment="1" applyProtection="1">
      <alignment horizontal="center" vertical="center" shrinkToFit="1"/>
      <protection locked="0"/>
    </xf>
    <xf numFmtId="0" fontId="10" fillId="0" borderId="77" xfId="0" applyFont="1" applyBorder="1" applyAlignment="1" applyProtection="1">
      <alignment horizontal="center" vertical="center" shrinkToFit="1"/>
      <protection locked="0"/>
    </xf>
    <xf numFmtId="179" fontId="18" fillId="0" borderId="77" xfId="0" applyNumberFormat="1" applyFont="1" applyBorder="1" applyAlignment="1" applyProtection="1">
      <alignment vertical="center" shrinkToFit="1"/>
      <protection locked="0"/>
    </xf>
    <xf numFmtId="6" fontId="15" fillId="0" borderId="77" xfId="0" applyNumberFormat="1" applyFont="1" applyBorder="1" applyAlignment="1" applyProtection="1">
      <alignment vertical="center" shrinkToFit="1"/>
      <protection locked="0"/>
    </xf>
    <xf numFmtId="6" fontId="15" fillId="0" borderId="77" xfId="0" applyNumberFormat="1" applyFont="1" applyBorder="1" applyAlignment="1" applyProtection="1">
      <alignment horizontal="center" vertical="center" shrinkToFit="1"/>
      <protection locked="0"/>
    </xf>
    <xf numFmtId="178" fontId="15" fillId="0" borderId="77" xfId="0" applyNumberFormat="1" applyFont="1" applyBorder="1" applyAlignment="1" applyProtection="1">
      <alignment horizontal="center" vertical="center" shrinkToFit="1"/>
      <protection locked="0"/>
    </xf>
    <xf numFmtId="49" fontId="5" fillId="0" borderId="34" xfId="0" applyNumberFormat="1" applyFont="1" applyBorder="1" applyAlignment="1" applyProtection="1">
      <alignment horizontal="center" vertical="center" shrinkToFit="1"/>
      <protection locked="0"/>
    </xf>
    <xf numFmtId="49" fontId="5" fillId="0" borderId="53" xfId="0" applyNumberFormat="1" applyFont="1" applyBorder="1" applyAlignment="1" applyProtection="1">
      <alignment horizontal="center" vertical="center" shrinkToFit="1"/>
      <protection locked="0"/>
    </xf>
    <xf numFmtId="49" fontId="5" fillId="0" borderId="38" xfId="0" applyNumberFormat="1" applyFont="1" applyBorder="1" applyAlignment="1" applyProtection="1">
      <alignment horizontal="center" vertical="center" shrinkToFit="1"/>
      <protection locked="0"/>
    </xf>
    <xf numFmtId="6" fontId="14" fillId="2" borderId="81" xfId="0" applyNumberFormat="1" applyFont="1" applyFill="1" applyBorder="1" applyAlignment="1">
      <alignment horizontal="center" vertical="center" shrinkToFit="1"/>
    </xf>
    <xf numFmtId="6" fontId="5" fillId="2" borderId="80" xfId="0" applyNumberFormat="1" applyFont="1" applyFill="1" applyBorder="1" applyAlignment="1">
      <alignment vertical="center" shrinkToFit="1"/>
    </xf>
    <xf numFmtId="6" fontId="15" fillId="2" borderId="26" xfId="0" applyNumberFormat="1" applyFont="1" applyFill="1" applyBorder="1" applyAlignment="1">
      <alignment vertical="center" shrinkToFit="1"/>
    </xf>
    <xf numFmtId="6" fontId="15" fillId="2" borderId="27" xfId="0" applyNumberFormat="1" applyFont="1" applyFill="1" applyBorder="1" applyAlignment="1">
      <alignment horizontal="center" vertical="center" shrinkToFit="1"/>
    </xf>
    <xf numFmtId="178" fontId="7" fillId="3" borderId="82" xfId="0" applyNumberFormat="1" applyFont="1" applyFill="1" applyBorder="1" applyAlignment="1" applyProtection="1">
      <alignment vertical="center" shrinkToFit="1"/>
      <protection locked="0"/>
    </xf>
    <xf numFmtId="179" fontId="5" fillId="2" borderId="8" xfId="0" applyNumberFormat="1" applyFont="1" applyFill="1" applyBorder="1" applyAlignment="1" applyProtection="1">
      <alignment vertical="center" shrinkToFit="1"/>
      <protection locked="0"/>
    </xf>
    <xf numFmtId="179" fontId="5" fillId="0" borderId="35" xfId="0" applyNumberFormat="1" applyFont="1" applyBorder="1" applyAlignment="1" applyProtection="1">
      <alignment vertical="center" shrinkToFit="1"/>
      <protection locked="0"/>
    </xf>
    <xf numFmtId="6" fontId="15" fillId="2" borderId="60" xfId="0" applyNumberFormat="1" applyFont="1" applyFill="1" applyBorder="1" applyAlignment="1">
      <alignment vertical="center" shrinkToFit="1"/>
    </xf>
    <xf numFmtId="6" fontId="15" fillId="2" borderId="34" xfId="0" applyNumberFormat="1" applyFont="1" applyFill="1" applyBorder="1" applyAlignment="1">
      <alignment horizontal="center" vertical="center" shrinkToFit="1"/>
    </xf>
    <xf numFmtId="178" fontId="15" fillId="0" borderId="83" xfId="0" applyNumberFormat="1" applyFont="1" applyBorder="1" applyAlignment="1">
      <alignment horizontal="center" vertical="center" shrinkToFit="1"/>
    </xf>
    <xf numFmtId="38" fontId="5" fillId="2" borderId="35" xfId="1" applyFont="1" applyFill="1" applyBorder="1" applyAlignment="1">
      <alignment vertical="center" shrinkToFit="1"/>
    </xf>
    <xf numFmtId="5" fontId="5" fillId="0" borderId="84" xfId="0" applyNumberFormat="1" applyFont="1" applyBorder="1" applyAlignment="1" applyProtection="1">
      <alignment horizontal="center" vertical="center" shrinkToFit="1"/>
      <protection locked="0"/>
    </xf>
    <xf numFmtId="5" fontId="5" fillId="0" borderId="85" xfId="0" applyNumberFormat="1" applyFont="1" applyBorder="1" applyAlignment="1" applyProtection="1">
      <alignment horizontal="center" vertical="center" shrinkToFit="1"/>
      <protection locked="0"/>
    </xf>
    <xf numFmtId="0" fontId="5" fillId="0" borderId="87" xfId="0" applyFont="1" applyBorder="1" applyAlignment="1" applyProtection="1">
      <alignment horizontal="center" vertical="center" shrinkToFit="1"/>
      <protection locked="0"/>
    </xf>
    <xf numFmtId="0" fontId="5" fillId="0" borderId="88" xfId="0" applyFont="1" applyBorder="1" applyAlignment="1" applyProtection="1">
      <alignment horizontal="center" vertical="center" shrinkToFit="1"/>
      <protection locked="0"/>
    </xf>
    <xf numFmtId="0" fontId="5" fillId="0" borderId="89" xfId="0" applyFont="1" applyBorder="1" applyAlignment="1" applyProtection="1">
      <alignment horizontal="center" vertical="center" shrinkToFit="1"/>
      <protection locked="0"/>
    </xf>
    <xf numFmtId="179" fontId="5" fillId="0" borderId="34" xfId="0" applyNumberFormat="1" applyFont="1" applyBorder="1" applyAlignment="1" applyProtection="1">
      <alignment vertical="center" shrinkToFit="1"/>
      <protection locked="0"/>
    </xf>
    <xf numFmtId="179" fontId="5" fillId="0" borderId="53" xfId="0" applyNumberFormat="1" applyFont="1" applyBorder="1" applyAlignment="1" applyProtection="1">
      <alignment vertical="center" shrinkToFit="1"/>
      <protection locked="0"/>
    </xf>
    <xf numFmtId="179" fontId="5" fillId="2" borderId="89" xfId="0" applyNumberFormat="1" applyFont="1" applyFill="1" applyBorder="1" applyAlignment="1" applyProtection="1">
      <alignment vertical="center" shrinkToFit="1"/>
      <protection locked="0"/>
    </xf>
    <xf numFmtId="179" fontId="5" fillId="2" borderId="55" xfId="0" applyNumberFormat="1" applyFont="1" applyFill="1" applyBorder="1" applyAlignment="1" applyProtection="1">
      <alignment vertical="center" shrinkToFit="1"/>
      <protection locked="0"/>
    </xf>
    <xf numFmtId="178" fontId="15" fillId="2" borderId="90" xfId="0" applyNumberFormat="1" applyFont="1" applyFill="1" applyBorder="1" applyAlignment="1">
      <alignment horizontal="center" vertical="center" shrinkToFit="1"/>
    </xf>
    <xf numFmtId="178" fontId="15" fillId="2" borderId="91" xfId="0" applyNumberFormat="1" applyFont="1" applyFill="1" applyBorder="1" applyAlignment="1">
      <alignment horizontal="center" vertical="center" shrinkToFit="1"/>
    </xf>
    <xf numFmtId="179" fontId="14" fillId="2" borderId="29" xfId="0" applyNumberFormat="1" applyFont="1" applyFill="1" applyBorder="1" applyAlignment="1">
      <alignment vertical="center" shrinkToFit="1"/>
    </xf>
    <xf numFmtId="6" fontId="14" fillId="2" borderId="29" xfId="0" applyNumberFormat="1" applyFont="1" applyFill="1" applyBorder="1" applyAlignment="1">
      <alignment vertical="center" shrinkToFit="1"/>
    </xf>
    <xf numFmtId="6" fontId="14" fillId="2" borderId="29" xfId="0" applyNumberFormat="1" applyFont="1" applyFill="1" applyBorder="1" applyAlignment="1">
      <alignment horizontal="center" vertical="center" shrinkToFit="1"/>
    </xf>
    <xf numFmtId="6" fontId="15" fillId="2" borderId="55" xfId="0" applyNumberFormat="1" applyFont="1" applyFill="1" applyBorder="1" applyAlignment="1">
      <alignment horizontal="center" vertical="center" shrinkToFit="1"/>
    </xf>
    <xf numFmtId="176" fontId="14" fillId="0" borderId="60" xfId="0" applyNumberFormat="1" applyFont="1" applyBorder="1" applyAlignment="1" applyProtection="1">
      <alignment horizontal="center" vertical="center" shrinkToFit="1"/>
      <protection locked="0"/>
    </xf>
    <xf numFmtId="176" fontId="14" fillId="0" borderId="55" xfId="0" applyNumberFormat="1" applyFont="1" applyBorder="1" applyAlignment="1" applyProtection="1">
      <alignment horizontal="center" vertical="center" shrinkToFit="1"/>
      <protection locked="0"/>
    </xf>
    <xf numFmtId="176" fontId="14" fillId="0" borderId="37" xfId="0" applyNumberFormat="1" applyFont="1" applyBorder="1" applyAlignment="1" applyProtection="1">
      <alignment horizontal="center" vertical="center" shrinkToFit="1"/>
      <protection locked="0"/>
    </xf>
    <xf numFmtId="176" fontId="14" fillId="0" borderId="21" xfId="0" applyNumberFormat="1" applyFont="1" applyBorder="1" applyAlignment="1" applyProtection="1">
      <alignment horizontal="center" vertical="center" shrinkToFit="1"/>
      <protection locked="0"/>
    </xf>
    <xf numFmtId="179" fontId="5" fillId="2" borderId="93" xfId="0" applyNumberFormat="1" applyFont="1" applyFill="1" applyBorder="1" applyAlignment="1" applyProtection="1">
      <alignment vertical="center" shrinkToFit="1"/>
      <protection locked="0"/>
    </xf>
    <xf numFmtId="6" fontId="15" fillId="2" borderId="93" xfId="0" applyNumberFormat="1" applyFont="1" applyFill="1" applyBorder="1" applyAlignment="1">
      <alignment vertical="center" shrinkToFit="1"/>
    </xf>
    <xf numFmtId="6" fontId="15" fillId="2" borderId="92" xfId="0" applyNumberFormat="1" applyFont="1" applyFill="1" applyBorder="1" applyAlignment="1">
      <alignment horizontal="center" vertical="center" shrinkToFit="1"/>
    </xf>
    <xf numFmtId="178" fontId="15" fillId="0" borderId="92" xfId="0" applyNumberFormat="1" applyFont="1" applyBorder="1" applyAlignment="1">
      <alignment horizontal="center" vertical="center" shrinkToFit="1"/>
    </xf>
    <xf numFmtId="6" fontId="5" fillId="2" borderId="94" xfId="0" applyNumberFormat="1" applyFont="1" applyFill="1" applyBorder="1" applyAlignment="1">
      <alignment vertical="center" shrinkToFit="1"/>
    </xf>
    <xf numFmtId="179" fontId="5" fillId="2" borderId="31" xfId="0" applyNumberFormat="1" applyFont="1" applyFill="1" applyBorder="1" applyAlignment="1" applyProtection="1">
      <alignment horizontal="center" vertical="center" shrinkToFit="1"/>
      <protection locked="0"/>
    </xf>
    <xf numFmtId="179" fontId="5" fillId="2" borderId="29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97" xfId="0" applyFont="1" applyBorder="1" applyAlignment="1" applyProtection="1">
      <alignment horizontal="center" vertical="center" shrinkToFit="1"/>
      <protection locked="0"/>
    </xf>
    <xf numFmtId="0" fontId="5" fillId="0" borderId="98" xfId="0" applyFont="1" applyBorder="1" applyAlignment="1">
      <alignment horizontal="center" vertical="center" shrinkToFit="1"/>
    </xf>
    <xf numFmtId="0" fontId="5" fillId="0" borderId="99" xfId="0" applyFont="1" applyBorder="1" applyAlignment="1">
      <alignment vertical="center" shrinkToFit="1"/>
    </xf>
    <xf numFmtId="5" fontId="5" fillId="0" borderId="97" xfId="0" applyNumberFormat="1" applyFont="1" applyBorder="1" applyAlignment="1" applyProtection="1">
      <alignment horizontal="center" vertical="center" shrinkToFit="1"/>
      <protection locked="0"/>
    </xf>
    <xf numFmtId="179" fontId="5" fillId="2" borderId="97" xfId="0" applyNumberFormat="1" applyFont="1" applyFill="1" applyBorder="1" applyAlignment="1" applyProtection="1">
      <alignment horizontal="center" vertical="center" shrinkToFit="1"/>
      <protection locked="0"/>
    </xf>
    <xf numFmtId="5" fontId="5" fillId="0" borderId="101" xfId="0" applyNumberFormat="1" applyFont="1" applyBorder="1" applyAlignment="1">
      <alignment horizontal="center" vertical="center" shrinkToFit="1"/>
    </xf>
    <xf numFmtId="5" fontId="5" fillId="0" borderId="102" xfId="0" applyNumberFormat="1" applyFont="1" applyBorder="1" applyAlignment="1">
      <alignment vertical="center" shrinkToFit="1"/>
    </xf>
    <xf numFmtId="5" fontId="5" fillId="0" borderId="103" xfId="0" applyNumberFormat="1" applyFont="1" applyBorder="1" applyAlignment="1">
      <alignment horizontal="center" vertical="center" shrinkToFit="1"/>
    </xf>
    <xf numFmtId="176" fontId="5" fillId="0" borderId="104" xfId="0" applyNumberFormat="1" applyFont="1" applyBorder="1" applyAlignment="1" applyProtection="1">
      <alignment horizontal="center" vertical="center" shrinkToFit="1"/>
      <protection locked="0"/>
    </xf>
    <xf numFmtId="179" fontId="5" fillId="0" borderId="104" xfId="0" applyNumberFormat="1" applyFont="1" applyBorder="1" applyAlignment="1" applyProtection="1">
      <alignment vertical="center" shrinkToFit="1"/>
      <protection locked="0"/>
    </xf>
    <xf numFmtId="5" fontId="5" fillId="0" borderId="75" xfId="0" applyNumberFormat="1" applyFont="1" applyBorder="1" applyAlignment="1">
      <alignment horizontal="center" vertical="center" shrinkToFit="1"/>
    </xf>
    <xf numFmtId="5" fontId="5" fillId="0" borderId="76" xfId="0" applyNumberFormat="1" applyFont="1" applyBorder="1" applyAlignment="1">
      <alignment vertical="center" shrinkToFit="1"/>
    </xf>
    <xf numFmtId="5" fontId="5" fillId="0" borderId="105" xfId="0" applyNumberFormat="1" applyFont="1" applyBorder="1" applyAlignment="1">
      <alignment horizontal="center" vertical="center" shrinkToFit="1"/>
    </xf>
    <xf numFmtId="176" fontId="5" fillId="0" borderId="77" xfId="0" applyNumberFormat="1" applyFont="1" applyBorder="1" applyAlignment="1" applyProtection="1">
      <alignment horizontal="center" vertical="center" shrinkToFit="1"/>
      <protection locked="0"/>
    </xf>
    <xf numFmtId="179" fontId="5" fillId="2" borderId="104" xfId="0" applyNumberFormat="1" applyFont="1" applyFill="1" applyBorder="1" applyAlignment="1" applyProtection="1">
      <alignment vertical="center" shrinkToFit="1"/>
      <protection locked="0"/>
    </xf>
    <xf numFmtId="6" fontId="15" fillId="2" borderId="104" xfId="0" applyNumberFormat="1" applyFont="1" applyFill="1" applyBorder="1" applyAlignment="1">
      <alignment vertical="center" shrinkToFit="1"/>
    </xf>
    <xf numFmtId="6" fontId="15" fillId="2" borderId="101" xfId="0" applyNumberFormat="1" applyFont="1" applyFill="1" applyBorder="1" applyAlignment="1">
      <alignment horizontal="center" vertical="center" shrinkToFit="1"/>
    </xf>
    <xf numFmtId="178" fontId="15" fillId="0" borderId="101" xfId="0" applyNumberFormat="1" applyFont="1" applyBorder="1" applyAlignment="1">
      <alignment horizontal="center" vertical="center" shrinkToFit="1"/>
    </xf>
    <xf numFmtId="6" fontId="5" fillId="2" borderId="106" xfId="0" applyNumberFormat="1" applyFont="1" applyFill="1" applyBorder="1" applyAlignment="1">
      <alignment vertical="center" shrinkToFit="1"/>
    </xf>
    <xf numFmtId="0" fontId="8" fillId="0" borderId="67" xfId="0" applyFont="1" applyBorder="1" applyAlignment="1" applyProtection="1">
      <alignment horizontal="center" vertical="center" shrinkToFit="1"/>
      <protection locked="0"/>
    </xf>
    <xf numFmtId="0" fontId="8" fillId="0" borderId="74" xfId="0" applyFont="1" applyBorder="1" applyAlignment="1" applyProtection="1">
      <alignment horizontal="center" vertical="center" shrinkToFit="1"/>
      <protection locked="0"/>
    </xf>
    <xf numFmtId="176" fontId="5" fillId="0" borderId="75" xfId="0" applyNumberFormat="1" applyFont="1" applyBorder="1" applyAlignment="1" applyProtection="1">
      <alignment horizontal="center" vertical="center" shrinkToFit="1"/>
      <protection locked="0"/>
    </xf>
    <xf numFmtId="176" fontId="5" fillId="0" borderId="76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left" vertical="center" shrinkToFit="1"/>
    </xf>
    <xf numFmtId="180" fontId="14" fillId="2" borderId="31" xfId="0" applyNumberFormat="1" applyFont="1" applyFill="1" applyBorder="1" applyAlignment="1">
      <alignment horizontal="center" vertical="center" shrinkToFit="1"/>
    </xf>
    <xf numFmtId="180" fontId="14" fillId="2" borderId="32" xfId="0" applyNumberFormat="1" applyFont="1" applyFill="1" applyBorder="1" applyAlignment="1">
      <alignment horizontal="center" vertical="center" shrinkToFit="1"/>
    </xf>
    <xf numFmtId="0" fontId="10" fillId="0" borderId="46" xfId="0" applyFont="1" applyBorder="1" applyAlignment="1" applyProtection="1">
      <alignment horizontal="center" vertical="center" shrinkToFit="1"/>
      <protection locked="0"/>
    </xf>
    <xf numFmtId="0" fontId="10" fillId="0" borderId="47" xfId="0" applyFont="1" applyBorder="1" applyAlignment="1" applyProtection="1">
      <alignment horizontal="center" vertical="center" shrinkToFit="1"/>
      <protection locked="0"/>
    </xf>
    <xf numFmtId="176" fontId="5" fillId="0" borderId="101" xfId="0" applyNumberFormat="1" applyFont="1" applyBorder="1" applyAlignment="1" applyProtection="1">
      <alignment horizontal="center" vertical="center" shrinkToFit="1"/>
      <protection locked="0"/>
    </xf>
    <xf numFmtId="176" fontId="5" fillId="0" borderId="102" xfId="0" applyNumberFormat="1" applyFont="1" applyBorder="1" applyAlignment="1" applyProtection="1">
      <alignment horizontal="center"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horizontal="center" vertical="center" shrinkToFit="1"/>
    </xf>
    <xf numFmtId="179" fontId="5" fillId="2" borderId="49" xfId="0" applyNumberFormat="1" applyFont="1" applyFill="1" applyBorder="1" applyAlignment="1">
      <alignment horizontal="center" vertical="center" shrinkToFit="1"/>
    </xf>
    <xf numFmtId="179" fontId="5" fillId="2" borderId="25" xfId="0" applyNumberFormat="1" applyFont="1" applyFill="1" applyBorder="1" applyAlignment="1">
      <alignment horizontal="center" vertical="center" shrinkToFit="1"/>
    </xf>
    <xf numFmtId="5" fontId="5" fillId="2" borderId="100" xfId="0" applyNumberFormat="1" applyFont="1" applyFill="1" applyBorder="1" applyAlignment="1">
      <alignment horizontal="center" vertical="center" shrinkToFit="1"/>
    </xf>
    <xf numFmtId="0" fontId="5" fillId="2" borderId="99" xfId="0" applyFont="1" applyFill="1" applyBorder="1" applyAlignment="1">
      <alignment vertical="center" shrinkToFit="1"/>
    </xf>
    <xf numFmtId="5" fontId="5" fillId="2" borderId="98" xfId="0" applyNumberFormat="1" applyFont="1" applyFill="1" applyBorder="1" applyAlignment="1">
      <alignment horizontal="center" vertical="center" shrinkToFit="1"/>
    </xf>
    <xf numFmtId="176" fontId="5" fillId="0" borderId="38" xfId="0" applyNumberFormat="1" applyFont="1" applyBorder="1" applyAlignment="1" applyProtection="1">
      <alignment horizontal="center" vertical="center" shrinkToFit="1"/>
      <protection locked="0"/>
    </xf>
    <xf numFmtId="176" fontId="5" fillId="0" borderId="36" xfId="0" applyNumberFormat="1" applyFont="1" applyBorder="1" applyAlignment="1" applyProtection="1">
      <alignment horizontal="center" vertical="center" shrinkToFit="1"/>
      <protection locked="0"/>
    </xf>
    <xf numFmtId="176" fontId="5" fillId="0" borderId="53" xfId="0" applyNumberFormat="1" applyFont="1" applyBorder="1" applyAlignment="1" applyProtection="1">
      <alignment horizontal="center" vertical="center" shrinkToFit="1"/>
      <protection locked="0"/>
    </xf>
    <xf numFmtId="176" fontId="5" fillId="0" borderId="54" xfId="0" applyNumberFormat="1" applyFont="1" applyBorder="1" applyAlignment="1" applyProtection="1">
      <alignment horizontal="center" vertical="center" shrinkToFit="1"/>
      <protection locked="0"/>
    </xf>
    <xf numFmtId="0" fontId="10" fillId="0" borderId="75" xfId="0" applyFont="1" applyBorder="1" applyAlignment="1" applyProtection="1">
      <alignment horizontal="center" vertical="center" shrinkToFit="1"/>
      <protection locked="0"/>
    </xf>
    <xf numFmtId="0" fontId="10" fillId="0" borderId="76" xfId="0" applyFont="1" applyBorder="1" applyAlignment="1" applyProtection="1">
      <alignment horizontal="center" vertical="center" shrinkToFit="1"/>
      <protection locked="0"/>
    </xf>
    <xf numFmtId="5" fontId="5" fillId="2" borderId="95" xfId="0" applyNumberFormat="1" applyFont="1" applyFill="1" applyBorder="1" applyAlignment="1">
      <alignment horizontal="center" vertical="center" shrinkToFit="1"/>
    </xf>
    <xf numFmtId="0" fontId="5" fillId="2" borderId="96" xfId="0" applyFont="1" applyFill="1" applyBorder="1" applyAlignment="1">
      <alignment vertical="center" shrinkToFit="1"/>
    </xf>
    <xf numFmtId="0" fontId="5" fillId="0" borderId="42" xfId="0" applyFont="1" applyBorder="1" applyAlignment="1" applyProtection="1">
      <alignment horizontal="center" vertical="center" shrinkToFit="1"/>
      <protection locked="0"/>
    </xf>
    <xf numFmtId="0" fontId="5" fillId="0" borderId="43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center" vertical="center" shrinkToFit="1"/>
      <protection locked="0"/>
    </xf>
    <xf numFmtId="0" fontId="5" fillId="0" borderId="44" xfId="0" applyFont="1" applyBorder="1" applyAlignment="1" applyProtection="1">
      <alignment horizontal="center" vertical="center" shrinkToFit="1"/>
      <protection locked="0"/>
    </xf>
    <xf numFmtId="5" fontId="14" fillId="0" borderId="69" xfId="0" applyNumberFormat="1" applyFont="1" applyBorder="1" applyAlignment="1" applyProtection="1">
      <alignment horizontal="center" vertical="center" shrinkToFit="1"/>
      <protection locked="0"/>
    </xf>
    <xf numFmtId="5" fontId="14" fillId="0" borderId="70" xfId="0" applyNumberFormat="1" applyFont="1" applyBorder="1" applyAlignment="1" applyProtection="1">
      <alignment horizontal="center" vertical="center" shrinkToFit="1"/>
      <protection locked="0"/>
    </xf>
    <xf numFmtId="5" fontId="5" fillId="2" borderId="14" xfId="0" applyNumberFormat="1" applyFont="1" applyFill="1" applyBorder="1" applyAlignment="1" applyProtection="1">
      <alignment horizontal="center" vertical="center" shrinkToFit="1"/>
      <protection locked="0"/>
    </xf>
    <xf numFmtId="5" fontId="5" fillId="2" borderId="32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14" xfId="0" applyNumberFormat="1" applyFont="1" applyFill="1" applyBorder="1" applyAlignment="1">
      <alignment horizontal="center" vertical="center" shrinkToFit="1"/>
    </xf>
    <xf numFmtId="6" fontId="5" fillId="2" borderId="32" xfId="0" applyNumberFormat="1" applyFont="1" applyFill="1" applyBorder="1" applyAlignment="1">
      <alignment horizontal="center" vertical="center" shrinkToFit="1"/>
    </xf>
    <xf numFmtId="0" fontId="13" fillId="2" borderId="23" xfId="0" applyFont="1" applyFill="1" applyBorder="1" applyAlignment="1">
      <alignment horizontal="center" vertical="center" wrapText="1" shrinkToFit="1"/>
    </xf>
    <xf numFmtId="0" fontId="5" fillId="2" borderId="31" xfId="0" applyFont="1" applyFill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wrapText="1" shrinkToFit="1"/>
    </xf>
    <xf numFmtId="0" fontId="5" fillId="0" borderId="29" xfId="0" applyFont="1" applyBorder="1" applyAlignment="1">
      <alignment horizontal="center" vertical="center" wrapText="1" shrinkToFit="1"/>
    </xf>
    <xf numFmtId="0" fontId="10" fillId="0" borderId="26" xfId="0" applyFont="1" applyBorder="1" applyAlignment="1">
      <alignment horizontal="center" vertical="center" wrapText="1" shrinkToFit="1"/>
    </xf>
    <xf numFmtId="0" fontId="10" fillId="0" borderId="30" xfId="0" applyFont="1" applyBorder="1" applyAlignment="1">
      <alignment horizontal="center" vertical="center" wrapText="1" shrinkToFit="1"/>
    </xf>
    <xf numFmtId="0" fontId="10" fillId="0" borderId="27" xfId="0" applyFont="1" applyBorder="1" applyAlignment="1">
      <alignment horizontal="center" vertical="center" wrapText="1" shrinkToFit="1"/>
    </xf>
    <xf numFmtId="0" fontId="10" fillId="0" borderId="31" xfId="0" applyFont="1" applyBorder="1" applyAlignment="1">
      <alignment horizontal="center" vertical="center" wrapText="1" shrinkToFit="1"/>
    </xf>
    <xf numFmtId="176" fontId="5" fillId="0" borderId="27" xfId="0" applyNumberFormat="1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5" fillId="0" borderId="31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5" fontId="8" fillId="0" borderId="23" xfId="0" applyNumberFormat="1" applyFont="1" applyBorder="1" applyAlignment="1" applyProtection="1">
      <alignment horizontal="center" vertical="center" shrinkToFit="1"/>
      <protection locked="0"/>
    </xf>
    <xf numFmtId="5" fontId="8" fillId="0" borderId="0" xfId="0" applyNumberFormat="1" applyFont="1" applyAlignment="1" applyProtection="1">
      <alignment horizontal="center" vertical="center" shrinkToFit="1"/>
      <protection locked="0"/>
    </xf>
    <xf numFmtId="0" fontId="5" fillId="2" borderId="58" xfId="0" applyFont="1" applyFill="1" applyBorder="1" applyAlignment="1">
      <alignment horizontal="center" vertical="center" shrinkToFit="1"/>
    </xf>
    <xf numFmtId="0" fontId="5" fillId="2" borderId="86" xfId="0" applyFont="1" applyFill="1" applyBorder="1" applyAlignment="1">
      <alignment horizontal="center" vertical="center" shrinkToFit="1"/>
    </xf>
    <xf numFmtId="0" fontId="5" fillId="2" borderId="14" xfId="0" applyFont="1" applyFill="1" applyBorder="1" applyAlignment="1">
      <alignment horizontal="center" vertical="center" wrapText="1" shrinkToFit="1"/>
    </xf>
    <xf numFmtId="0" fontId="5" fillId="2" borderId="32" xfId="0" applyFont="1" applyFill="1" applyBorder="1" applyAlignment="1">
      <alignment horizontal="center" vertical="center" wrapText="1" shrinkToFit="1"/>
    </xf>
    <xf numFmtId="176" fontId="5" fillId="0" borderId="34" xfId="0" applyNumberFormat="1" applyFont="1" applyBorder="1" applyAlignment="1" applyProtection="1">
      <alignment horizontal="center" vertical="center" shrinkToFit="1"/>
      <protection locked="0"/>
    </xf>
    <xf numFmtId="176" fontId="5" fillId="0" borderId="35" xfId="0" applyNumberFormat="1" applyFont="1" applyBorder="1" applyAlignment="1" applyProtection="1">
      <alignment horizontal="center" vertical="center" shrinkToFit="1"/>
      <protection locked="0"/>
    </xf>
    <xf numFmtId="5" fontId="11" fillId="0" borderId="51" xfId="0" applyNumberFormat="1" applyFont="1" applyBorder="1" applyAlignment="1" applyProtection="1">
      <alignment horizontal="center" vertical="center" wrapText="1" shrinkToFit="1"/>
      <protection locked="0"/>
    </xf>
    <xf numFmtId="5" fontId="11" fillId="0" borderId="29" xfId="0" applyNumberFormat="1" applyFont="1" applyBorder="1" applyAlignment="1" applyProtection="1">
      <alignment horizontal="center" vertical="center" wrapText="1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1" xfId="0" applyNumberFormat="1" applyFont="1" applyBorder="1" applyAlignment="1">
      <alignment horizontal="center" vertical="center" shrinkToFit="1"/>
    </xf>
    <xf numFmtId="177" fontId="8" fillId="0" borderId="2" xfId="0" applyNumberFormat="1" applyFont="1" applyBorder="1" applyAlignment="1">
      <alignment horizontal="center" vertical="center" shrinkToFit="1"/>
    </xf>
    <xf numFmtId="177" fontId="8" fillId="0" borderId="1" xfId="0" applyNumberFormat="1" applyFont="1" applyBorder="1" applyAlignment="1" applyProtection="1">
      <alignment horizontal="center" vertical="center" shrinkToFit="1"/>
      <protection locked="0"/>
    </xf>
    <xf numFmtId="177" fontId="8" fillId="0" borderId="3" xfId="0" applyNumberFormat="1" applyFont="1" applyBorder="1" applyAlignment="1" applyProtection="1">
      <alignment horizontal="center" vertical="center" shrinkToFit="1"/>
      <protection locked="0"/>
    </xf>
    <xf numFmtId="177" fontId="8" fillId="0" borderId="4" xfId="0" applyNumberFormat="1" applyFont="1" applyBorder="1" applyAlignment="1" applyProtection="1">
      <alignment horizontal="center" vertical="center" shrinkToFit="1"/>
      <protection locked="0"/>
    </xf>
    <xf numFmtId="5" fontId="8" fillId="0" borderId="6" xfId="0" applyNumberFormat="1" applyFont="1" applyBorder="1" applyAlignment="1" applyProtection="1">
      <alignment horizontal="center"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7" xfId="0" applyNumberFormat="1" applyFont="1" applyBorder="1" applyAlignment="1" applyProtection="1">
      <alignment horizontal="center" vertical="center" shrinkToFit="1"/>
      <protection locked="0"/>
    </xf>
    <xf numFmtId="5" fontId="8" fillId="0" borderId="8" xfId="0" applyNumberFormat="1" applyFont="1" applyBorder="1" applyAlignment="1" applyProtection="1">
      <alignment horizontal="center" vertical="center" shrinkToFit="1"/>
      <protection locked="0"/>
    </xf>
    <xf numFmtId="5" fontId="8" fillId="0" borderId="14" xfId="0" applyNumberFormat="1" applyFont="1" applyBorder="1" applyAlignment="1" applyProtection="1">
      <alignment horizontal="center" vertical="center" shrinkToFit="1"/>
      <protection locked="0"/>
    </xf>
    <xf numFmtId="5" fontId="8" fillId="0" borderId="24" xfId="0" applyNumberFormat="1" applyFont="1" applyBorder="1" applyAlignment="1" applyProtection="1">
      <alignment horizontal="center" vertical="center" shrinkToFit="1"/>
      <protection locked="0"/>
    </xf>
    <xf numFmtId="5" fontId="8" fillId="0" borderId="25" xfId="0" applyNumberFormat="1" applyFont="1" applyBorder="1" applyAlignment="1" applyProtection="1">
      <alignment horizontal="center" vertical="center" shrinkToFit="1"/>
      <protection locked="0"/>
    </xf>
    <xf numFmtId="0" fontId="9" fillId="0" borderId="51" xfId="0" applyFont="1" applyBorder="1" applyAlignment="1" applyProtection="1">
      <alignment horizontal="center" vertical="center" shrinkToFit="1"/>
      <protection locked="0"/>
    </xf>
    <xf numFmtId="177" fontId="8" fillId="0" borderId="9" xfId="0" applyNumberFormat="1" applyFont="1" applyBorder="1" applyAlignment="1">
      <alignment horizontal="center" vertical="center" shrinkToFit="1"/>
    </xf>
    <xf numFmtId="177" fontId="8" fillId="0" borderId="10" xfId="0" applyNumberFormat="1" applyFont="1" applyBorder="1" applyAlignment="1">
      <alignment horizontal="center" vertical="center" shrinkToFit="1"/>
    </xf>
    <xf numFmtId="0" fontId="8" fillId="0" borderId="9" xfId="0" applyFont="1" applyBorder="1" applyAlignment="1" applyProtection="1">
      <alignment horizontal="center" vertical="center" shrinkToFit="1"/>
      <protection locked="0"/>
    </xf>
    <xf numFmtId="0" fontId="8" fillId="0" borderId="51" xfId="0" applyFont="1" applyBorder="1" applyAlignment="1" applyProtection="1">
      <alignment horizontal="center" vertical="center" shrinkToFit="1"/>
      <protection locked="0"/>
    </xf>
    <xf numFmtId="0" fontId="8" fillId="0" borderId="11" xfId="0" applyFont="1" applyBorder="1" applyAlignment="1" applyProtection="1">
      <alignment horizontal="center" vertical="center" shrinkToFit="1"/>
      <protection locked="0"/>
    </xf>
    <xf numFmtId="5" fontId="8" fillId="0" borderId="13" xfId="0" applyNumberFormat="1" applyFont="1" applyBorder="1" applyAlignment="1">
      <alignment horizontal="center" vertical="center" shrinkToFit="1"/>
    </xf>
    <xf numFmtId="5" fontId="8" fillId="0" borderId="12" xfId="0" applyNumberFormat="1" applyFont="1" applyBorder="1" applyAlignment="1">
      <alignment horizontal="center" vertical="center" shrinkToFit="1"/>
    </xf>
    <xf numFmtId="14" fontId="9" fillId="0" borderId="51" xfId="0" applyNumberFormat="1" applyFont="1" applyBorder="1" applyAlignment="1" applyProtection="1">
      <alignment horizontal="center" vertical="center" shrinkToFit="1"/>
      <protection locked="0"/>
    </xf>
    <xf numFmtId="14" fontId="9" fillId="0" borderId="26" xfId="0" applyNumberFormat="1" applyFont="1" applyBorder="1" applyAlignment="1" applyProtection="1">
      <alignment horizontal="center" vertical="center" shrinkToFit="1"/>
      <protection locked="0"/>
    </xf>
    <xf numFmtId="177" fontId="8" fillId="0" borderId="15" xfId="0" applyNumberFormat="1" applyFont="1" applyBorder="1" applyAlignment="1">
      <alignment horizontal="center" vertical="center" shrinkToFit="1"/>
    </xf>
    <xf numFmtId="177" fontId="8" fillId="0" borderId="16" xfId="0" applyNumberFormat="1" applyFont="1" applyBorder="1" applyAlignment="1">
      <alignment horizontal="center" vertical="center" shrinkToFit="1"/>
    </xf>
    <xf numFmtId="5" fontId="8" fillId="0" borderId="15" xfId="0" applyNumberFormat="1" applyFont="1" applyBorder="1" applyAlignment="1">
      <alignment horizontal="center" vertical="center" shrinkToFit="1"/>
    </xf>
    <xf numFmtId="5" fontId="8" fillId="0" borderId="17" xfId="0" applyNumberFormat="1" applyFont="1" applyBorder="1" applyAlignment="1">
      <alignment horizontal="center" vertical="center" shrinkToFit="1"/>
    </xf>
    <xf numFmtId="5" fontId="8" fillId="0" borderId="18" xfId="0" applyNumberFormat="1" applyFont="1" applyBorder="1" applyAlignment="1">
      <alignment horizontal="center" vertical="center" shrinkToFit="1"/>
    </xf>
    <xf numFmtId="5" fontId="8" fillId="0" borderId="20" xfId="0" applyNumberFormat="1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0" fontId="8" fillId="0" borderId="21" xfId="0" applyFont="1" applyBorder="1" applyAlignment="1">
      <alignment horizontal="center" vertical="center" shrinkToFit="1"/>
    </xf>
    <xf numFmtId="177" fontId="8" fillId="2" borderId="21" xfId="0" applyNumberFormat="1" applyFont="1" applyFill="1" applyBorder="1" applyAlignment="1">
      <alignment horizontal="center" vertical="center" shrinkToFit="1"/>
    </xf>
    <xf numFmtId="177" fontId="8" fillId="2" borderId="22" xfId="0" applyNumberFormat="1" applyFont="1" applyFill="1" applyBorder="1" applyAlignment="1">
      <alignment horizontal="center"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FFCC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0</xdr:rowOff>
        </xdr:from>
        <xdr:to>
          <xdr:col>5</xdr:col>
          <xdr:colOff>133350</xdr:colOff>
          <xdr:row>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精算書（支払台帳）作成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B456B-D315-4EF7-889B-B4AA954944E9}">
  <sheetPr codeName="Sheet7"/>
  <dimension ref="A1:S30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M10" sqref="M10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55" customWidth="1"/>
    <col min="7" max="7" width="7.625" style="13" customWidth="1"/>
    <col min="8" max="8" width="7.625" style="55" customWidth="1"/>
    <col min="9" max="9" width="15.375" style="56" customWidth="1"/>
    <col min="10" max="12" width="8.625" style="56" customWidth="1"/>
    <col min="13" max="13" width="8.625" style="57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20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224"/>
      <c r="M2" s="224"/>
      <c r="N2" s="224"/>
      <c r="O2" s="11"/>
      <c r="P2" s="6"/>
    </row>
    <row r="3" spans="1:19" s="13" customFormat="1" ht="23.1" customHeight="1">
      <c r="A3" s="225" t="s">
        <v>0</v>
      </c>
      <c r="B3" s="226"/>
      <c r="C3" s="227"/>
      <c r="D3" s="228"/>
      <c r="E3" s="228"/>
      <c r="F3" s="228"/>
      <c r="G3" s="228"/>
      <c r="H3" s="229"/>
      <c r="I3" s="12" t="s">
        <v>21</v>
      </c>
      <c r="J3" s="230"/>
      <c r="K3" s="231"/>
      <c r="L3" s="232"/>
      <c r="M3" s="233"/>
      <c r="N3" s="237" t="s">
        <v>1</v>
      </c>
      <c r="O3" s="237"/>
      <c r="P3" s="237"/>
    </row>
    <row r="4" spans="1:19" s="13" customFormat="1" ht="23.1" customHeight="1">
      <c r="A4" s="238" t="s">
        <v>22</v>
      </c>
      <c r="B4" s="239"/>
      <c r="C4" s="240"/>
      <c r="D4" s="241"/>
      <c r="E4" s="241"/>
      <c r="F4" s="241"/>
      <c r="G4" s="241"/>
      <c r="H4" s="242"/>
      <c r="I4" s="14" t="s">
        <v>23</v>
      </c>
      <c r="J4" s="243"/>
      <c r="K4" s="244"/>
      <c r="L4" s="215"/>
      <c r="M4" s="234"/>
      <c r="N4" s="245"/>
      <c r="O4" s="245"/>
      <c r="P4" s="245"/>
    </row>
    <row r="5" spans="1:19" s="13" customFormat="1" ht="23.1" customHeight="1" thickBot="1">
      <c r="A5" s="247" t="s">
        <v>2</v>
      </c>
      <c r="B5" s="248"/>
      <c r="C5" s="249">
        <f>J3-G24</f>
        <v>0</v>
      </c>
      <c r="D5" s="250"/>
      <c r="E5" s="250"/>
      <c r="F5" s="250"/>
      <c r="G5" s="250"/>
      <c r="H5" s="251"/>
      <c r="I5" s="15" t="s">
        <v>3</v>
      </c>
      <c r="J5" s="252">
        <f>SUM(J3:K4)</f>
        <v>0</v>
      </c>
      <c r="K5" s="253"/>
      <c r="L5" s="215"/>
      <c r="M5" s="234"/>
      <c r="N5" s="245"/>
      <c r="O5" s="245"/>
      <c r="P5" s="245"/>
    </row>
    <row r="6" spans="1:19" s="13" customFormat="1" ht="23.1" customHeight="1" thickBot="1">
      <c r="A6" s="254" t="s">
        <v>4</v>
      </c>
      <c r="B6" s="254"/>
      <c r="C6" s="255"/>
      <c r="D6" s="255"/>
      <c r="E6" s="256"/>
      <c r="F6" s="256"/>
      <c r="G6" s="256" t="s">
        <v>5</v>
      </c>
      <c r="H6" s="256"/>
      <c r="I6" s="16">
        <f>J5-I24</f>
        <v>0</v>
      </c>
      <c r="J6" s="214"/>
      <c r="K6" s="215"/>
      <c r="L6" s="235"/>
      <c r="M6" s="236"/>
      <c r="N6" s="245"/>
      <c r="O6" s="246"/>
      <c r="P6" s="245"/>
    </row>
    <row r="7" spans="1:19" s="13" customFormat="1" ht="18" customHeight="1" thickBot="1">
      <c r="A7" s="204" t="s">
        <v>6</v>
      </c>
      <c r="B7" s="204"/>
      <c r="C7" s="206" t="s">
        <v>24</v>
      </c>
      <c r="D7" s="208" t="s">
        <v>25</v>
      </c>
      <c r="E7" s="210" t="s">
        <v>19</v>
      </c>
      <c r="F7" s="211"/>
      <c r="G7" s="210" t="s">
        <v>26</v>
      </c>
      <c r="H7" s="211"/>
      <c r="I7" s="222" t="s">
        <v>27</v>
      </c>
      <c r="J7" s="114"/>
      <c r="K7" s="17"/>
      <c r="L7" s="198" t="s">
        <v>7</v>
      </c>
      <c r="M7" s="200" t="s">
        <v>8</v>
      </c>
      <c r="N7" s="202" t="s">
        <v>9</v>
      </c>
      <c r="O7" s="216" t="s">
        <v>10</v>
      </c>
      <c r="P7" s="218" t="s">
        <v>11</v>
      </c>
    </row>
    <row r="8" spans="1:19" s="13" customFormat="1" ht="44.25" customHeight="1" thickBot="1">
      <c r="A8" s="205"/>
      <c r="B8" s="205"/>
      <c r="C8" s="207"/>
      <c r="D8" s="209"/>
      <c r="E8" s="212"/>
      <c r="F8" s="213"/>
      <c r="G8" s="212"/>
      <c r="H8" s="213"/>
      <c r="I8" s="223"/>
      <c r="J8" s="121"/>
      <c r="K8" s="122"/>
      <c r="L8" s="199"/>
      <c r="M8" s="201"/>
      <c r="N8" s="203"/>
      <c r="O8" s="217"/>
      <c r="P8" s="219"/>
    </row>
    <row r="9" spans="1:19" ht="18.95" customHeight="1" thickTop="1">
      <c r="A9" s="123"/>
      <c r="B9" s="125"/>
      <c r="C9" s="18"/>
      <c r="D9" s="107"/>
      <c r="E9" s="220"/>
      <c r="F9" s="221"/>
      <c r="G9" s="220"/>
      <c r="H9" s="221"/>
      <c r="I9" s="136"/>
      <c r="J9" s="116"/>
      <c r="K9" s="126"/>
      <c r="L9" s="128">
        <f>SUM(J9:K9)</f>
        <v>0</v>
      </c>
      <c r="M9" s="117">
        <f>I9-L9</f>
        <v>0</v>
      </c>
      <c r="N9" s="118">
        <f>G9-I9</f>
        <v>0</v>
      </c>
      <c r="O9" s="119"/>
      <c r="P9" s="120" t="e">
        <f>L9/O9</f>
        <v>#DIV/0!</v>
      </c>
    </row>
    <row r="10" spans="1:19" ht="18.95" customHeight="1">
      <c r="A10" s="124"/>
      <c r="B10" s="88"/>
      <c r="C10" s="61"/>
      <c r="D10" s="108"/>
      <c r="E10" s="186"/>
      <c r="F10" s="187"/>
      <c r="G10" s="186"/>
      <c r="H10" s="187"/>
      <c r="I10" s="137"/>
      <c r="J10" s="65"/>
      <c r="K10" s="127"/>
      <c r="L10" s="129">
        <f>SUM(J10:K10)</f>
        <v>0</v>
      </c>
      <c r="M10" s="62">
        <f>I10-L10</f>
        <v>0</v>
      </c>
      <c r="N10" s="63">
        <f>G10-I10</f>
        <v>0</v>
      </c>
      <c r="O10" s="67"/>
      <c r="P10" s="64" t="e">
        <f t="shared" ref="P10" si="0">L10/O10</f>
        <v>#DIV/0!</v>
      </c>
      <c r="S10" s="21"/>
    </row>
    <row r="11" spans="1:19" ht="18.95" customHeight="1" thickBot="1">
      <c r="A11" s="22"/>
      <c r="B11" s="23" t="s">
        <v>12</v>
      </c>
      <c r="C11" s="24"/>
      <c r="D11" s="24"/>
      <c r="E11" s="190">
        <f>SUM(E9:F10)</f>
        <v>0</v>
      </c>
      <c r="F11" s="191"/>
      <c r="G11" s="190">
        <f>SUM(G9:H10)</f>
        <v>0</v>
      </c>
      <c r="H11" s="191"/>
      <c r="I11" s="146">
        <f>SUM(I9:I10)</f>
        <v>0</v>
      </c>
      <c r="J11" s="25"/>
      <c r="K11" s="26"/>
      <c r="L11" s="27">
        <f>SUM(L9:L10)</f>
        <v>0</v>
      </c>
      <c r="M11" s="27">
        <f>SUM(M9:M10)</f>
        <v>0</v>
      </c>
      <c r="N11" s="28">
        <f>SUM(N9:N10)</f>
        <v>0</v>
      </c>
      <c r="O11" s="131">
        <f>SUM(O9:O10)</f>
        <v>0</v>
      </c>
      <c r="P11" s="29"/>
    </row>
    <row r="12" spans="1:19" ht="15" customHeight="1" thickTop="1">
      <c r="A12" s="192"/>
      <c r="B12" s="193"/>
      <c r="C12" s="193"/>
      <c r="D12" s="193"/>
      <c r="E12" s="194"/>
      <c r="F12" s="194"/>
      <c r="G12" s="194"/>
      <c r="H12" s="194"/>
      <c r="I12" s="194"/>
      <c r="J12" s="193"/>
      <c r="K12" s="193"/>
      <c r="L12" s="193"/>
      <c r="M12" s="193"/>
      <c r="N12" s="193"/>
      <c r="O12" s="194"/>
      <c r="P12" s="195"/>
    </row>
    <row r="13" spans="1:19" ht="18.95" customHeight="1">
      <c r="A13" s="77"/>
      <c r="B13" s="78" t="s">
        <v>13</v>
      </c>
      <c r="C13" s="78"/>
      <c r="D13" s="79"/>
      <c r="E13" s="196" t="s">
        <v>28</v>
      </c>
      <c r="F13" s="197"/>
      <c r="G13" s="196" t="s">
        <v>14</v>
      </c>
      <c r="H13" s="197"/>
      <c r="I13" s="80" t="s">
        <v>15</v>
      </c>
      <c r="J13" s="81"/>
      <c r="K13" s="81"/>
      <c r="L13" s="81"/>
      <c r="M13" s="82"/>
      <c r="N13" s="83"/>
      <c r="O13" s="83"/>
      <c r="P13" s="84"/>
    </row>
    <row r="14" spans="1:19" ht="18.95" customHeight="1">
      <c r="A14" s="85"/>
      <c r="B14" s="87"/>
      <c r="C14" s="66"/>
      <c r="D14" s="109"/>
      <c r="E14" s="184"/>
      <c r="F14" s="185"/>
      <c r="G14" s="184"/>
      <c r="H14" s="185"/>
      <c r="I14" s="138"/>
      <c r="J14" s="19"/>
      <c r="K14" s="20"/>
      <c r="L14" s="115">
        <f>SUM(J14:K14)</f>
        <v>0</v>
      </c>
      <c r="M14" s="112">
        <f>I14-L14</f>
        <v>0</v>
      </c>
      <c r="N14" s="113">
        <f>G14-I14</f>
        <v>0</v>
      </c>
      <c r="O14" s="59"/>
      <c r="P14" s="68" t="e">
        <f>L14/O14</f>
        <v>#DIV/0!</v>
      </c>
    </row>
    <row r="15" spans="1:19" ht="18.95" customHeight="1">
      <c r="A15" s="86"/>
      <c r="B15" s="88"/>
      <c r="C15" s="61"/>
      <c r="D15" s="108"/>
      <c r="E15" s="186"/>
      <c r="F15" s="187"/>
      <c r="G15" s="186"/>
      <c r="H15" s="187"/>
      <c r="I15" s="139"/>
      <c r="J15" s="89"/>
      <c r="K15" s="90"/>
      <c r="L15" s="129">
        <f t="shared" ref="L15" si="1">SUM(J15:K15)</f>
        <v>0</v>
      </c>
      <c r="M15" s="62">
        <f t="shared" ref="M15" si="2">I15-L15</f>
        <v>0</v>
      </c>
      <c r="N15" s="135">
        <f t="shared" ref="N15" si="3">G15-I15</f>
        <v>0</v>
      </c>
      <c r="O15" s="60"/>
      <c r="P15" s="111" t="e">
        <f>L15/O15</f>
        <v>#DIV/0!</v>
      </c>
    </row>
    <row r="16" spans="1:19" ht="18.95" customHeight="1" thickBot="1">
      <c r="A16" s="69"/>
      <c r="B16" s="30" t="s">
        <v>16</v>
      </c>
      <c r="C16" s="30"/>
      <c r="D16" s="31"/>
      <c r="E16" s="171">
        <f>SUM(E14:E15)</f>
        <v>0</v>
      </c>
      <c r="F16" s="172"/>
      <c r="G16" s="171">
        <f>SUM(G14:G15)</f>
        <v>0</v>
      </c>
      <c r="H16" s="172"/>
      <c r="I16" s="32">
        <f>SUM(I14:I15)</f>
        <v>0</v>
      </c>
      <c r="J16" s="33"/>
      <c r="K16" s="33"/>
      <c r="L16" s="132">
        <f>SUM(L14:L15)</f>
        <v>0</v>
      </c>
      <c r="M16" s="133">
        <f>SUM(M14:M15)</f>
        <v>0</v>
      </c>
      <c r="N16" s="134">
        <f>SUM(N14:N15)</f>
        <v>0</v>
      </c>
      <c r="O16" s="34">
        <f>SUM(O14:O15)</f>
        <v>0</v>
      </c>
      <c r="P16" s="110"/>
    </row>
    <row r="17" spans="1:16" ht="2.25" customHeight="1" thickTop="1" thickBot="1">
      <c r="A17" s="70"/>
      <c r="B17" s="35"/>
      <c r="C17" s="35"/>
      <c r="D17" s="35"/>
      <c r="E17" s="35"/>
      <c r="F17" s="36"/>
      <c r="G17" s="35"/>
      <c r="H17" s="36"/>
      <c r="I17" s="37"/>
      <c r="J17" s="36"/>
      <c r="K17" s="36"/>
      <c r="L17" s="36"/>
      <c r="M17" s="38"/>
      <c r="N17" s="39"/>
      <c r="O17" s="40"/>
      <c r="P17" s="71"/>
    </row>
    <row r="18" spans="1:16" ht="26.25" customHeight="1" thickTop="1" thickBot="1">
      <c r="A18" s="72"/>
      <c r="B18" s="73" t="s">
        <v>17</v>
      </c>
      <c r="C18" s="73"/>
      <c r="D18" s="73"/>
      <c r="E18" s="173"/>
      <c r="F18" s="174"/>
      <c r="G18" s="173"/>
      <c r="H18" s="174"/>
      <c r="I18" s="41"/>
      <c r="J18" s="41"/>
      <c r="K18" s="41"/>
      <c r="L18" s="42">
        <f>SUM(L16,L11)</f>
        <v>0</v>
      </c>
      <c r="M18" s="43">
        <f>SUM(M16,M11)</f>
        <v>0</v>
      </c>
      <c r="N18" s="74">
        <f>N11+N16</f>
        <v>0</v>
      </c>
      <c r="O18" s="75">
        <f>SUM(O16,O11)</f>
        <v>0</v>
      </c>
      <c r="P18" s="76"/>
    </row>
    <row r="19" spans="1:16" ht="2.25" customHeight="1" thickTop="1">
      <c r="A19" s="93"/>
      <c r="B19" s="94"/>
      <c r="C19" s="94"/>
      <c r="D19" s="94"/>
      <c r="E19" s="94"/>
      <c r="F19" s="95"/>
      <c r="G19" s="94"/>
      <c r="H19" s="95"/>
      <c r="I19" s="96"/>
      <c r="J19" s="95"/>
      <c r="K19" s="95"/>
      <c r="L19" s="95"/>
      <c r="M19" s="97"/>
      <c r="N19" s="98"/>
      <c r="O19" s="99"/>
      <c r="P19" s="100"/>
    </row>
    <row r="20" spans="1:16" ht="18.2" customHeight="1">
      <c r="A20" s="101"/>
      <c r="B20" s="102"/>
      <c r="C20" s="102"/>
      <c r="D20" s="102"/>
      <c r="E20" s="188"/>
      <c r="F20" s="189"/>
      <c r="G20" s="188"/>
      <c r="H20" s="189"/>
      <c r="I20" s="103"/>
      <c r="J20" s="91"/>
      <c r="K20" s="91"/>
      <c r="L20" s="91"/>
      <c r="M20" s="104"/>
      <c r="N20" s="105"/>
      <c r="O20" s="106"/>
      <c r="P20" s="105"/>
    </row>
    <row r="21" spans="1:16" ht="18.2" customHeight="1">
      <c r="A21" s="166"/>
      <c r="B21" s="152"/>
      <c r="C21" s="153"/>
      <c r="D21" s="154"/>
      <c r="E21" s="175"/>
      <c r="F21" s="176"/>
      <c r="G21" s="175"/>
      <c r="H21" s="176"/>
      <c r="I21" s="155"/>
      <c r="J21" s="156"/>
      <c r="K21" s="156"/>
      <c r="L21" s="161">
        <f>SUM(J21:K21)</f>
        <v>0</v>
      </c>
      <c r="M21" s="162">
        <f>I21-L21</f>
        <v>0</v>
      </c>
      <c r="N21" s="163">
        <f>G21-I21</f>
        <v>0</v>
      </c>
      <c r="O21" s="164"/>
      <c r="P21" s="165" t="e">
        <f>L21/O21</f>
        <v>#DIV/0!</v>
      </c>
    </row>
    <row r="22" spans="1:16" ht="18.2" customHeight="1">
      <c r="A22" s="167"/>
      <c r="B22" s="157"/>
      <c r="C22" s="158"/>
      <c r="D22" s="159"/>
      <c r="E22" s="168"/>
      <c r="F22" s="169"/>
      <c r="G22" s="168"/>
      <c r="H22" s="169"/>
      <c r="I22" s="160"/>
      <c r="J22" s="91"/>
      <c r="K22" s="91"/>
      <c r="L22" s="140">
        <f>SUM(J22:K22)</f>
        <v>0</v>
      </c>
      <c r="M22" s="141">
        <f>I22-L22</f>
        <v>0</v>
      </c>
      <c r="N22" s="142">
        <f>G22-I22</f>
        <v>0</v>
      </c>
      <c r="O22" s="143"/>
      <c r="P22" s="144" t="e">
        <f>L22/O22</f>
        <v>#DIV/0!</v>
      </c>
    </row>
    <row r="23" spans="1:16" ht="18.95" customHeight="1" thickBot="1">
      <c r="A23" s="147"/>
      <c r="B23" s="148" t="s">
        <v>30</v>
      </c>
      <c r="C23" s="149"/>
      <c r="D23" s="150"/>
      <c r="E23" s="181">
        <f>SUM(E21:F22)</f>
        <v>0</v>
      </c>
      <c r="F23" s="182"/>
      <c r="G23" s="183">
        <f>SUM(G21:H22)</f>
        <v>0</v>
      </c>
      <c r="H23" s="182"/>
      <c r="I23" s="151">
        <f>SUM(I21:I22)</f>
        <v>0</v>
      </c>
      <c r="J23" s="25"/>
      <c r="K23" s="26"/>
      <c r="L23" s="27">
        <f>SUM(L21:L22)</f>
        <v>0</v>
      </c>
      <c r="M23" s="27">
        <f>SUM(M21:M22)</f>
        <v>0</v>
      </c>
      <c r="N23" s="145">
        <f>SUM(N21:N22)</f>
        <v>0</v>
      </c>
      <c r="O23" s="130">
        <f>SUM(O21:O22)</f>
        <v>0</v>
      </c>
      <c r="P23" s="29"/>
    </row>
    <row r="24" spans="1:16" ht="18.2" customHeight="1" thickTop="1">
      <c r="A24" s="44"/>
      <c r="B24" s="177" t="s">
        <v>18</v>
      </c>
      <c r="C24" s="178"/>
      <c r="D24" s="92"/>
      <c r="E24" s="179">
        <f>SUM(E11,E16,E23)</f>
        <v>0</v>
      </c>
      <c r="F24" s="180"/>
      <c r="G24" s="179">
        <f>SUM(G11,G16,G23)</f>
        <v>0</v>
      </c>
      <c r="H24" s="180"/>
      <c r="I24" s="45">
        <f>SUM(I23,I16,I11)</f>
        <v>0</v>
      </c>
      <c r="J24" s="46">
        <f>SUM(J9:J22)</f>
        <v>0</v>
      </c>
      <c r="K24" s="46">
        <f>SUM(K9:K22)</f>
        <v>0</v>
      </c>
      <c r="L24" s="46">
        <f>SUM(J24:K24)</f>
        <v>0</v>
      </c>
      <c r="M24" s="47">
        <f>I24-L24</f>
        <v>0</v>
      </c>
      <c r="N24" s="48">
        <f>SUM(N23,N18)</f>
        <v>0</v>
      </c>
      <c r="O24" s="49">
        <f>SUM(O23,O18)</f>
        <v>0</v>
      </c>
      <c r="P24" s="50"/>
    </row>
    <row r="25" spans="1:16" ht="25.5" customHeight="1">
      <c r="A25" s="51"/>
      <c r="B25" s="51"/>
      <c r="C25" s="51"/>
      <c r="D25" s="51"/>
      <c r="E25" s="51"/>
      <c r="F25" s="52"/>
      <c r="G25" s="51"/>
      <c r="H25" s="52"/>
      <c r="I25" s="53"/>
      <c r="J25" s="53"/>
      <c r="K25" s="53"/>
      <c r="L25" s="53"/>
      <c r="M25" s="54"/>
      <c r="N25" s="51"/>
      <c r="O25" s="51"/>
    </row>
    <row r="26" spans="1:16" ht="6" customHeight="1"/>
    <row r="28" spans="1:16" ht="18" customHeight="1">
      <c r="A28" s="170"/>
      <c r="B28" s="170"/>
      <c r="C28" s="170"/>
      <c r="D28" s="170"/>
      <c r="E28" s="170"/>
      <c r="F28" s="170"/>
      <c r="G28" s="170"/>
      <c r="H28" s="170"/>
      <c r="I28" s="170"/>
      <c r="J28" s="170"/>
      <c r="K28" s="170"/>
    </row>
    <row r="29" spans="1:16" ht="18" customHeight="1">
      <c r="A29" s="170"/>
      <c r="B29" s="170"/>
      <c r="C29" s="170"/>
      <c r="D29" s="170"/>
      <c r="E29" s="170"/>
      <c r="F29" s="170"/>
    </row>
    <row r="30" spans="1:16" ht="18" customHeight="1">
      <c r="A30" s="170"/>
      <c r="B30" s="170"/>
      <c r="C30" s="170"/>
      <c r="D30" s="170"/>
      <c r="E30" s="170"/>
      <c r="F30" s="170"/>
    </row>
  </sheetData>
  <mergeCells count="60"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  <mergeCell ref="A5:B5"/>
    <mergeCell ref="C5:H5"/>
    <mergeCell ref="J5:K5"/>
    <mergeCell ref="A6:B6"/>
    <mergeCell ref="C6:F6"/>
    <mergeCell ref="G6:H6"/>
    <mergeCell ref="J6:K6"/>
    <mergeCell ref="O7:O8"/>
    <mergeCell ref="P7:P8"/>
    <mergeCell ref="E9:F9"/>
    <mergeCell ref="G9:H9"/>
    <mergeCell ref="I7:I8"/>
    <mergeCell ref="A7:B8"/>
    <mergeCell ref="C7:C8"/>
    <mergeCell ref="D7:D8"/>
    <mergeCell ref="E7:F8"/>
    <mergeCell ref="G7:H8"/>
    <mergeCell ref="E10:F10"/>
    <mergeCell ref="G10:H10"/>
    <mergeCell ref="L7:L8"/>
    <mergeCell ref="M7:M8"/>
    <mergeCell ref="N7:N8"/>
    <mergeCell ref="E11:F11"/>
    <mergeCell ref="G11:H11"/>
    <mergeCell ref="A12:P12"/>
    <mergeCell ref="E13:F13"/>
    <mergeCell ref="G13:H13"/>
    <mergeCell ref="G23:H23"/>
    <mergeCell ref="E14:F14"/>
    <mergeCell ref="G14:H14"/>
    <mergeCell ref="E15:F15"/>
    <mergeCell ref="G15:H15"/>
    <mergeCell ref="E20:F20"/>
    <mergeCell ref="G20:H20"/>
    <mergeCell ref="A21:A22"/>
    <mergeCell ref="E22:F22"/>
    <mergeCell ref="G22:H22"/>
    <mergeCell ref="A30:F30"/>
    <mergeCell ref="E16:F16"/>
    <mergeCell ref="G16:H16"/>
    <mergeCell ref="E18:F18"/>
    <mergeCell ref="G18:H18"/>
    <mergeCell ref="E21:F21"/>
    <mergeCell ref="G21:H21"/>
    <mergeCell ref="B24:C24"/>
    <mergeCell ref="E24:F24"/>
    <mergeCell ref="G24:H24"/>
    <mergeCell ref="A28:K28"/>
    <mergeCell ref="A29:F29"/>
    <mergeCell ref="E23:F23"/>
  </mergeCells>
  <phoneticPr fontId="2"/>
  <pageMargins left="0.7" right="0.7" top="0.75" bottom="0.75" header="0.3" footer="0.3"/>
  <pageSetup paperSize="9" scale="4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399D-C19C-4495-BB8B-C16974F92914}">
  <sheetPr codeName="Sheet1"/>
  <dimension ref="C3"/>
  <sheetViews>
    <sheetView tabSelected="1" workbookViewId="0"/>
  </sheetViews>
  <sheetFormatPr defaultRowHeight="18.75"/>
  <sheetData>
    <row r="3" spans="3:3">
      <c r="C3" s="58" t="s">
        <v>29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CSVWithDynamicCostColumns">
                <anchor moveWithCells="1">
                  <from>
                    <xdr:col>2</xdr:col>
                    <xdr:colOff>342900</xdr:colOff>
                    <xdr:row>4</xdr:row>
                    <xdr:rowOff>0</xdr:rowOff>
                  </from>
                  <to>
                    <xdr:col>5</xdr:col>
                    <xdr:colOff>133350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abef13c3-ec84-4360-afc1-346329e5c56e}" enabled="1" method="Standard" siteId="{f54277c9-dafe-44aa-85a4-73d5c7c5245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templete</vt:lpstr>
      <vt:lpstr>精算書（支払台帳）作成</vt:lpstr>
      <vt:lpstr>templete!Print_Area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rentaladmin</dc:creator>
  <cp:lastModifiedBy>辛敏豪 / XIN，MINHAO</cp:lastModifiedBy>
  <dcterms:created xsi:type="dcterms:W3CDTF">2015-06-05T18:19:34Z</dcterms:created>
  <dcterms:modified xsi:type="dcterms:W3CDTF">2025-09-08T07:31:01Z</dcterms:modified>
</cp:coreProperties>
</file>