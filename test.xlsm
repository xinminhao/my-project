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"/>
    </mc:Choice>
  </mc:AlternateContent>
  <xr:revisionPtr revIDLastSave="0" documentId="13_ncr:1_{BF14A1DA-20DA-4CD2-A87F-A2B4F5A04361}" xr6:coauthVersionLast="47" xr6:coauthVersionMax="47" xr10:uidLastSave="{00000000-0000-0000-0000-000000000000}"/>
  <bookViews>
    <workbookView xWindow="-120" yWindow="-120" windowWidth="29040" windowHeight="15720" firstSheet="2" activeTab="4" xr2:uid="{00000000-000D-0000-FFFF-FFFF00000000}"/>
  </bookViews>
  <sheets>
    <sheet name="templete" sheetId="8" state="hidden" r:id="rId1"/>
    <sheet name="精算書（支払台帳）作成" sheetId="20" r:id="rId2"/>
    <sheet name="精算書（支払台帳）_202311~202504" sheetId="196" r:id="rId3"/>
    <sheet name="精算書（支払台帳）_202501~202508" sheetId="209" r:id="rId4"/>
    <sheet name="精算書（支払台帳）_202311~202412" sheetId="214" r:id="rId5"/>
  </sheets>
  <functionGroups builtInGroupCount="19"/>
  <definedNames>
    <definedName name="_xlnm.Print_Area" localSheetId="0">templete!$A$1:$P$23</definedName>
    <definedName name="_xlnm.Print_Area" localSheetId="4">'精算書（支払台帳）_202311~202412'!$A$1:$R$32</definedName>
    <definedName name="_xlnm.Print_Area" localSheetId="2">'精算書（支払台帳）_202311~202504'!$A$1:$V$22</definedName>
    <definedName name="_xlnm.Print_Area" localSheetId="3">'精算書（支払台帳）_202501~202508'!$A$1:$V$165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214" l="1"/>
  <c r="N24" i="214"/>
  <c r="R24" i="214" s="1"/>
  <c r="P23" i="214"/>
  <c r="N23" i="214"/>
  <c r="R23" i="214" s="1"/>
  <c r="P22" i="214"/>
  <c r="N22" i="214"/>
  <c r="R22" i="214" s="1"/>
  <c r="P21" i="214"/>
  <c r="N21" i="214"/>
  <c r="R21" i="214" s="1"/>
  <c r="M31" i="214"/>
  <c r="L31" i="214"/>
  <c r="K31" i="214"/>
  <c r="P17" i="214"/>
  <c r="N17" i="214"/>
  <c r="R17" i="214" s="1"/>
  <c r="P16" i="214"/>
  <c r="N16" i="214"/>
  <c r="R16" i="214" s="1"/>
  <c r="P15" i="214"/>
  <c r="N15" i="214"/>
  <c r="R15" i="214" s="1"/>
  <c r="P14" i="214"/>
  <c r="N14" i="214"/>
  <c r="R14" i="214" s="1"/>
  <c r="P13" i="214"/>
  <c r="N13" i="214"/>
  <c r="R13" i="214" s="1"/>
  <c r="P12" i="214"/>
  <c r="N12" i="214"/>
  <c r="R12" i="214" s="1"/>
  <c r="P11" i="214"/>
  <c r="N11" i="214"/>
  <c r="R11" i="214" s="1"/>
  <c r="P10" i="214"/>
  <c r="N10" i="214"/>
  <c r="R10" i="214" s="1"/>
  <c r="J31" i="214"/>
  <c r="P30" i="214"/>
  <c r="N30" i="214"/>
  <c r="R30" i="214" s="1"/>
  <c r="Q25" i="214"/>
  <c r="I25" i="214"/>
  <c r="G25" i="214"/>
  <c r="E25" i="214"/>
  <c r="Q18" i="214"/>
  <c r="I18" i="214"/>
  <c r="I31" i="214" s="1"/>
  <c r="G18" i="214"/>
  <c r="G31" i="214" s="1"/>
  <c r="C5" i="214" s="1"/>
  <c r="E18" i="214"/>
  <c r="E31" i="214" s="1"/>
  <c r="P9" i="214"/>
  <c r="N9" i="214"/>
  <c r="J5" i="214"/>
  <c r="T157" i="209"/>
  <c r="R157" i="209"/>
  <c r="V157" i="209" s="1"/>
  <c r="T156" i="209"/>
  <c r="R156" i="209"/>
  <c r="V156" i="209" s="1"/>
  <c r="T155" i="209"/>
  <c r="R155" i="209"/>
  <c r="V155" i="209" s="1"/>
  <c r="T154" i="209"/>
  <c r="R154" i="209"/>
  <c r="V154" i="209" s="1"/>
  <c r="T153" i="209"/>
  <c r="R153" i="209"/>
  <c r="V153" i="209" s="1"/>
  <c r="T152" i="209"/>
  <c r="R152" i="209"/>
  <c r="V152" i="209" s="1"/>
  <c r="T151" i="209"/>
  <c r="R151" i="209"/>
  <c r="V151" i="209" s="1"/>
  <c r="T150" i="209"/>
  <c r="R150" i="209"/>
  <c r="V150" i="209" s="1"/>
  <c r="T149" i="209"/>
  <c r="R149" i="209"/>
  <c r="V149" i="209" s="1"/>
  <c r="T148" i="209"/>
  <c r="R148" i="209"/>
  <c r="V148" i="209" s="1"/>
  <c r="T147" i="209"/>
  <c r="R147" i="209"/>
  <c r="V147" i="209" s="1"/>
  <c r="T146" i="209"/>
  <c r="R146" i="209"/>
  <c r="V146" i="209" s="1"/>
  <c r="T145" i="209"/>
  <c r="R145" i="209"/>
  <c r="V145" i="209" s="1"/>
  <c r="T144" i="209"/>
  <c r="R144" i="209"/>
  <c r="V144" i="209" s="1"/>
  <c r="T143" i="209"/>
  <c r="R143" i="209"/>
  <c r="V143" i="209" s="1"/>
  <c r="T142" i="209"/>
  <c r="R142" i="209"/>
  <c r="V142" i="209" s="1"/>
  <c r="T141" i="209"/>
  <c r="R141" i="209"/>
  <c r="V141" i="209" s="1"/>
  <c r="T140" i="209"/>
  <c r="R140" i="209"/>
  <c r="V140" i="209" s="1"/>
  <c r="T139" i="209"/>
  <c r="R139" i="209"/>
  <c r="V139" i="209" s="1"/>
  <c r="T138" i="209"/>
  <c r="R138" i="209"/>
  <c r="V138" i="209" s="1"/>
  <c r="T137" i="209"/>
  <c r="R137" i="209"/>
  <c r="V137" i="209" s="1"/>
  <c r="Q164" i="209"/>
  <c r="P164" i="209"/>
  <c r="O164" i="209"/>
  <c r="N164" i="209"/>
  <c r="M164" i="209"/>
  <c r="L164" i="209"/>
  <c r="K164" i="209"/>
  <c r="T133" i="209"/>
  <c r="R133" i="209"/>
  <c r="V133" i="209" s="1"/>
  <c r="T132" i="209"/>
  <c r="R132" i="209"/>
  <c r="V132" i="209" s="1"/>
  <c r="T131" i="209"/>
  <c r="R131" i="209"/>
  <c r="V131" i="209" s="1"/>
  <c r="T130" i="209"/>
  <c r="R130" i="209"/>
  <c r="V130" i="209" s="1"/>
  <c r="T129" i="209"/>
  <c r="R129" i="209"/>
  <c r="V129" i="209" s="1"/>
  <c r="T128" i="209"/>
  <c r="R128" i="209"/>
  <c r="V128" i="209" s="1"/>
  <c r="T127" i="209"/>
  <c r="R127" i="209"/>
  <c r="V127" i="209" s="1"/>
  <c r="T126" i="209"/>
  <c r="R126" i="209"/>
  <c r="V126" i="209" s="1"/>
  <c r="T125" i="209"/>
  <c r="R125" i="209"/>
  <c r="V125" i="209" s="1"/>
  <c r="T124" i="209"/>
  <c r="R124" i="209"/>
  <c r="V124" i="209" s="1"/>
  <c r="T123" i="209"/>
  <c r="R123" i="209"/>
  <c r="V123" i="209" s="1"/>
  <c r="T122" i="209"/>
  <c r="R122" i="209"/>
  <c r="V122" i="209" s="1"/>
  <c r="T121" i="209"/>
  <c r="R121" i="209"/>
  <c r="V121" i="209" s="1"/>
  <c r="T120" i="209"/>
  <c r="R120" i="209"/>
  <c r="V120" i="209" s="1"/>
  <c r="T119" i="209"/>
  <c r="R119" i="209"/>
  <c r="V119" i="209" s="1"/>
  <c r="T118" i="209"/>
  <c r="R118" i="209"/>
  <c r="V118" i="209" s="1"/>
  <c r="T117" i="209"/>
  <c r="R117" i="209"/>
  <c r="V117" i="209" s="1"/>
  <c r="T116" i="209"/>
  <c r="R116" i="209"/>
  <c r="V116" i="209" s="1"/>
  <c r="T115" i="209"/>
  <c r="R115" i="209"/>
  <c r="V115" i="209" s="1"/>
  <c r="T114" i="209"/>
  <c r="R114" i="209"/>
  <c r="V114" i="209" s="1"/>
  <c r="T113" i="209"/>
  <c r="R113" i="209"/>
  <c r="V113" i="209" s="1"/>
  <c r="T112" i="209"/>
  <c r="R112" i="209"/>
  <c r="V112" i="209" s="1"/>
  <c r="T111" i="209"/>
  <c r="R111" i="209"/>
  <c r="V111" i="209" s="1"/>
  <c r="T110" i="209"/>
  <c r="R110" i="209"/>
  <c r="V110" i="209" s="1"/>
  <c r="T109" i="209"/>
  <c r="R109" i="209"/>
  <c r="V109" i="209" s="1"/>
  <c r="T108" i="209"/>
  <c r="R108" i="209"/>
  <c r="V108" i="209" s="1"/>
  <c r="T107" i="209"/>
  <c r="R107" i="209"/>
  <c r="V107" i="209" s="1"/>
  <c r="T106" i="209"/>
  <c r="R106" i="209"/>
  <c r="V106" i="209" s="1"/>
  <c r="T105" i="209"/>
  <c r="R105" i="209"/>
  <c r="T104" i="209"/>
  <c r="R104" i="209"/>
  <c r="T103" i="209"/>
  <c r="R103" i="209"/>
  <c r="T102" i="209"/>
  <c r="R102" i="209"/>
  <c r="T101" i="209"/>
  <c r="R101" i="209"/>
  <c r="T100" i="209"/>
  <c r="R100" i="209"/>
  <c r="T99" i="209"/>
  <c r="R99" i="209"/>
  <c r="T98" i="209"/>
  <c r="R98" i="209"/>
  <c r="T97" i="209"/>
  <c r="R97" i="209"/>
  <c r="T96" i="209"/>
  <c r="R96" i="209"/>
  <c r="T95" i="209"/>
  <c r="R95" i="209"/>
  <c r="T94" i="209"/>
  <c r="R94" i="209"/>
  <c r="T93" i="209"/>
  <c r="R93" i="209"/>
  <c r="T92" i="209"/>
  <c r="R92" i="209"/>
  <c r="T91" i="209"/>
  <c r="R91" i="209"/>
  <c r="V91" i="209" s="1"/>
  <c r="T90" i="209"/>
  <c r="R90" i="209"/>
  <c r="V90" i="209" s="1"/>
  <c r="T89" i="209"/>
  <c r="R89" i="209"/>
  <c r="V89" i="209" s="1"/>
  <c r="T88" i="209"/>
  <c r="R88" i="209"/>
  <c r="V88" i="209" s="1"/>
  <c r="T87" i="209"/>
  <c r="R87" i="209"/>
  <c r="V87" i="209" s="1"/>
  <c r="T86" i="209"/>
  <c r="R86" i="209"/>
  <c r="V86" i="209" s="1"/>
  <c r="T85" i="209"/>
  <c r="R85" i="209"/>
  <c r="V85" i="209" s="1"/>
  <c r="T84" i="209"/>
  <c r="R84" i="209"/>
  <c r="V84" i="209" s="1"/>
  <c r="T83" i="209"/>
  <c r="R83" i="209"/>
  <c r="V83" i="209" s="1"/>
  <c r="T82" i="209"/>
  <c r="R82" i="209"/>
  <c r="V82" i="209" s="1"/>
  <c r="T81" i="209"/>
  <c r="R81" i="209"/>
  <c r="V81" i="209" s="1"/>
  <c r="T80" i="209"/>
  <c r="R80" i="209"/>
  <c r="V80" i="209" s="1"/>
  <c r="T79" i="209"/>
  <c r="R79" i="209"/>
  <c r="V79" i="209" s="1"/>
  <c r="T78" i="209"/>
  <c r="R78" i="209"/>
  <c r="V78" i="209" s="1"/>
  <c r="T77" i="209"/>
  <c r="R77" i="209"/>
  <c r="V77" i="209" s="1"/>
  <c r="T76" i="209"/>
  <c r="R76" i="209"/>
  <c r="V76" i="209" s="1"/>
  <c r="T75" i="209"/>
  <c r="R75" i="209"/>
  <c r="V75" i="209" s="1"/>
  <c r="T74" i="209"/>
  <c r="R74" i="209"/>
  <c r="T73" i="209"/>
  <c r="R73" i="209"/>
  <c r="T72" i="209"/>
  <c r="R72" i="209"/>
  <c r="T71" i="209"/>
  <c r="R71" i="209"/>
  <c r="T70" i="209"/>
  <c r="R70" i="209"/>
  <c r="T69" i="209"/>
  <c r="R69" i="209"/>
  <c r="T68" i="209"/>
  <c r="R68" i="209"/>
  <c r="T67" i="209"/>
  <c r="R67" i="209"/>
  <c r="T66" i="209"/>
  <c r="R66" i="209"/>
  <c r="T65" i="209"/>
  <c r="R65" i="209"/>
  <c r="T64" i="209"/>
  <c r="R64" i="209"/>
  <c r="T63" i="209"/>
  <c r="R63" i="209"/>
  <c r="T62" i="209"/>
  <c r="R62" i="209"/>
  <c r="T61" i="209"/>
  <c r="R61" i="209"/>
  <c r="T60" i="209"/>
  <c r="R60" i="209"/>
  <c r="T59" i="209"/>
  <c r="R59" i="209"/>
  <c r="T58" i="209"/>
  <c r="R58" i="209"/>
  <c r="T57" i="209"/>
  <c r="R57" i="209"/>
  <c r="T56" i="209"/>
  <c r="R56" i="209"/>
  <c r="T55" i="209"/>
  <c r="R55" i="209"/>
  <c r="T54" i="209"/>
  <c r="R54" i="209"/>
  <c r="T53" i="209"/>
  <c r="R53" i="209"/>
  <c r="T52" i="209"/>
  <c r="R52" i="209"/>
  <c r="T51" i="209"/>
  <c r="R51" i="209"/>
  <c r="T50" i="209"/>
  <c r="R50" i="209"/>
  <c r="T49" i="209"/>
  <c r="R49" i="209"/>
  <c r="T48" i="209"/>
  <c r="R48" i="209"/>
  <c r="V48" i="209" s="1"/>
  <c r="T47" i="209"/>
  <c r="R47" i="209"/>
  <c r="V47" i="209" s="1"/>
  <c r="T46" i="209"/>
  <c r="R46" i="209"/>
  <c r="V46" i="209" s="1"/>
  <c r="T45" i="209"/>
  <c r="R45" i="209"/>
  <c r="V45" i="209" s="1"/>
  <c r="T44" i="209"/>
  <c r="R44" i="209"/>
  <c r="V44" i="209" s="1"/>
  <c r="T43" i="209"/>
  <c r="R43" i="209"/>
  <c r="V43" i="209" s="1"/>
  <c r="T42" i="209"/>
  <c r="R42" i="209"/>
  <c r="V42" i="209" s="1"/>
  <c r="T41" i="209"/>
  <c r="R41" i="209"/>
  <c r="V41" i="209" s="1"/>
  <c r="T40" i="209"/>
  <c r="R40" i="209"/>
  <c r="V40" i="209" s="1"/>
  <c r="T39" i="209"/>
  <c r="R39" i="209"/>
  <c r="V39" i="209" s="1"/>
  <c r="T38" i="209"/>
  <c r="R38" i="209"/>
  <c r="V38" i="209" s="1"/>
  <c r="T37" i="209"/>
  <c r="R37" i="209"/>
  <c r="V37" i="209" s="1"/>
  <c r="T36" i="209"/>
  <c r="R36" i="209"/>
  <c r="V36" i="209" s="1"/>
  <c r="T35" i="209"/>
  <c r="R35" i="209"/>
  <c r="V35" i="209" s="1"/>
  <c r="T34" i="209"/>
  <c r="R34" i="209"/>
  <c r="V34" i="209" s="1"/>
  <c r="T33" i="209"/>
  <c r="R33" i="209"/>
  <c r="V33" i="209" s="1"/>
  <c r="T32" i="209"/>
  <c r="R32" i="209"/>
  <c r="V32" i="209" s="1"/>
  <c r="T31" i="209"/>
  <c r="R31" i="209"/>
  <c r="V31" i="209" s="1"/>
  <c r="T30" i="209"/>
  <c r="R30" i="209"/>
  <c r="V30" i="209" s="1"/>
  <c r="T29" i="209"/>
  <c r="R29" i="209"/>
  <c r="V29" i="209" s="1"/>
  <c r="T28" i="209"/>
  <c r="R28" i="209"/>
  <c r="V28" i="209" s="1"/>
  <c r="T27" i="209"/>
  <c r="R27" i="209"/>
  <c r="V27" i="209" s="1"/>
  <c r="T26" i="209"/>
  <c r="R26" i="209"/>
  <c r="V26" i="209" s="1"/>
  <c r="T25" i="209"/>
  <c r="R25" i="209"/>
  <c r="V25" i="209" s="1"/>
  <c r="T24" i="209"/>
  <c r="R24" i="209"/>
  <c r="V24" i="209" s="1"/>
  <c r="T23" i="209"/>
  <c r="R23" i="209"/>
  <c r="V23" i="209" s="1"/>
  <c r="T22" i="209"/>
  <c r="R22" i="209"/>
  <c r="V22" i="209" s="1"/>
  <c r="T21" i="209"/>
  <c r="R21" i="209"/>
  <c r="V21" i="209" s="1"/>
  <c r="T20" i="209"/>
  <c r="R20" i="209"/>
  <c r="V20" i="209" s="1"/>
  <c r="T19" i="209"/>
  <c r="R19" i="209"/>
  <c r="V19" i="209" s="1"/>
  <c r="T18" i="209"/>
  <c r="R18" i="209"/>
  <c r="V18" i="209" s="1"/>
  <c r="T17" i="209"/>
  <c r="R17" i="209"/>
  <c r="V17" i="209" s="1"/>
  <c r="T16" i="209"/>
  <c r="R16" i="209"/>
  <c r="V16" i="209" s="1"/>
  <c r="T15" i="209"/>
  <c r="R15" i="209"/>
  <c r="V15" i="209" s="1"/>
  <c r="T14" i="209"/>
  <c r="R14" i="209"/>
  <c r="V14" i="209" s="1"/>
  <c r="T13" i="209"/>
  <c r="R13" i="209"/>
  <c r="V13" i="209" s="1"/>
  <c r="T12" i="209"/>
  <c r="R12" i="209"/>
  <c r="V12" i="209" s="1"/>
  <c r="T11" i="209"/>
  <c r="R11" i="209"/>
  <c r="V11" i="209" s="1"/>
  <c r="T10" i="209"/>
  <c r="R10" i="209"/>
  <c r="V10" i="209" s="1"/>
  <c r="J164" i="209"/>
  <c r="T163" i="209"/>
  <c r="R163" i="209"/>
  <c r="V163" i="209" s="1"/>
  <c r="U158" i="209"/>
  <c r="I158" i="209"/>
  <c r="G158" i="209"/>
  <c r="E158" i="209"/>
  <c r="T158" i="209"/>
  <c r="U134" i="209"/>
  <c r="I134" i="209"/>
  <c r="I164" i="209" s="1"/>
  <c r="G134" i="209"/>
  <c r="G164" i="209" s="1"/>
  <c r="C5" i="209" s="1"/>
  <c r="E134" i="209"/>
  <c r="E164" i="209" s="1"/>
  <c r="T9" i="209"/>
  <c r="R9" i="209"/>
  <c r="J5" i="209"/>
  <c r="Q21" i="196"/>
  <c r="P21" i="196"/>
  <c r="O21" i="196"/>
  <c r="N21" i="196"/>
  <c r="M21" i="196"/>
  <c r="L21" i="196"/>
  <c r="K21" i="196"/>
  <c r="J21" i="196"/>
  <c r="T20" i="196"/>
  <c r="R20" i="196"/>
  <c r="V20" i="196" s="1"/>
  <c r="U15" i="196"/>
  <c r="I15" i="196"/>
  <c r="G15" i="196"/>
  <c r="E15" i="196"/>
  <c r="T14" i="196"/>
  <c r="R14" i="196"/>
  <c r="V14" i="196" s="1"/>
  <c r="T13" i="196"/>
  <c r="T15" i="196" s="1"/>
  <c r="R13" i="196"/>
  <c r="R15" i="196" s="1"/>
  <c r="U10" i="196"/>
  <c r="I10" i="196"/>
  <c r="I21" i="196" s="1"/>
  <c r="G10" i="196"/>
  <c r="G21" i="196" s="1"/>
  <c r="C5" i="196" s="1"/>
  <c r="E10" i="196"/>
  <c r="E21" i="196" s="1"/>
  <c r="T9" i="196"/>
  <c r="T10" i="196" s="1"/>
  <c r="R9" i="196"/>
  <c r="R10" i="196" s="1"/>
  <c r="J5" i="196"/>
  <c r="N25" i="214" l="1"/>
  <c r="P25" i="214"/>
  <c r="O21" i="214"/>
  <c r="O22" i="214"/>
  <c r="O23" i="214"/>
  <c r="O24" i="214"/>
  <c r="N31" i="214"/>
  <c r="O31" i="214" s="1"/>
  <c r="N18" i="214"/>
  <c r="I6" i="214"/>
  <c r="P18" i="214"/>
  <c r="Q27" i="214"/>
  <c r="Q31" i="214" s="1"/>
  <c r="O10" i="214"/>
  <c r="O11" i="214"/>
  <c r="O12" i="214"/>
  <c r="O13" i="214"/>
  <c r="O14" i="214"/>
  <c r="O15" i="214"/>
  <c r="O16" i="214"/>
  <c r="O17" i="214"/>
  <c r="O9" i="214"/>
  <c r="R9" i="214"/>
  <c r="O30" i="214"/>
  <c r="S152" i="209"/>
  <c r="S154" i="209"/>
  <c r="S153" i="209"/>
  <c r="S151" i="209"/>
  <c r="S148" i="209"/>
  <c r="S144" i="209"/>
  <c r="S142" i="209"/>
  <c r="S141" i="209"/>
  <c r="S138" i="209"/>
  <c r="S157" i="209"/>
  <c r="S156" i="209"/>
  <c r="R158" i="209"/>
  <c r="S155" i="209"/>
  <c r="S150" i="209"/>
  <c r="S149" i="209"/>
  <c r="S147" i="209"/>
  <c r="S146" i="209"/>
  <c r="S145" i="209"/>
  <c r="S143" i="209"/>
  <c r="S140" i="209"/>
  <c r="S139" i="209"/>
  <c r="S137" i="209"/>
  <c r="R164" i="209"/>
  <c r="S164" i="209" s="1"/>
  <c r="S26" i="209"/>
  <c r="S25" i="209"/>
  <c r="R134" i="209"/>
  <c r="T134" i="209"/>
  <c r="T160" i="209" s="1"/>
  <c r="T164" i="209" s="1"/>
  <c r="I6" i="209"/>
  <c r="S10" i="209"/>
  <c r="S11" i="209"/>
  <c r="S12" i="209"/>
  <c r="S13" i="209"/>
  <c r="S14" i="209"/>
  <c r="S15" i="209"/>
  <c r="S16" i="209"/>
  <c r="S17" i="209"/>
  <c r="S18" i="209"/>
  <c r="S19" i="209"/>
  <c r="S20" i="209"/>
  <c r="S21" i="209"/>
  <c r="S22" i="209"/>
  <c r="S23" i="209"/>
  <c r="S24" i="209"/>
  <c r="S27" i="209"/>
  <c r="V49" i="209"/>
  <c r="S49" i="209"/>
  <c r="V50" i="209"/>
  <c r="S50" i="209"/>
  <c r="V51" i="209"/>
  <c r="S51" i="209"/>
  <c r="V52" i="209"/>
  <c r="S52" i="209"/>
  <c r="V53" i="209"/>
  <c r="S53" i="209"/>
  <c r="V54" i="209"/>
  <c r="S54" i="209"/>
  <c r="V55" i="209"/>
  <c r="S55" i="209"/>
  <c r="V56" i="209"/>
  <c r="S56" i="209"/>
  <c r="V57" i="209"/>
  <c r="S57" i="209"/>
  <c r="V58" i="209"/>
  <c r="S58" i="209"/>
  <c r="V59" i="209"/>
  <c r="S59" i="209"/>
  <c r="V60" i="209"/>
  <c r="S60" i="209"/>
  <c r="V61" i="209"/>
  <c r="S61" i="209"/>
  <c r="V62" i="209"/>
  <c r="S62" i="209"/>
  <c r="V63" i="209"/>
  <c r="S63" i="209"/>
  <c r="V64" i="209"/>
  <c r="S64" i="209"/>
  <c r="V65" i="209"/>
  <c r="S65" i="209"/>
  <c r="V66" i="209"/>
  <c r="S66" i="209"/>
  <c r="V67" i="209"/>
  <c r="S67" i="209"/>
  <c r="V68" i="209"/>
  <c r="S68" i="209"/>
  <c r="V69" i="209"/>
  <c r="S69" i="209"/>
  <c r="V70" i="209"/>
  <c r="S70" i="209"/>
  <c r="V71" i="209"/>
  <c r="S71" i="209"/>
  <c r="V72" i="209"/>
  <c r="S72" i="209"/>
  <c r="V73" i="209"/>
  <c r="S73" i="209"/>
  <c r="V74" i="209"/>
  <c r="S74" i="209"/>
  <c r="S28" i="209"/>
  <c r="S29" i="209"/>
  <c r="S30" i="209"/>
  <c r="S31" i="209"/>
  <c r="S32" i="209"/>
  <c r="S33" i="209"/>
  <c r="S34" i="209"/>
  <c r="S35" i="209"/>
  <c r="S36" i="209"/>
  <c r="S37" i="209"/>
  <c r="S38" i="209"/>
  <c r="S39" i="209"/>
  <c r="S40" i="209"/>
  <c r="S41" i="209"/>
  <c r="S42" i="209"/>
  <c r="S43" i="209"/>
  <c r="S44" i="209"/>
  <c r="S45" i="209"/>
  <c r="S46" i="209"/>
  <c r="S47" i="209"/>
  <c r="S48" i="209"/>
  <c r="S75" i="209"/>
  <c r="S76" i="209"/>
  <c r="S77" i="209"/>
  <c r="S78" i="209"/>
  <c r="S79" i="209"/>
  <c r="S80" i="209"/>
  <c r="S81" i="209"/>
  <c r="S82" i="209"/>
  <c r="S83" i="209"/>
  <c r="S84" i="209"/>
  <c r="S85" i="209"/>
  <c r="S86" i="209"/>
  <c r="S87" i="209"/>
  <c r="S88" i="209"/>
  <c r="S89" i="209"/>
  <c r="S90" i="209"/>
  <c r="S91" i="209"/>
  <c r="U160" i="209"/>
  <c r="U164" i="209" s="1"/>
  <c r="V92" i="209"/>
  <c r="S92" i="209"/>
  <c r="V93" i="209"/>
  <c r="S93" i="209"/>
  <c r="V94" i="209"/>
  <c r="S94" i="209"/>
  <c r="V95" i="209"/>
  <c r="S95" i="209"/>
  <c r="V96" i="209"/>
  <c r="S96" i="209"/>
  <c r="V97" i="209"/>
  <c r="S97" i="209"/>
  <c r="V98" i="209"/>
  <c r="S98" i="209"/>
  <c r="V99" i="209"/>
  <c r="S99" i="209"/>
  <c r="V100" i="209"/>
  <c r="S100" i="209"/>
  <c r="V101" i="209"/>
  <c r="S101" i="209"/>
  <c r="V102" i="209"/>
  <c r="S102" i="209"/>
  <c r="V103" i="209"/>
  <c r="S103" i="209"/>
  <c r="V104" i="209"/>
  <c r="S104" i="209"/>
  <c r="V105" i="209"/>
  <c r="S105" i="209"/>
  <c r="S106" i="209"/>
  <c r="S107" i="209"/>
  <c r="S108" i="209"/>
  <c r="S109" i="209"/>
  <c r="S110" i="209"/>
  <c r="S111" i="209"/>
  <c r="S112" i="209"/>
  <c r="S113" i="209"/>
  <c r="S114" i="209"/>
  <c r="S115" i="209"/>
  <c r="S116" i="209"/>
  <c r="S117" i="209"/>
  <c r="S118" i="209"/>
  <c r="S119" i="209"/>
  <c r="S120" i="209"/>
  <c r="S121" i="209"/>
  <c r="S122" i="209"/>
  <c r="S123" i="209"/>
  <c r="S124" i="209"/>
  <c r="S125" i="209"/>
  <c r="S126" i="209"/>
  <c r="S127" i="209"/>
  <c r="S128" i="209"/>
  <c r="S129" i="209"/>
  <c r="S130" i="209"/>
  <c r="S131" i="209"/>
  <c r="S132" i="209"/>
  <c r="S133" i="209"/>
  <c r="S9" i="209"/>
  <c r="V9" i="209"/>
  <c r="S163" i="209"/>
  <c r="R21" i="196"/>
  <c r="S21" i="196" s="1"/>
  <c r="R17" i="196"/>
  <c r="I6" i="196"/>
  <c r="T17" i="196"/>
  <c r="T21" i="196" s="1"/>
  <c r="S13" i="196"/>
  <c r="V13" i="196"/>
  <c r="S14" i="196"/>
  <c r="U17" i="196"/>
  <c r="U21" i="196" s="1"/>
  <c r="S9" i="196"/>
  <c r="V9" i="196"/>
  <c r="S20" i="196"/>
  <c r="N27" i="214" l="1"/>
  <c r="P27" i="214"/>
  <c r="P31" i="214" s="1"/>
  <c r="O25" i="214"/>
  <c r="O18" i="214"/>
  <c r="R160" i="209"/>
  <c r="S158" i="209"/>
  <c r="S134" i="209"/>
  <c r="S15" i="196"/>
  <c r="S10" i="196"/>
  <c r="O27" i="214" l="1"/>
  <c r="S160" i="209"/>
  <c r="S17" i="196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E22" i="8" s="1"/>
  <c r="G11" i="8"/>
  <c r="G22" i="8" s="1"/>
  <c r="C5" i="8" s="1"/>
  <c r="I11" i="8"/>
  <c r="O11" i="8"/>
  <c r="L14" i="8"/>
  <c r="M14" i="8" s="1"/>
  <c r="N14" i="8"/>
  <c r="E16" i="8"/>
  <c r="G16" i="8"/>
  <c r="I16" i="8"/>
  <c r="N16" i="8"/>
  <c r="O16" i="8"/>
  <c r="O18" i="8" s="1"/>
  <c r="O22" i="8" s="1"/>
  <c r="L21" i="8"/>
  <c r="M21" i="8" s="1"/>
  <c r="N21" i="8"/>
  <c r="P21" i="8"/>
  <c r="I22" i="8"/>
  <c r="I6" i="8" s="1"/>
  <c r="J22" i="8"/>
  <c r="K22" i="8"/>
  <c r="L22" i="8" l="1"/>
  <c r="M22" i="8" s="1"/>
  <c r="M15" i="8"/>
  <c r="M16" i="8" s="1"/>
  <c r="L16" i="8"/>
  <c r="L18" i="8" s="1"/>
  <c r="P14" i="8"/>
  <c r="N11" i="8"/>
  <c r="N18" i="8" s="1"/>
  <c r="N22" i="8" s="1"/>
  <c r="L11" i="8"/>
  <c r="P10" i="8"/>
  <c r="M11" i="8"/>
  <c r="M18" i="8" l="1"/>
</calcChain>
</file>

<file path=xl/sharedStrings.xml><?xml version="1.0" encoding="utf-8"?>
<sst xmlns="http://schemas.openxmlformats.org/spreadsheetml/2006/main" count="464" uniqueCount="124">
  <si>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</si>
  <si>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</si>
  <si>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</si>
  <si>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</si>
  <si>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</si>
  <si>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xx％</t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</si>
  <si>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</si>
  <si>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</si>
  <si>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</si>
  <si>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</si>
  <si>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</si>
  <si>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</si>
  <si>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</si>
  <si>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</si>
  <si>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</si>
  <si>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</si>
  <si>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</si>
  <si>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</si>
  <si>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</si>
  <si>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【諸経費】</t>
    <rPh sb="1" eb="4">
      <t>ショケイヒ</t>
    </rPh>
    <phoneticPr fontId="4"/>
  </si>
  <si>
    <t>経費</t>
    <phoneticPr fontId="4"/>
  </si>
  <si>
    <t>合計</t>
    <rPh sb="0" eb="2">
      <t>ゴウケイ</t>
    </rPh>
    <phoneticPr fontId="4"/>
  </si>
  <si>
    <t>課題</t>
    <rPh sb="0" eb="2">
      <t>カダイ</t>
    </rPh>
    <phoneticPr fontId="4"/>
  </si>
  <si>
    <t>既存の清算書出力には、支払日付・元積金額・実行予算額、発注番号がない</t>
  </si>
  <si>
    <t>実行予算に仕入先が入っていなことが多い</t>
    <phoneticPr fontId="4"/>
  </si>
  <si>
    <t>Zだけ大・中項目で終わり</t>
    <rPh sb="3" eb="4">
      <t>オオ</t>
    </rPh>
    <rPh sb="5" eb="6">
      <t>チュウ</t>
    </rPh>
    <rPh sb="6" eb="8">
      <t>コウモク</t>
    </rPh>
    <rPh sb="9" eb="10">
      <t>オ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</si>
  <si>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</si>
  <si>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</si>
  <si>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</si>
  <si>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</si>
  <si>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</si>
  <si>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</si>
  <si>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</si>
  <si>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</si>
  <si>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</si>
  <si>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</si>
  <si>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清算書対応　テストデータ</t>
  </si>
  <si>
    <t>YO00000001-001</t>
  </si>
  <si>
    <t>共通仮設工事</t>
  </si>
  <si>
    <t>株式会社コンサルタント協同</t>
  </si>
  <si>
    <t>A300</t>
  </si>
  <si>
    <t>A301</t>
  </si>
  <si>
    <t>株式会社コア・プライム</t>
  </si>
  <si>
    <t>Q900</t>
  </si>
  <si>
    <t>Q901</t>
  </si>
  <si>
    <t>R100</t>
  </si>
  <si>
    <t>総合建設ニッショー</t>
  </si>
  <si>
    <t>R101</t>
  </si>
  <si>
    <t>11月</t>
  </si>
  <si>
    <t>Y工事02</t>
  </si>
  <si>
    <t>Y工事01</t>
  </si>
  <si>
    <t>建築工事</t>
  </si>
  <si>
    <t>設備工事</t>
  </si>
  <si>
    <t>「精算書（支払台帳）ボタンをクリックして、読み込むCSVファイルを選択してください」</t>
  </si>
  <si>
    <t>12月</t>
    <phoneticPr fontId="2"/>
  </si>
  <si>
    <t>11月</t>
    <phoneticPr fontId="2"/>
  </si>
  <si>
    <t>足場架設工事</t>
  </si>
  <si>
    <t>08月</t>
    <phoneticPr fontId="2"/>
  </si>
  <si>
    <t>ダイアパレス京成臼井大規模改修工事</t>
  </si>
  <si>
    <t>9000730288-001</t>
  </si>
  <si>
    <t>株式会社アライ（東京）</t>
  </si>
  <si>
    <t>A100</t>
  </si>
  <si>
    <t>A400</t>
  </si>
  <si>
    <t>三栄機材株式会社</t>
  </si>
  <si>
    <t>A200</t>
  </si>
  <si>
    <t>A401</t>
  </si>
  <si>
    <t>A500</t>
  </si>
  <si>
    <t>A600</t>
  </si>
  <si>
    <t>株式会社健和</t>
  </si>
  <si>
    <t>B100</t>
  </si>
  <si>
    <t>B101</t>
  </si>
  <si>
    <t>B800</t>
  </si>
  <si>
    <t>B801</t>
  </si>
  <si>
    <t>シーリング工事</t>
  </si>
  <si>
    <t>C100</t>
  </si>
  <si>
    <t>C101</t>
  </si>
  <si>
    <t>躯体補修工事</t>
  </si>
  <si>
    <t>D100</t>
  </si>
  <si>
    <t>D200</t>
  </si>
  <si>
    <t>D300</t>
  </si>
  <si>
    <t>D101</t>
  </si>
  <si>
    <t>D201</t>
  </si>
  <si>
    <t>D301</t>
  </si>
  <si>
    <t>外壁塗装工事</t>
  </si>
  <si>
    <t>E100</t>
  </si>
  <si>
    <t>E101</t>
  </si>
  <si>
    <t>鉄部塗装工事</t>
  </si>
  <si>
    <t>F200</t>
  </si>
  <si>
    <t>F201</t>
  </si>
  <si>
    <t>屋上防水工事</t>
  </si>
  <si>
    <t>H100</t>
  </si>
  <si>
    <t>H200</t>
  </si>
  <si>
    <t>H101</t>
  </si>
  <si>
    <t>H201</t>
  </si>
  <si>
    <t>ルーフバルコニー防水工事</t>
  </si>
  <si>
    <t>I100</t>
  </si>
  <si>
    <t>I101</t>
  </si>
  <si>
    <t>バルコニー防水工事</t>
  </si>
  <si>
    <t>J100</t>
  </si>
  <si>
    <t>J400</t>
  </si>
  <si>
    <t>J101</t>
  </si>
  <si>
    <t>J401</t>
  </si>
  <si>
    <t>廊下･階段防水工事</t>
  </si>
  <si>
    <t>K100</t>
  </si>
  <si>
    <t>K101</t>
  </si>
  <si>
    <t>K400</t>
  </si>
  <si>
    <t>K401</t>
  </si>
  <si>
    <t>その他防水工事</t>
  </si>
  <si>
    <t>P100</t>
  </si>
  <si>
    <t>P101</t>
  </si>
  <si>
    <t>Q800</t>
  </si>
  <si>
    <t>Q801</t>
  </si>
  <si>
    <t>クリーニング工事</t>
  </si>
  <si>
    <t>S100</t>
  </si>
  <si>
    <t>S101</t>
  </si>
  <si>
    <t>経費</t>
  </si>
  <si>
    <t>01月</t>
  </si>
  <si>
    <t>02月</t>
    <phoneticPr fontId="2"/>
  </si>
  <si>
    <t>03月</t>
    <phoneticPr fontId="2"/>
  </si>
  <si>
    <t>04月</t>
    <phoneticPr fontId="2"/>
  </si>
  <si>
    <t>05月</t>
    <phoneticPr fontId="2"/>
  </si>
  <si>
    <t>06月</t>
    <phoneticPr fontId="2"/>
  </si>
  <si>
    <t>07月</t>
    <phoneticPr fontId="2"/>
  </si>
  <si>
    <t>01月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</si>
</sst>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  <numFmt numFmtId="181" formatCode="\\#,##0"/>
    <numFmt numFmtId="182" formatCode="yyyy/mm/dd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0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medium">
        <color rgb="FFFF0000"/>
      </top>
      <bottom/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rgb="FFFF0000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rgb="FFFF0000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rgb="FFFF0000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medium">
        <color rgb="FFFF0000"/>
      </bottom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rgb="FFFF0000"/>
      </right>
      <top style="thin">
        <color indexed="64"/>
      </top>
      <bottom style="hair">
        <color indexed="64"/>
      </bottom>
      <diagonal/>
    </border>
    <border>
      <left/>
      <right style="medium">
        <color rgb="FFFF0000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rgb="FFFF0000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rgb="FFFF0000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 style="double">
        <color indexed="64"/>
      </bottom>
      <diagonal/>
    </border>
    <border>
      <left style="medium">
        <color rgb="FFFF0000"/>
      </left>
      <right style="thin">
        <color indexed="64"/>
      </right>
      <top/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rgb="FFFF0000"/>
      </right>
      <top style="double">
        <color indexed="64"/>
      </top>
      <bottom/>
      <diagonal style="thin">
        <color indexed="64"/>
      </diagonal>
    </border>
    <border>
      <left style="medium">
        <color rgb="FFFF0000"/>
      </left>
      <right style="thin">
        <color indexed="64"/>
      </right>
      <top style="double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thick">
        <color indexed="64"/>
      </right>
      <top style="medium">
        <color rgb="FFFF0000"/>
      </top>
      <bottom style="medium">
        <color rgb="FFFF0000"/>
      </bottom>
      <diagonal/>
    </border>
    <border>
      <left style="thick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ck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ck">
        <color indexed="64"/>
      </left>
      <right style="thick">
        <color indexed="64"/>
      </right>
      <top style="medium">
        <color rgb="FFFF0000"/>
      </top>
      <bottom style="medium">
        <color rgb="FFFF0000"/>
      </bottom>
      <diagonal/>
    </border>
    <border>
      <left style="thick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FF0000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rgb="FFFF0000"/>
      </left>
      <right style="thick">
        <color indexed="64"/>
      </right>
      <top style="thin">
        <color theme="1"/>
      </top>
      <bottom/>
      <diagonal/>
    </border>
    <border>
      <left style="medium">
        <color rgb="FFFF0000"/>
      </left>
      <right style="thick">
        <color indexed="64"/>
      </right>
      <top/>
      <bottom style="thin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theme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theme="1"/>
      </top>
      <bottom/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rgb="FFFF0000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FF0000"/>
      </left>
      <right/>
      <top style="double">
        <color indexed="64"/>
      </top>
      <bottom/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hair">
        <color indexed="64"/>
      </bottom>
      <diagonal/>
    </border>
    <border>
      <left/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medium">
        <color rgb="FFFF0000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rgb="FFFF0000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rgb="FFFF0000"/>
      </left>
      <right style="medium">
        <color rgb="FFFF0000"/>
      </right>
      <top style="dotted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/>
      <right style="medium">
        <color rgb="FFFF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rgb="FFFF0000"/>
      </right>
      <top style="dotted">
        <color indexed="64"/>
      </top>
      <bottom style="hair">
        <color indexed="64"/>
      </bottom>
      <diagonal/>
    </border>
    <border>
      <left/>
      <right style="medium">
        <color rgb="FFFF0000"/>
      </right>
      <top style="dotted">
        <color indexed="64"/>
      </top>
      <bottom/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ck">
        <color indexed="64"/>
      </right>
      <top/>
      <bottom style="thin">
        <color indexed="64"/>
      </bottom>
      <diagonal/>
    </border>
    <border>
      <left style="medium">
        <color rgb="FFFF0000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 style="medium">
        <color rgb="FFFF0000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rgb="FFFF0000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rgb="FFFF0000"/>
      </left>
      <right style="medium">
        <color rgb="FFFF0000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rgb="FFFF0000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theme="1"/>
      </top>
      <bottom style="double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FF0000"/>
      </left>
      <right style="thick">
        <color indexed="64"/>
      </right>
      <top/>
      <bottom/>
      <diagonal/>
    </border>
    <border>
      <left/>
      <right/>
      <top/>
      <bottom style="medium">
        <color rgb="FFFF0000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 style="thin">
        <color indexed="64"/>
      </right>
      <top style="dotted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387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32" xfId="0" applyNumberFormat="1" applyFont="1" applyFill="1" applyBorder="1" applyAlignment="1" applyProtection="1">
      <alignment vertical="center" shrinkToFit="1"/>
      <protection locked="0"/>
    </xf>
    <xf numFmtId="5" fontId="5" fillId="0" borderId="40" xfId="0" applyNumberFormat="1" applyFont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5" fillId="0" borderId="44" xfId="0" applyFont="1" applyBorder="1" applyAlignment="1" applyProtection="1">
      <alignment horizontal="center" vertical="center" shrinkToFit="1"/>
      <protection locked="0"/>
    </xf>
    <xf numFmtId="179" fontId="14" fillId="0" borderId="47" xfId="0" applyNumberFormat="1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5" fillId="0" borderId="49" xfId="0" applyNumberFormat="1" applyFont="1" applyBorder="1" applyAlignment="1" applyProtection="1">
      <alignment vertical="center" shrinkToFit="1"/>
      <protection locked="0"/>
    </xf>
    <xf numFmtId="179" fontId="5" fillId="2" borderId="50" xfId="0" applyNumberFormat="1" applyFont="1" applyFill="1" applyBorder="1" applyAlignment="1" applyProtection="1">
      <alignment vertical="center" shrinkToFit="1"/>
      <protection locked="0"/>
    </xf>
    <xf numFmtId="6" fontId="15" fillId="2" borderId="49" xfId="0" applyNumberFormat="1" applyFont="1" applyFill="1" applyBorder="1" applyAlignment="1">
      <alignment vertical="center" shrinkToFit="1"/>
    </xf>
    <xf numFmtId="6" fontId="15" fillId="2" borderId="51" xfId="0" applyNumberFormat="1" applyFont="1" applyFill="1" applyBorder="1" applyAlignment="1">
      <alignment horizontal="center" vertical="center" shrinkToFit="1"/>
    </xf>
    <xf numFmtId="38" fontId="5" fillId="2" borderId="48" xfId="1" applyFont="1" applyFill="1" applyBorder="1" applyAlignment="1">
      <alignment vertical="center" shrinkToFit="1"/>
    </xf>
    <xf numFmtId="0" fontId="6" fillId="0" borderId="52" xfId="0" applyFont="1" applyBorder="1" applyAlignment="1">
      <alignment vertical="center" shrinkToFit="1"/>
    </xf>
    <xf numFmtId="179" fontId="5" fillId="0" borderId="22" xfId="0" applyNumberFormat="1" applyFont="1" applyBorder="1" applyAlignment="1" applyProtection="1">
      <alignment vertical="center" shrinkToFit="1"/>
      <protection locked="0"/>
    </xf>
    <xf numFmtId="178" fontId="15" fillId="0" borderId="53" xfId="0" applyNumberFormat="1" applyFont="1" applyBorder="1" applyAlignment="1">
      <alignment horizontal="center" vertical="center" shrinkToFit="1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2" borderId="59" xfId="0" applyNumberFormat="1" applyFont="1" applyFill="1" applyBorder="1" applyAlignment="1" applyProtection="1">
      <alignment horizontal="center" vertical="center" shrinkToFit="1"/>
      <protection locked="0"/>
    </xf>
    <xf numFmtId="179" fontId="5" fillId="0" borderId="60" xfId="0" applyNumberFormat="1" applyFont="1" applyBorder="1" applyAlignment="1" applyProtection="1">
      <alignment vertical="center" shrinkToFit="1"/>
      <protection locked="0"/>
    </xf>
    <xf numFmtId="179" fontId="5" fillId="0" borderId="61" xfId="0" applyNumberFormat="1" applyFont="1" applyBorder="1" applyAlignment="1" applyProtection="1">
      <alignment vertical="center" shrinkToFit="1"/>
      <protection locked="0"/>
    </xf>
    <xf numFmtId="179" fontId="5" fillId="2" borderId="35" xfId="0" applyNumberFormat="1" applyFont="1" applyFill="1" applyBorder="1" applyAlignment="1" applyProtection="1">
      <alignment vertical="center" shrinkToFit="1"/>
      <protection locked="0"/>
    </xf>
    <xf numFmtId="179" fontId="5" fillId="2" borderId="36" xfId="0" applyNumberFormat="1" applyFont="1" applyFill="1" applyBorder="1" applyAlignment="1" applyProtection="1">
      <alignment vertical="center" shrinkToFit="1"/>
      <protection locked="0"/>
    </xf>
    <xf numFmtId="178" fontId="15" fillId="2" borderId="62" xfId="0" applyNumberFormat="1" applyFont="1" applyFill="1" applyBorder="1" applyAlignment="1">
      <alignment horizontal="center" vertical="center" shrinkToFit="1"/>
    </xf>
    <xf numFmtId="6" fontId="15" fillId="2" borderId="60" xfId="0" applyNumberFormat="1" applyFont="1" applyFill="1" applyBorder="1" applyAlignment="1">
      <alignment horizontal="center" vertical="center" shrinkToFit="1"/>
    </xf>
    <xf numFmtId="0" fontId="5" fillId="0" borderId="66" xfId="0" applyFont="1" applyBorder="1" applyAlignment="1" applyProtection="1">
      <alignment horizontal="center" vertical="center" shrinkToFit="1"/>
      <protection locked="0"/>
    </xf>
    <xf numFmtId="5" fontId="14" fillId="0" borderId="67" xfId="0" applyNumberFormat="1" applyFont="1" applyBorder="1" applyAlignment="1" applyProtection="1">
      <alignment horizontal="center" vertical="center" shrinkToFit="1"/>
      <protection locked="0"/>
    </xf>
    <xf numFmtId="5" fontId="14" fillId="0" borderId="30" xfId="0" applyNumberFormat="1" applyFont="1" applyBorder="1" applyAlignment="1" applyProtection="1">
      <alignment horizontal="center" vertical="center" shrinkToFit="1"/>
      <protection locked="0"/>
    </xf>
    <xf numFmtId="179" fontId="14" fillId="0" borderId="67" xfId="0" applyNumberFormat="1" applyFont="1" applyBorder="1" applyAlignment="1" applyProtection="1">
      <alignment horizontal="center" vertical="center" shrinkToFit="1"/>
      <protection locked="0"/>
    </xf>
    <xf numFmtId="179" fontId="16" fillId="0" borderId="67" xfId="0" applyNumberFormat="1" applyFont="1" applyBorder="1" applyAlignment="1" applyProtection="1">
      <alignment vertical="center" shrinkToFit="1"/>
      <protection locked="0"/>
    </xf>
    <xf numFmtId="6" fontId="16" fillId="0" borderId="67" xfId="0" applyNumberFormat="1" applyFont="1" applyBorder="1" applyAlignment="1">
      <alignment vertical="center" shrinkToFit="1"/>
    </xf>
    <xf numFmtId="6" fontId="16" fillId="0" borderId="67" xfId="0" applyNumberFormat="1" applyFont="1" applyBorder="1" applyAlignment="1">
      <alignment horizontal="center" vertical="center" shrinkToFit="1"/>
    </xf>
    <xf numFmtId="6" fontId="16" fillId="0" borderId="68" xfId="0" applyNumberFormat="1" applyFont="1" applyBorder="1" applyAlignment="1">
      <alignment horizontal="center" vertical="center" shrinkToFit="1"/>
    </xf>
    <xf numFmtId="0" fontId="5" fillId="0" borderId="71" xfId="0" applyFont="1" applyBorder="1" applyAlignment="1" applyProtection="1">
      <alignment horizontal="center" vertical="center" shrinkToFit="1"/>
      <protection locked="0"/>
    </xf>
    <xf numFmtId="179" fontId="5" fillId="0" borderId="74" xfId="0" applyNumberFormat="1" applyFont="1" applyBorder="1" applyAlignment="1" applyProtection="1">
      <alignment vertical="center" shrinkToFit="1"/>
      <protection locked="0"/>
    </xf>
    <xf numFmtId="6" fontId="5" fillId="2" borderId="75" xfId="0" applyNumberFormat="1" applyFont="1" applyFill="1" applyBorder="1" applyAlignment="1">
      <alignment vertical="center" shrinkToFit="1"/>
    </xf>
    <xf numFmtId="6" fontId="5" fillId="2" borderId="76" xfId="0" applyNumberFormat="1" applyFont="1" applyFill="1" applyBorder="1" applyAlignment="1">
      <alignment vertical="center" shrinkToFit="1"/>
    </xf>
    <xf numFmtId="0" fontId="5" fillId="0" borderId="78" xfId="0" applyFont="1" applyBorder="1" applyAlignment="1" applyProtection="1">
      <alignment horizontal="center" vertical="center" shrinkToFit="1"/>
      <protection locked="0"/>
    </xf>
    <xf numFmtId="0" fontId="14" fillId="0" borderId="80" xfId="0" applyFont="1" applyBorder="1" applyAlignment="1" applyProtection="1">
      <alignment horizontal="center" vertical="center" shrinkToFit="1"/>
      <protection locked="0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61" xfId="0" applyNumberFormat="1" applyFont="1" applyBorder="1" applyAlignment="1">
      <alignment vertical="center" shrinkToFit="1"/>
    </xf>
    <xf numFmtId="179" fontId="14" fillId="2" borderId="35" xfId="0" applyNumberFormat="1" applyFont="1" applyFill="1" applyBorder="1" applyAlignment="1">
      <alignment vertical="center" shrinkToFit="1"/>
    </xf>
    <xf numFmtId="6" fontId="14" fillId="2" borderId="35" xfId="0" applyNumberFormat="1" applyFont="1" applyFill="1" applyBorder="1" applyAlignment="1">
      <alignment vertical="center" shrinkToFit="1"/>
    </xf>
    <xf numFmtId="6" fontId="14" fillId="2" borderId="35" xfId="0" applyNumberFormat="1" applyFont="1" applyFill="1" applyBorder="1" applyAlignment="1">
      <alignment horizontal="center" vertical="center" shrinkToFit="1"/>
    </xf>
    <xf numFmtId="178" fontId="14" fillId="2" borderId="35" xfId="0" applyNumberFormat="1" applyFont="1" applyFill="1" applyBorder="1" applyAlignment="1">
      <alignment horizontal="center" vertical="center" shrinkToFit="1"/>
    </xf>
    <xf numFmtId="6" fontId="14" fillId="2" borderId="81" xfId="0" applyNumberFormat="1" applyFont="1" applyFill="1" applyBorder="1" applyAlignment="1">
      <alignment horizontal="center" vertical="center" shrinkToFit="1"/>
    </xf>
    <xf numFmtId="0" fontId="5" fillId="0" borderId="82" xfId="0" applyFont="1" applyBorder="1" applyAlignment="1" applyProtection="1">
      <alignment horizontal="center" vertical="center" shrinkToFit="1"/>
      <protection locked="0"/>
    </xf>
    <xf numFmtId="0" fontId="10" fillId="0" borderId="83" xfId="0" applyFont="1" applyBorder="1" applyAlignment="1" applyProtection="1">
      <alignment horizontal="center" vertical="center" shrinkToFit="1"/>
      <protection locked="0"/>
    </xf>
    <xf numFmtId="179" fontId="5" fillId="0" borderId="83" xfId="0" applyNumberFormat="1" applyFont="1" applyBorder="1" applyAlignment="1" applyProtection="1">
      <alignment vertical="center" shrinkToFit="1"/>
      <protection locked="0"/>
    </xf>
    <xf numFmtId="179" fontId="18" fillId="0" borderId="83" xfId="0" applyNumberFormat="1" applyFont="1" applyBorder="1" applyAlignment="1" applyProtection="1">
      <alignment vertical="center" shrinkToFit="1"/>
      <protection locked="0"/>
    </xf>
    <xf numFmtId="6" fontId="15" fillId="0" borderId="83" xfId="0" applyNumberFormat="1" applyFont="1" applyBorder="1" applyAlignment="1" applyProtection="1">
      <alignment vertical="center" shrinkToFit="1"/>
      <protection locked="0"/>
    </xf>
    <xf numFmtId="6" fontId="15" fillId="0" borderId="83" xfId="0" applyNumberFormat="1" applyFont="1" applyBorder="1" applyAlignment="1" applyProtection="1">
      <alignment horizontal="center" vertical="center" shrinkToFit="1"/>
      <protection locked="0"/>
    </xf>
    <xf numFmtId="178" fontId="15" fillId="0" borderId="83" xfId="0" applyNumberFormat="1" applyFont="1" applyBorder="1" applyAlignment="1" applyProtection="1">
      <alignment horizontal="center" vertical="center" shrinkToFit="1"/>
      <protection locked="0"/>
    </xf>
    <xf numFmtId="6" fontId="15" fillId="2" borderId="84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85" xfId="0" applyFont="1" applyBorder="1" applyAlignment="1" applyProtection="1">
      <alignment horizontal="center" vertical="center" shrinkToFit="1"/>
      <protection locked="0"/>
    </xf>
    <xf numFmtId="0" fontId="10" fillId="0" borderId="22" xfId="0" applyFont="1" applyBorder="1" applyAlignment="1" applyProtection="1">
      <alignment horizontal="center" vertical="center" shrinkToFit="1"/>
      <protection locked="0"/>
    </xf>
    <xf numFmtId="179" fontId="5" fillId="0" borderId="88" xfId="0" applyNumberFormat="1" applyFont="1" applyBorder="1" applyAlignment="1" applyProtection="1">
      <alignment vertical="center" shrinkToFit="1"/>
      <protection locked="0"/>
    </xf>
    <xf numFmtId="179" fontId="5" fillId="2" borderId="83" xfId="0" applyNumberFormat="1" applyFont="1" applyFill="1" applyBorder="1" applyAlignment="1" applyProtection="1">
      <alignment vertical="center" shrinkToFit="1"/>
      <protection locked="0"/>
    </xf>
    <xf numFmtId="6" fontId="15" fillId="2" borderId="83" xfId="0" applyNumberFormat="1" applyFont="1" applyFill="1" applyBorder="1" applyAlignment="1" applyProtection="1">
      <alignment vertical="center" shrinkToFit="1"/>
      <protection locked="0"/>
    </xf>
    <xf numFmtId="6" fontId="15" fillId="2" borderId="22" xfId="0" applyNumberFormat="1" applyFont="1" applyFill="1" applyBorder="1" applyAlignment="1">
      <alignment horizontal="center" vertical="center" shrinkToFit="1"/>
    </xf>
    <xf numFmtId="178" fontId="15" fillId="2" borderId="22" xfId="0" applyNumberFormat="1" applyFont="1" applyFill="1" applyBorder="1" applyAlignment="1">
      <alignment horizontal="center" vertical="center" shrinkToFit="1"/>
    </xf>
    <xf numFmtId="6" fontId="15" fillId="2" borderId="89" xfId="0" applyNumberFormat="1" applyFont="1" applyFill="1" applyBorder="1" applyAlignment="1">
      <alignment horizontal="center" vertical="center" shrinkToFit="1"/>
    </xf>
    <xf numFmtId="0" fontId="5" fillId="0" borderId="90" xfId="0" applyFont="1" applyBorder="1" applyAlignment="1" applyProtection="1">
      <alignment horizontal="center" vertical="center" shrinkToFit="1"/>
      <protection locked="0"/>
    </xf>
    <xf numFmtId="0" fontId="10" fillId="0" borderId="91" xfId="0" applyFont="1" applyBorder="1" applyAlignment="1" applyProtection="1">
      <alignment horizontal="center" vertical="center" shrinkToFit="1"/>
      <protection locked="0"/>
    </xf>
    <xf numFmtId="179" fontId="5" fillId="0" borderId="91" xfId="0" applyNumberFormat="1" applyFont="1" applyBorder="1" applyAlignment="1" applyProtection="1">
      <alignment vertical="center" shrinkToFit="1"/>
      <protection locked="0"/>
    </xf>
    <xf numFmtId="179" fontId="18" fillId="0" borderId="91" xfId="0" applyNumberFormat="1" applyFont="1" applyBorder="1" applyAlignment="1" applyProtection="1">
      <alignment vertical="center" shrinkToFit="1"/>
      <protection locked="0"/>
    </xf>
    <xf numFmtId="6" fontId="15" fillId="0" borderId="91" xfId="0" applyNumberFormat="1" applyFont="1" applyBorder="1" applyAlignment="1" applyProtection="1">
      <alignment vertical="center" shrinkToFit="1"/>
      <protection locked="0"/>
    </xf>
    <xf numFmtId="6" fontId="15" fillId="0" borderId="91" xfId="0" applyNumberFormat="1" applyFont="1" applyBorder="1" applyAlignment="1" applyProtection="1">
      <alignment horizontal="center" vertical="center" shrinkToFit="1"/>
      <protection locked="0"/>
    </xf>
    <xf numFmtId="178" fontId="15" fillId="0" borderId="91" xfId="0" applyNumberFormat="1" applyFont="1" applyBorder="1" applyAlignment="1" applyProtection="1">
      <alignment horizontal="center" vertical="center" shrinkToFit="1"/>
      <protection locked="0"/>
    </xf>
    <xf numFmtId="6" fontId="15" fillId="0" borderId="92" xfId="0" applyNumberFormat="1" applyFont="1" applyBorder="1" applyAlignment="1" applyProtection="1">
      <alignment horizontal="center" vertical="center" shrinkToFit="1"/>
      <protection locked="0"/>
    </xf>
    <xf numFmtId="0" fontId="5" fillId="0" borderId="22" xfId="0" applyFont="1" applyBorder="1" applyAlignment="1" applyProtection="1">
      <alignment horizontal="center" vertical="center" shrinkToFit="1"/>
      <protection locked="0"/>
    </xf>
    <xf numFmtId="179" fontId="18" fillId="0" borderId="22" xfId="0" applyNumberFormat="1" applyFont="1" applyBorder="1" applyAlignment="1" applyProtection="1">
      <alignment vertical="center" shrinkToFit="1"/>
      <protection locked="0"/>
    </xf>
    <xf numFmtId="6" fontId="15" fillId="0" borderId="22" xfId="0" applyNumberFormat="1" applyFont="1" applyBorder="1" applyAlignment="1" applyProtection="1">
      <alignment vertical="center" shrinkToFit="1"/>
      <protection locked="0"/>
    </xf>
    <xf numFmtId="6" fontId="15" fillId="0" borderId="22" xfId="0" applyNumberFormat="1" applyFont="1" applyBorder="1" applyAlignment="1" applyProtection="1">
      <alignment horizontal="center" vertical="center" shrinkToFit="1"/>
      <protection locked="0"/>
    </xf>
    <xf numFmtId="178" fontId="15" fillId="0" borderId="22" xfId="0" applyNumberFormat="1" applyFont="1" applyBorder="1" applyAlignment="1" applyProtection="1">
      <alignment horizontal="center" vertical="center" shrinkToFit="1"/>
      <protection locked="0"/>
    </xf>
    <xf numFmtId="0" fontId="8" fillId="0" borderId="93" xfId="0" applyFont="1" applyBorder="1" applyAlignment="1" applyProtection="1">
      <alignment horizontal="center" vertical="center" shrinkToFit="1"/>
      <protection locked="0"/>
    </xf>
    <xf numFmtId="5" fontId="5" fillId="0" borderId="96" xfId="0" applyNumberFormat="1" applyFont="1" applyBorder="1" applyAlignment="1">
      <alignment horizontal="center" vertical="center" shrinkToFit="1"/>
    </xf>
    <xf numFmtId="179" fontId="5" fillId="0" borderId="99" xfId="0" applyNumberFormat="1" applyFont="1" applyBorder="1" applyAlignment="1" applyProtection="1">
      <alignment horizontal="center" vertical="center" shrinkToFit="1"/>
      <protection locked="0"/>
    </xf>
    <xf numFmtId="179" fontId="5" fillId="0" borderId="99" xfId="0" applyNumberFormat="1" applyFont="1" applyBorder="1" applyAlignment="1" applyProtection="1">
      <alignment vertical="center" shrinkToFit="1"/>
      <protection locked="0"/>
    </xf>
    <xf numFmtId="179" fontId="5" fillId="2" borderId="100" xfId="0" applyNumberFormat="1" applyFont="1" applyFill="1" applyBorder="1" applyAlignment="1" applyProtection="1">
      <alignment vertical="center" shrinkToFit="1"/>
      <protection locked="0"/>
    </xf>
    <xf numFmtId="6" fontId="15" fillId="2" borderId="99" xfId="0" applyNumberFormat="1" applyFont="1" applyFill="1" applyBorder="1" applyAlignment="1">
      <alignment vertical="center" shrinkToFit="1"/>
    </xf>
    <xf numFmtId="6" fontId="15" fillId="2" borderId="94" xfId="0" applyNumberFormat="1" applyFont="1" applyFill="1" applyBorder="1" applyAlignment="1">
      <alignment horizontal="center" vertical="center" shrinkToFit="1"/>
    </xf>
    <xf numFmtId="178" fontId="15" fillId="0" borderId="101" xfId="0" applyNumberFormat="1" applyFont="1" applyBorder="1" applyAlignment="1">
      <alignment horizontal="center" vertical="center" shrinkToFit="1"/>
    </xf>
    <xf numFmtId="6" fontId="5" fillId="2" borderId="102" xfId="0" applyNumberFormat="1" applyFont="1" applyFill="1" applyBorder="1" applyAlignment="1">
      <alignment vertical="center" shrinkToFit="1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0" fontId="5" fillId="0" borderId="103" xfId="0" applyFont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105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5" fillId="0" borderId="42" xfId="0" applyFont="1" applyBorder="1" applyAlignment="1" applyProtection="1">
      <alignment horizontal="center" vertical="center" shrinkToFit="1"/>
      <protection locked="0"/>
    </xf>
    <xf numFmtId="0" fontId="5" fillId="0" borderId="63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0" fontId="5" fillId="0" borderId="72" xfId="0" applyFont="1" applyBorder="1" applyAlignment="1" applyProtection="1">
      <alignment horizontal="center" vertical="center" shrinkToFit="1"/>
      <protection locked="0"/>
    </xf>
    <xf numFmtId="0" fontId="5" fillId="0" borderId="79" xfId="0" applyFont="1" applyBorder="1" applyAlignment="1" applyProtection="1">
      <alignment horizontal="center" vertical="center" shrinkToFit="1"/>
      <protection locked="0"/>
    </xf>
    <xf numFmtId="178" fontId="7" fillId="3" borderId="108" xfId="0" applyNumberFormat="1" applyFont="1" applyFill="1" applyBorder="1" applyAlignment="1" applyProtection="1">
      <alignment vertical="center" shrinkToFit="1"/>
      <protection locked="0"/>
    </xf>
    <xf numFmtId="5" fontId="5" fillId="0" borderId="106" xfId="0" applyNumberFormat="1" applyFont="1" applyBorder="1" applyAlignment="1" applyProtection="1">
      <alignment horizontal="center" vertical="center" shrinkToFit="1"/>
      <protection locked="0"/>
    </xf>
    <xf numFmtId="178" fontId="7" fillId="3" borderId="109" xfId="0" applyNumberFormat="1" applyFont="1" applyFill="1" applyBorder="1" applyAlignment="1" applyProtection="1">
      <alignment vertical="center" shrinkToFit="1"/>
      <protection locked="0"/>
    </xf>
    <xf numFmtId="0" fontId="5" fillId="0" borderId="110" xfId="0" applyFont="1" applyBorder="1" applyAlignment="1" applyProtection="1">
      <alignment horizontal="center" vertical="center" wrapText="1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20" fillId="0" borderId="0" xfId="0" applyFont="1"/>
    <xf numFmtId="178" fontId="15" fillId="0" borderId="118" xfId="0" applyNumberFormat="1" applyFont="1" applyBorder="1" applyAlignment="1">
      <alignment horizontal="center" vertical="center" shrinkToFit="1"/>
    </xf>
    <xf numFmtId="178" fontId="5" fillId="0" borderId="22" xfId="0" applyNumberFormat="1" applyFont="1" applyBorder="1" applyAlignment="1">
      <alignment horizontal="center" vertical="center" shrinkToFit="1"/>
    </xf>
    <xf numFmtId="178" fontId="5" fillId="0" borderId="49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181" fontId="5" fillId="0" borderId="99" xfId="0" applyNumberFormat="1" applyFont="1" applyBorder="1" applyAlignment="1" applyProtection="1">
      <alignment vertical="center" shrinkToFit="1"/>
      <protection locked="0"/>
    </xf>
    <xf numFmtId="181" fontId="5" fillId="0" borderId="8" xfId="0" applyNumberFormat="1" applyFont="1" applyBorder="1" applyAlignment="1" applyProtection="1">
      <alignment vertical="center" shrinkToFit="1"/>
      <protection locked="0"/>
    </xf>
    <xf numFmtId="179" fontId="5" fillId="2" borderId="120" xfId="0" applyNumberFormat="1" applyFont="1" applyFill="1" applyBorder="1" applyAlignment="1" applyProtection="1">
      <alignment vertical="center" shrinkToFit="1"/>
      <protection locked="0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15" fillId="0" borderId="121" xfId="0" applyNumberFormat="1" applyFont="1" applyBorder="1" applyAlignment="1">
      <alignment horizontal="center" vertical="center" shrinkToFit="1"/>
    </xf>
    <xf numFmtId="38" fontId="5" fillId="2" borderId="8" xfId="1" applyFont="1" applyFill="1" applyBorder="1" applyAlignment="1">
      <alignment vertical="center" shrinkToFit="1"/>
    </xf>
    <xf numFmtId="0" fontId="5" fillId="0" borderId="122" xfId="0" applyFont="1" applyBorder="1" applyAlignment="1" applyProtection="1">
      <alignment horizontal="center" vertical="center" shrinkToFit="1"/>
      <protection locked="0"/>
    </xf>
    <xf numFmtId="0" fontId="5" fillId="0" borderId="123" xfId="0" applyFont="1" applyBorder="1" applyAlignment="1" applyProtection="1">
      <alignment horizontal="center" vertical="center" shrinkToFit="1"/>
      <protection locked="0"/>
    </xf>
    <xf numFmtId="0" fontId="5" fillId="0" borderId="124" xfId="0" applyFont="1" applyBorder="1" applyAlignment="1" applyProtection="1">
      <alignment horizontal="center" vertical="center" shrinkToFit="1"/>
      <protection locked="0"/>
    </xf>
    <xf numFmtId="179" fontId="14" fillId="0" borderId="127" xfId="0" applyNumberFormat="1" applyFont="1" applyBorder="1" applyAlignment="1" applyProtection="1">
      <alignment horizontal="center" vertical="center" shrinkToFit="1"/>
      <protection locked="0"/>
    </xf>
    <xf numFmtId="179" fontId="5" fillId="2" borderId="128" xfId="0" applyNumberFormat="1" applyFont="1" applyFill="1" applyBorder="1" applyAlignment="1" applyProtection="1">
      <alignment vertical="center" shrinkToFit="1"/>
      <protection locked="0"/>
    </xf>
    <xf numFmtId="6" fontId="15" fillId="2" borderId="129" xfId="0" applyNumberFormat="1" applyFont="1" applyFill="1" applyBorder="1" applyAlignment="1">
      <alignment vertical="center" shrinkToFit="1"/>
    </xf>
    <xf numFmtId="6" fontId="15" fillId="2" borderId="124" xfId="0" applyNumberFormat="1" applyFont="1" applyFill="1" applyBorder="1" applyAlignment="1">
      <alignment horizontal="center" vertical="center" shrinkToFit="1"/>
    </xf>
    <xf numFmtId="38" fontId="5" fillId="2" borderId="126" xfId="1" applyFont="1" applyFill="1" applyBorder="1" applyAlignment="1">
      <alignment vertical="center" shrinkToFit="1"/>
    </xf>
    <xf numFmtId="0" fontId="5" fillId="0" borderId="130" xfId="0" applyFont="1" applyBorder="1" applyAlignment="1" applyProtection="1">
      <alignment horizontal="center" vertical="center" shrinkToFit="1"/>
      <protection locked="0"/>
    </xf>
    <xf numFmtId="179" fontId="14" fillId="0" borderId="132" xfId="0" applyNumberFormat="1" applyFont="1" applyBorder="1" applyAlignment="1" applyProtection="1">
      <alignment horizontal="center" vertical="center" shrinkToFit="1"/>
      <protection locked="0"/>
    </xf>
    <xf numFmtId="0" fontId="5" fillId="0" borderId="135" xfId="0" applyFont="1" applyBorder="1" applyAlignment="1" applyProtection="1">
      <alignment horizontal="center" vertical="center" shrinkToFit="1"/>
      <protection locked="0"/>
    </xf>
    <xf numFmtId="0" fontId="5" fillId="0" borderId="136" xfId="0" applyFont="1" applyBorder="1" applyAlignment="1" applyProtection="1">
      <alignment horizontal="center" vertical="center" shrinkToFit="1"/>
      <protection locked="0"/>
    </xf>
    <xf numFmtId="0" fontId="5" fillId="0" borderId="137" xfId="0" applyFont="1" applyBorder="1" applyAlignment="1" applyProtection="1">
      <alignment horizontal="center" vertical="center" shrinkToFit="1"/>
      <protection locked="0"/>
    </xf>
    <xf numFmtId="179" fontId="14" fillId="0" borderId="140" xfId="0" applyNumberFormat="1" applyFont="1" applyBorder="1" applyAlignment="1" applyProtection="1">
      <alignment horizontal="center" vertical="center" shrinkToFit="1"/>
      <protection locked="0"/>
    </xf>
    <xf numFmtId="0" fontId="5" fillId="0" borderId="142" xfId="0" applyFont="1" applyBorder="1" applyAlignment="1" applyProtection="1">
      <alignment horizontal="center" vertical="center" shrinkToFit="1"/>
      <protection locked="0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0" fontId="5" fillId="0" borderId="27" xfId="0" applyFont="1" applyBorder="1" applyAlignment="1" applyProtection="1">
      <alignment horizontal="center" vertical="center" shrinkToFit="1"/>
      <protection locked="0"/>
    </xf>
    <xf numFmtId="179" fontId="14" fillId="0" borderId="107" xfId="0" applyNumberFormat="1" applyFont="1" applyBorder="1" applyAlignment="1" applyProtection="1">
      <alignment horizontal="center" vertical="center" shrinkToFit="1"/>
      <protection locked="0"/>
    </xf>
    <xf numFmtId="6" fontId="15" fillId="2" borderId="144" xfId="0" applyNumberFormat="1" applyFont="1" applyFill="1" applyBorder="1" applyAlignment="1">
      <alignment vertical="center" shrinkToFit="1"/>
    </xf>
    <xf numFmtId="6" fontId="15" fillId="2" borderId="133" xfId="0" applyNumberFormat="1" applyFont="1" applyFill="1" applyBorder="1" applyAlignment="1">
      <alignment horizontal="center" vertical="center" shrinkToFit="1"/>
    </xf>
    <xf numFmtId="181" fontId="5" fillId="0" borderId="139" xfId="0" applyNumberFormat="1" applyFont="1" applyBorder="1" applyAlignment="1" applyProtection="1">
      <alignment vertical="center" shrinkToFit="1"/>
      <protection locked="0"/>
    </xf>
    <xf numFmtId="179" fontId="5" fillId="2" borderId="146" xfId="0" applyNumberFormat="1" applyFont="1" applyFill="1" applyBorder="1" applyAlignment="1" applyProtection="1">
      <alignment vertical="center" shrinkToFit="1"/>
      <protection locked="0"/>
    </xf>
    <xf numFmtId="6" fontId="15" fillId="2" borderId="145" xfId="0" applyNumberFormat="1" applyFont="1" applyFill="1" applyBorder="1" applyAlignment="1">
      <alignment vertical="center" shrinkToFit="1"/>
    </xf>
    <xf numFmtId="6" fontId="15" fillId="2" borderId="137" xfId="0" applyNumberFormat="1" applyFont="1" applyFill="1" applyBorder="1" applyAlignment="1">
      <alignment horizontal="center" vertical="center" shrinkToFit="1"/>
    </xf>
    <xf numFmtId="178" fontId="15" fillId="0" borderId="147" xfId="0" applyNumberFormat="1" applyFont="1" applyBorder="1" applyAlignment="1">
      <alignment horizontal="center" vertical="center" shrinkToFit="1"/>
    </xf>
    <xf numFmtId="38" fontId="5" fillId="2" borderId="139" xfId="1" applyFont="1" applyFill="1" applyBorder="1" applyAlignment="1">
      <alignment vertical="center" shrinkToFit="1"/>
    </xf>
    <xf numFmtId="178" fontId="15" fillId="0" borderId="148" xfId="0" applyNumberFormat="1" applyFont="1" applyBorder="1" applyAlignment="1">
      <alignment horizontal="center" vertical="center" shrinkToFit="1"/>
    </xf>
    <xf numFmtId="179" fontId="5" fillId="0" borderId="126" xfId="0" applyNumberFormat="1" applyFont="1" applyBorder="1" applyAlignment="1" applyProtection="1">
      <alignment vertical="center" shrinkToFit="1"/>
      <protection locked="0"/>
    </xf>
    <xf numFmtId="179" fontId="5" fillId="0" borderId="129" xfId="0" applyNumberFormat="1" applyFont="1" applyBorder="1" applyAlignment="1" applyProtection="1">
      <alignment vertical="center" shrinkToFit="1"/>
      <protection locked="0"/>
    </xf>
    <xf numFmtId="6" fontId="5" fillId="2" borderId="149" xfId="0" applyNumberFormat="1" applyFont="1" applyFill="1" applyBorder="1" applyAlignment="1">
      <alignment vertical="center" shrinkToFit="1"/>
    </xf>
    <xf numFmtId="178" fontId="5" fillId="0" borderId="150" xfId="0" applyNumberFormat="1" applyFont="1" applyBorder="1" applyAlignment="1">
      <alignment horizontal="center" vertical="center" shrinkToFit="1"/>
    </xf>
    <xf numFmtId="6" fontId="5" fillId="2" borderId="151" xfId="0" applyNumberFormat="1" applyFont="1" applyFill="1" applyBorder="1" applyAlignment="1">
      <alignment vertical="center" shrinkToFit="1"/>
    </xf>
    <xf numFmtId="179" fontId="14" fillId="0" borderId="145" xfId="0" applyNumberFormat="1" applyFont="1" applyBorder="1" applyAlignment="1" applyProtection="1">
      <alignment horizontal="center" vertical="center" shrinkToFit="1"/>
      <protection locked="0"/>
    </xf>
    <xf numFmtId="178" fontId="5" fillId="0" borderId="145" xfId="0" applyNumberFormat="1" applyFont="1" applyBorder="1" applyAlignment="1">
      <alignment horizontal="center" vertical="center" shrinkToFit="1"/>
    </xf>
    <xf numFmtId="6" fontId="5" fillId="2" borderId="152" xfId="0" applyNumberFormat="1" applyFont="1" applyFill="1" applyBorder="1" applyAlignment="1">
      <alignment vertical="center" shrinkToFit="1"/>
    </xf>
    <xf numFmtId="179" fontId="14" fillId="0" borderId="26" xfId="0" applyNumberFormat="1" applyFont="1" applyBorder="1" applyAlignment="1" applyProtection="1">
      <alignment horizontal="center" vertical="center" shrinkToFit="1"/>
      <protection locked="0"/>
    </xf>
    <xf numFmtId="178" fontId="5" fillId="0" borderId="26" xfId="0" applyNumberFormat="1" applyFont="1" applyBorder="1" applyAlignment="1">
      <alignment horizontal="center" vertical="center" shrinkToFit="1"/>
    </xf>
    <xf numFmtId="6" fontId="5" fillId="2" borderId="153" xfId="0" applyNumberFormat="1" applyFont="1" applyFill="1" applyBorder="1" applyAlignment="1">
      <alignment vertical="center" shrinkToFit="1"/>
    </xf>
    <xf numFmtId="0" fontId="5" fillId="0" borderId="156" xfId="0" applyFont="1" applyBorder="1" applyAlignment="1" applyProtection="1">
      <alignment horizontal="center" vertical="center" shrinkToFit="1"/>
      <protection locked="0"/>
    </xf>
    <xf numFmtId="0" fontId="5" fillId="0" borderId="157" xfId="0" applyFont="1" applyBorder="1" applyAlignment="1" applyProtection="1">
      <alignment horizontal="center" vertical="center" shrinkToFit="1"/>
      <protection locked="0"/>
    </xf>
    <xf numFmtId="0" fontId="5" fillId="0" borderId="158" xfId="0" applyFont="1" applyBorder="1" applyAlignment="1" applyProtection="1">
      <alignment horizontal="center" vertical="center" shrinkToFit="1"/>
      <protection locked="0"/>
    </xf>
    <xf numFmtId="179" fontId="14" fillId="0" borderId="161" xfId="0" applyNumberFormat="1" applyFont="1" applyBorder="1" applyAlignment="1" applyProtection="1">
      <alignment horizontal="center" vertical="center" shrinkToFit="1"/>
      <protection locked="0"/>
    </xf>
    <xf numFmtId="181" fontId="5" fillId="0" borderId="160" xfId="0" applyNumberFormat="1" applyFont="1" applyBorder="1" applyAlignment="1" applyProtection="1">
      <alignment vertical="center" shrinkToFit="1"/>
      <protection locked="0"/>
    </xf>
    <xf numFmtId="179" fontId="5" fillId="2" borderId="163" xfId="0" applyNumberFormat="1" applyFont="1" applyFill="1" applyBorder="1" applyAlignment="1" applyProtection="1">
      <alignment vertical="center" shrinkToFit="1"/>
      <protection locked="0"/>
    </xf>
    <xf numFmtId="6" fontId="15" fillId="2" borderId="162" xfId="0" applyNumberFormat="1" applyFont="1" applyFill="1" applyBorder="1" applyAlignment="1">
      <alignment vertical="center" shrinkToFit="1"/>
    </xf>
    <xf numFmtId="6" fontId="15" fillId="2" borderId="158" xfId="0" applyNumberFormat="1" applyFont="1" applyFill="1" applyBorder="1" applyAlignment="1">
      <alignment horizontal="center" vertical="center" shrinkToFit="1"/>
    </xf>
    <xf numFmtId="178" fontId="15" fillId="0" borderId="164" xfId="0" applyNumberFormat="1" applyFont="1" applyBorder="1" applyAlignment="1">
      <alignment horizontal="center" vertical="center" shrinkToFit="1"/>
    </xf>
    <xf numFmtId="38" fontId="5" fillId="2" borderId="160" xfId="1" applyFont="1" applyFill="1" applyBorder="1" applyAlignment="1">
      <alignment vertical="center" shrinkToFit="1"/>
    </xf>
    <xf numFmtId="179" fontId="5" fillId="2" borderId="8" xfId="0" applyNumberFormat="1" applyFont="1" applyFill="1" applyBorder="1" applyAlignment="1" applyProtection="1">
      <alignment vertical="center" shrinkToFit="1"/>
      <protection locked="0"/>
    </xf>
    <xf numFmtId="179" fontId="5" fillId="2" borderId="134" xfId="0" applyNumberFormat="1" applyFont="1" applyFill="1" applyBorder="1" applyAlignment="1" applyProtection="1">
      <alignment vertical="center" shrinkToFit="1"/>
      <protection locked="0"/>
    </xf>
    <xf numFmtId="0" fontId="5" fillId="0" borderId="166" xfId="0" applyFont="1" applyBorder="1" applyAlignment="1" applyProtection="1">
      <alignment horizontal="center" vertical="center" shrinkToFit="1"/>
      <protection locked="0"/>
    </xf>
    <xf numFmtId="0" fontId="5" fillId="0" borderId="167" xfId="0" applyFont="1" applyBorder="1" applyAlignment="1" applyProtection="1">
      <alignment horizontal="center" vertical="center" shrinkToFit="1"/>
      <protection locked="0"/>
    </xf>
    <xf numFmtId="179" fontId="14" fillId="0" borderId="117" xfId="0" applyNumberFormat="1" applyFont="1" applyBorder="1" applyAlignment="1" applyProtection="1">
      <alignment horizontal="center" vertical="center" shrinkToFit="1"/>
      <protection locked="0"/>
    </xf>
    <xf numFmtId="181" fontId="5" fillId="0" borderId="116" xfId="0" applyNumberFormat="1" applyFont="1" applyBorder="1" applyAlignment="1" applyProtection="1">
      <alignment vertical="center" shrinkToFit="1"/>
      <protection locked="0"/>
    </xf>
    <xf numFmtId="0" fontId="5" fillId="0" borderId="168" xfId="0" applyFont="1" applyBorder="1" applyAlignment="1" applyProtection="1">
      <alignment horizontal="center" vertical="center" shrinkToFit="1"/>
      <protection locked="0"/>
    </xf>
    <xf numFmtId="0" fontId="5" fillId="0" borderId="169" xfId="0" applyFont="1" applyBorder="1" applyAlignment="1" applyProtection="1">
      <alignment horizontal="center" vertical="center" shrinkToFit="1"/>
      <protection locked="0"/>
    </xf>
    <xf numFmtId="179" fontId="14" fillId="0" borderId="171" xfId="0" applyNumberFormat="1" applyFont="1" applyBorder="1" applyAlignment="1" applyProtection="1">
      <alignment horizontal="center" vertical="center" shrinkToFit="1"/>
      <protection locked="0"/>
    </xf>
    <xf numFmtId="181" fontId="5" fillId="0" borderId="170" xfId="0" applyNumberFormat="1" applyFont="1" applyBorder="1" applyAlignment="1" applyProtection="1">
      <alignment vertical="center" shrinkToFit="1"/>
      <protection locked="0"/>
    </xf>
    <xf numFmtId="0" fontId="5" fillId="0" borderId="172" xfId="0" applyFont="1" applyBorder="1" applyAlignment="1" applyProtection="1">
      <alignment horizontal="center" vertical="center" shrinkToFit="1"/>
      <protection locked="0"/>
    </xf>
    <xf numFmtId="179" fontId="14" fillId="0" borderId="73" xfId="0" applyNumberFormat="1" applyFont="1" applyBorder="1" applyAlignment="1" applyProtection="1">
      <alignment horizontal="center" vertical="center" shrinkToFit="1"/>
      <protection locked="0"/>
    </xf>
    <xf numFmtId="0" fontId="5" fillId="0" borderId="173" xfId="0" applyFont="1" applyBorder="1" applyAlignment="1" applyProtection="1">
      <alignment horizontal="center" vertical="center" shrinkToFit="1"/>
      <protection locked="0"/>
    </xf>
    <xf numFmtId="0" fontId="5" fillId="0" borderId="175" xfId="0" applyFont="1" applyBorder="1" applyAlignment="1" applyProtection="1">
      <alignment horizontal="center" vertical="center" shrinkToFit="1"/>
      <protection locked="0"/>
    </xf>
    <xf numFmtId="181" fontId="5" fillId="0" borderId="166" xfId="0" applyNumberFormat="1" applyFont="1" applyBorder="1" applyAlignment="1" applyProtection="1">
      <alignment vertical="center" shrinkToFit="1"/>
      <protection locked="0"/>
    </xf>
    <xf numFmtId="181" fontId="5" fillId="0" borderId="136" xfId="0" applyNumberFormat="1" applyFont="1" applyBorder="1" applyAlignment="1" applyProtection="1">
      <alignment vertical="center" shrinkToFit="1"/>
      <protection locked="0"/>
    </xf>
    <xf numFmtId="181" fontId="5" fillId="0" borderId="7" xfId="0" applyNumberFormat="1" applyFont="1" applyBorder="1" applyAlignment="1" applyProtection="1">
      <alignment vertical="center" shrinkToFit="1"/>
      <protection locked="0"/>
    </xf>
    <xf numFmtId="179" fontId="5" fillId="0" borderId="178" xfId="0" applyNumberFormat="1" applyFont="1" applyBorder="1" applyAlignment="1" applyProtection="1">
      <alignment vertical="center" shrinkToFit="1"/>
      <protection locked="0"/>
    </xf>
    <xf numFmtId="181" fontId="5" fillId="0" borderId="168" xfId="0" applyNumberFormat="1" applyFont="1" applyBorder="1" applyAlignment="1" applyProtection="1">
      <alignment vertical="center" shrinkToFit="1"/>
      <protection locked="0"/>
    </xf>
    <xf numFmtId="181" fontId="5" fillId="0" borderId="174" xfId="0" applyNumberFormat="1" applyFont="1" applyBorder="1" applyAlignment="1" applyProtection="1">
      <alignment vertical="center" shrinkToFit="1"/>
      <protection locked="0"/>
    </xf>
    <xf numFmtId="181" fontId="5" fillId="0" borderId="177" xfId="0" applyNumberFormat="1" applyFont="1" applyBorder="1" applyAlignment="1" applyProtection="1">
      <alignment vertical="center" shrinkToFit="1"/>
      <protection locked="0"/>
    </xf>
    <xf numFmtId="181" fontId="5" fillId="0" borderId="176" xfId="0" applyNumberFormat="1" applyFont="1" applyBorder="1" applyAlignment="1" applyProtection="1">
      <alignment vertical="center" shrinkToFit="1"/>
      <protection locked="0"/>
    </xf>
    <xf numFmtId="181" fontId="5" fillId="0" borderId="54" xfId="0" applyNumberFormat="1" applyFont="1" applyBorder="1" applyAlignment="1" applyProtection="1">
      <alignment vertical="center" shrinkToFit="1"/>
      <protection locked="0"/>
    </xf>
    <xf numFmtId="179" fontId="5" fillId="0" borderId="70" xfId="0" applyNumberFormat="1" applyFont="1" applyBorder="1" applyAlignment="1" applyProtection="1">
      <alignment vertical="center" shrinkToFit="1"/>
      <protection locked="0"/>
    </xf>
    <xf numFmtId="0" fontId="5" fillId="0" borderId="180" xfId="0" applyFont="1" applyBorder="1" applyAlignment="1" applyProtection="1">
      <alignment horizontal="center" vertical="center" shrinkToFit="1"/>
      <protection locked="0"/>
    </xf>
    <xf numFmtId="179" fontId="14" fillId="0" borderId="119" xfId="0" applyNumberFormat="1" applyFont="1" applyBorder="1" applyAlignment="1" applyProtection="1">
      <alignment horizontal="center" vertical="center" shrinkToFit="1"/>
      <protection locked="0"/>
    </xf>
    <xf numFmtId="179" fontId="5" fillId="0" borderId="179" xfId="0" applyNumberFormat="1" applyFont="1" applyBorder="1" applyAlignment="1" applyProtection="1">
      <alignment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12" xfId="0" applyNumberFormat="1" applyFont="1" applyBorder="1" applyAlignment="1">
      <alignment horizontal="center" vertical="center" shrinkToFit="1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5" fontId="5" fillId="0" borderId="181" xfId="0" applyNumberFormat="1" applyFont="1" applyBorder="1" applyAlignment="1" applyProtection="1">
      <alignment horizontal="center" vertical="center" shrinkToFit="1"/>
      <protection locked="0"/>
    </xf>
    <xf numFmtId="178" fontId="7" fillId="3" borderId="182" xfId="0" applyNumberFormat="1" applyFont="1" applyFill="1" applyBorder="1" applyAlignment="1" applyProtection="1">
      <alignment vertical="center" shrinkToFit="1"/>
      <protection locked="0"/>
    </xf>
    <xf numFmtId="181" fontId="5" fillId="0" borderId="183" xfId="0" applyNumberFormat="1" applyFont="1" applyBorder="1" applyAlignment="1" applyProtection="1">
      <alignment vertical="center" shrinkToFit="1"/>
      <protection locked="0"/>
    </xf>
    <xf numFmtId="5" fontId="5" fillId="0" borderId="184" xfId="0" applyNumberFormat="1" applyFont="1" applyBorder="1" applyAlignment="1" applyProtection="1">
      <alignment horizontal="center" vertical="center" shrinkToFit="1"/>
      <protection locked="0"/>
    </xf>
    <xf numFmtId="181" fontId="5" fillId="0" borderId="185" xfId="0" applyNumberFormat="1" applyFont="1" applyBorder="1" applyAlignment="1" applyProtection="1">
      <alignment vertical="center" shrinkToFit="1"/>
      <protection locked="0"/>
    </xf>
    <xf numFmtId="181" fontId="5" fillId="0" borderId="186" xfId="0" applyNumberFormat="1" applyFont="1" applyBorder="1" applyAlignment="1" applyProtection="1">
      <alignment vertical="center" shrinkToFit="1"/>
      <protection locked="0"/>
    </xf>
    <xf numFmtId="5" fontId="8" fillId="0" borderId="190" xfId="0" applyNumberFormat="1" applyFont="1" applyBorder="1" applyAlignment="1" applyProtection="1">
      <alignment horizontal="center" vertical="center" shrinkToFit="1"/>
      <protection locked="0"/>
    </xf>
    <xf numFmtId="5" fontId="8" fillId="0" borderId="191" xfId="0" applyNumberFormat="1" applyFont="1" applyBorder="1" applyAlignment="1">
      <alignment horizontal="center" vertical="center" shrinkToFit="1"/>
    </xf>
    <xf numFmtId="5" fontId="8" fillId="0" borderId="192" xfId="0" applyNumberFormat="1" applyFont="1" applyBorder="1" applyAlignment="1" applyProtection="1">
      <alignment horizontal="center" vertical="center" shrinkToFit="1"/>
      <protection locked="0"/>
    </xf>
    <xf numFmtId="0" fontId="5" fillId="0" borderId="193" xfId="0" applyFont="1" applyBorder="1" applyAlignment="1" applyProtection="1">
      <alignment horizontal="center" vertical="center" shrinkToFit="1"/>
      <protection locked="0"/>
    </xf>
    <xf numFmtId="0" fontId="5" fillId="0" borderId="194" xfId="0" applyFont="1" applyBorder="1" applyAlignment="1" applyProtection="1">
      <alignment horizontal="center" vertical="center" shrinkToFit="1"/>
      <protection locked="0"/>
    </xf>
    <xf numFmtId="0" fontId="5" fillId="0" borderId="195" xfId="0" applyFont="1" applyBorder="1" applyAlignment="1" applyProtection="1">
      <alignment horizontal="center" vertical="center" shrinkToFit="1"/>
      <protection locked="0"/>
    </xf>
    <xf numFmtId="179" fontId="14" fillId="0" borderId="84" xfId="0" applyNumberFormat="1" applyFont="1" applyBorder="1" applyAlignment="1" applyProtection="1">
      <alignment horizontal="center" vertical="center" shrinkToFit="1"/>
      <protection locked="0"/>
    </xf>
    <xf numFmtId="181" fontId="5" fillId="0" borderId="198" xfId="0" applyNumberFormat="1" applyFont="1" applyBorder="1" applyAlignment="1" applyProtection="1">
      <alignment vertical="center" shrinkToFit="1"/>
      <protection locked="0"/>
    </xf>
    <xf numFmtId="179" fontId="5" fillId="2" borderId="199" xfId="0" applyNumberFormat="1" applyFont="1" applyFill="1" applyBorder="1" applyAlignment="1" applyProtection="1">
      <alignment vertical="center" shrinkToFit="1"/>
      <protection locked="0"/>
    </xf>
    <xf numFmtId="6" fontId="15" fillId="2" borderId="34" xfId="0" applyNumberFormat="1" applyFont="1" applyFill="1" applyBorder="1" applyAlignment="1">
      <alignment vertical="center" shrinkToFit="1"/>
    </xf>
    <xf numFmtId="6" fontId="15" fillId="2" borderId="200" xfId="0" applyNumberFormat="1" applyFont="1" applyFill="1" applyBorder="1" applyAlignment="1">
      <alignment horizontal="center" vertical="center" shrinkToFit="1"/>
    </xf>
    <xf numFmtId="178" fontId="15" fillId="0" borderId="201" xfId="0" applyNumberFormat="1" applyFont="1" applyBorder="1" applyAlignment="1">
      <alignment horizontal="center" vertical="center" shrinkToFit="1"/>
    </xf>
    <xf numFmtId="38" fontId="5" fillId="2" borderId="198" xfId="1" applyFont="1" applyFill="1" applyBorder="1" applyAlignment="1">
      <alignment vertical="center" shrinkToFit="1"/>
    </xf>
    <xf numFmtId="181" fontId="5" fillId="0" borderId="202" xfId="0" applyNumberFormat="1" applyFont="1" applyBorder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106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106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106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0" fontId="5" fillId="2" borderId="33" xfId="0" applyFont="1" applyFill="1" applyBorder="1" applyAlignment="1">
      <alignment horizontal="center" vertical="center" shrinkToFit="1"/>
    </xf>
    <xf numFmtId="0" fontId="5" fillId="2" borderId="41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179" fontId="5" fillId="0" borderId="45" xfId="0" applyNumberFormat="1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179" fontId="5" fillId="0" borderId="44" xfId="0" applyNumberFormat="1" applyFont="1" applyBorder="1" applyAlignment="1" applyProtection="1">
      <alignment horizontal="center" vertical="center" shrinkToFit="1"/>
      <protection locked="0"/>
    </xf>
    <xf numFmtId="5" fontId="11" fillId="0" borderId="31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39" xfId="0" applyNumberFormat="1" applyFont="1" applyBorder="1" applyAlignment="1" applyProtection="1">
      <alignment horizontal="center" vertical="center" wrapText="1" shrinkToFit="1"/>
      <protection locked="0"/>
    </xf>
    <xf numFmtId="0" fontId="5" fillId="0" borderId="106" xfId="0" applyFont="1" applyBorder="1" applyAlignment="1">
      <alignment horizontal="center" vertical="center" wrapText="1" shrinkToFit="1"/>
    </xf>
    <xf numFmtId="0" fontId="5" fillId="0" borderId="34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5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6" xfId="0" applyFont="1" applyBorder="1" applyAlignment="1">
      <alignment horizontal="center" vertical="center" wrapText="1" shrinkToFit="1"/>
    </xf>
    <xf numFmtId="176" fontId="5" fillId="0" borderId="28" xfId="0" applyNumberFormat="1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176" fontId="5" fillId="0" borderId="30" xfId="0" applyNumberFormat="1" applyFont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shrinkToFit="1"/>
    </xf>
    <xf numFmtId="179" fontId="5" fillId="0" borderId="125" xfId="0" applyNumberFormat="1" applyFont="1" applyBorder="1" applyAlignment="1" applyProtection="1">
      <alignment horizontal="center" vertical="center" shrinkToFit="1"/>
      <protection locked="0"/>
    </xf>
    <xf numFmtId="0" fontId="5" fillId="0" borderId="126" xfId="0" applyFont="1" applyBorder="1" applyAlignment="1" applyProtection="1">
      <alignment horizontal="center" vertical="center" shrinkToFit="1"/>
      <protection locked="0"/>
    </xf>
    <xf numFmtId="179" fontId="5" fillId="0" borderId="124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23" xfId="0" applyFont="1" applyFill="1" applyBorder="1" applyAlignment="1">
      <alignment horizontal="center" vertical="center" shrinkToFit="1"/>
    </xf>
    <xf numFmtId="179" fontId="5" fillId="0" borderId="72" xfId="0" applyNumberFormat="1" applyFont="1" applyBorder="1" applyAlignment="1" applyProtection="1">
      <alignment horizontal="center" vertical="center" shrinkToFit="1"/>
      <protection locked="0"/>
    </xf>
    <xf numFmtId="0" fontId="5" fillId="0" borderId="70" xfId="0" applyFont="1" applyBorder="1" applyAlignment="1" applyProtection="1">
      <alignment horizontal="center" vertical="center" shrinkToFit="1"/>
      <protection locked="0"/>
    </xf>
    <xf numFmtId="179" fontId="5" fillId="0" borderId="79" xfId="0" applyNumberFormat="1" applyFont="1" applyBorder="1" applyAlignment="1" applyProtection="1">
      <alignment horizontal="center" vertical="center" shrinkToFit="1"/>
      <protection locked="0"/>
    </xf>
    <xf numFmtId="0" fontId="5" fillId="0" borderId="77" xfId="0" applyFont="1" applyBorder="1" applyAlignment="1" applyProtection="1">
      <alignment horizontal="center" vertical="center" shrinkToFit="1"/>
      <protection locked="0"/>
    </xf>
    <xf numFmtId="5" fontId="5" fillId="2" borderId="56" xfId="0" applyNumberFormat="1" applyFont="1" applyFill="1" applyBorder="1" applyAlignment="1">
      <alignment horizontal="center" vertical="center" shrinkToFit="1"/>
    </xf>
    <xf numFmtId="0" fontId="5" fillId="2" borderId="57" xfId="0" applyFont="1" applyFill="1" applyBorder="1" applyAlignment="1">
      <alignment vertical="center" shrinkToFit="1"/>
    </xf>
    <xf numFmtId="5" fontId="5" fillId="2" borderId="58" xfId="0" applyNumberFormat="1" applyFont="1" applyFill="1" applyBorder="1" applyAlignment="1">
      <alignment horizontal="center" vertical="center" shrinkToFit="1"/>
    </xf>
    <xf numFmtId="0" fontId="5" fillId="0" borderId="63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65" xfId="0" applyFont="1" applyBorder="1" applyAlignment="1" applyProtection="1">
      <alignment horizontal="center" vertical="center" shrinkToFit="1"/>
      <protection locked="0"/>
    </xf>
    <xf numFmtId="5" fontId="14" fillId="0" borderId="30" xfId="0" applyNumberFormat="1" applyFont="1" applyBorder="1" applyAlignment="1" applyProtection="1">
      <alignment horizontal="center" vertical="center" shrinkToFit="1"/>
      <protection locked="0"/>
    </xf>
    <xf numFmtId="5" fontId="14" fillId="0" borderId="29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6" xfId="0" applyNumberFormat="1" applyFont="1" applyFill="1" applyBorder="1" applyAlignment="1">
      <alignment horizontal="center" vertical="center" shrinkToFit="1"/>
    </xf>
    <xf numFmtId="180" fontId="14" fillId="2" borderId="38" xfId="0" applyNumberFormat="1" applyFont="1" applyFill="1" applyBorder="1" applyAlignment="1">
      <alignment horizontal="center" vertical="center" shrinkToFit="1"/>
    </xf>
    <xf numFmtId="0" fontId="10" fillId="0" borderId="86" xfId="0" applyFont="1" applyBorder="1" applyAlignment="1" applyProtection="1">
      <alignment horizontal="center" vertical="center" shrinkToFit="1"/>
      <protection locked="0"/>
    </xf>
    <xf numFmtId="0" fontId="10" fillId="0" borderId="87" xfId="0" applyFont="1" applyBorder="1" applyAlignment="1" applyProtection="1">
      <alignment horizontal="center" vertical="center" shrinkToFit="1"/>
      <protection locked="0"/>
    </xf>
    <xf numFmtId="5" fontId="5" fillId="0" borderId="94" xfId="0" applyNumberFormat="1" applyFont="1" applyBorder="1" applyAlignment="1">
      <alignment horizontal="center" vertical="center" shrinkToFit="1"/>
    </xf>
    <xf numFmtId="5" fontId="5" fillId="0" borderId="95" xfId="0" applyNumberFormat="1" applyFont="1" applyBorder="1" applyAlignment="1">
      <alignment horizontal="center" vertical="center" shrinkToFit="1"/>
    </xf>
    <xf numFmtId="5" fontId="5" fillId="0" borderId="97" xfId="0" applyNumberFormat="1" applyFont="1" applyBorder="1" applyAlignment="1" applyProtection="1">
      <alignment horizontal="center" vertical="center" shrinkToFit="1"/>
      <protection locked="0"/>
    </xf>
    <xf numFmtId="5" fontId="5" fillId="0" borderId="95" xfId="0" applyNumberFormat="1" applyFont="1" applyBorder="1" applyAlignment="1" applyProtection="1">
      <alignment horizontal="center" vertical="center" shrinkToFit="1"/>
      <protection locked="0"/>
    </xf>
    <xf numFmtId="5" fontId="5" fillId="0" borderId="94" xfId="0" applyNumberFormat="1" applyFont="1" applyBorder="1" applyAlignment="1" applyProtection="1">
      <alignment horizontal="center" vertical="center" shrinkToFit="1"/>
      <protection locked="0"/>
    </xf>
    <xf numFmtId="5" fontId="5" fillId="0" borderId="98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104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0" fontId="5" fillId="0" borderId="112" xfId="0" applyFont="1" applyBorder="1" applyAlignment="1" applyProtection="1">
      <alignment horizontal="center" vertical="center" shrinkToFit="1"/>
      <protection locked="0"/>
    </xf>
    <xf numFmtId="0" fontId="5" fillId="0" borderId="143" xfId="0" applyFont="1" applyBorder="1" applyAlignment="1" applyProtection="1">
      <alignment horizontal="center" vertical="center" shrinkToFit="1"/>
      <protection locked="0"/>
    </xf>
    <xf numFmtId="0" fontId="5" fillId="0" borderId="141" xfId="0" applyFont="1" applyBorder="1" applyAlignment="1" applyProtection="1">
      <alignment horizontal="center" vertical="center" shrinkToFit="1"/>
      <protection locked="0"/>
    </xf>
    <xf numFmtId="0" fontId="5" fillId="0" borderId="113" xfId="0" applyFont="1" applyBorder="1" applyAlignment="1" applyProtection="1">
      <alignment horizontal="center" vertical="center" shrinkToFit="1"/>
      <protection locked="0"/>
    </xf>
    <xf numFmtId="0" fontId="5" fillId="0" borderId="165" xfId="0" applyFont="1" applyBorder="1" applyAlignment="1" applyProtection="1">
      <alignment horizontal="center" vertical="center" shrinkToFit="1"/>
      <protection locked="0"/>
    </xf>
    <xf numFmtId="0" fontId="5" fillId="0" borderId="114" xfId="0" applyFont="1" applyBorder="1" applyAlignment="1" applyProtection="1">
      <alignment horizontal="center" vertical="center" shrinkToFit="1"/>
      <protection locked="0"/>
    </xf>
    <xf numFmtId="0" fontId="5" fillId="0" borderId="154" xfId="0" applyFont="1" applyBorder="1" applyAlignment="1" applyProtection="1">
      <alignment horizontal="center" vertical="center" shrinkToFit="1"/>
      <protection locked="0"/>
    </xf>
    <xf numFmtId="0" fontId="5" fillId="0" borderId="155" xfId="0" applyFont="1" applyBorder="1" applyAlignment="1" applyProtection="1">
      <alignment horizontal="center" vertical="center" shrinkToFit="1"/>
      <protection locked="0"/>
    </xf>
    <xf numFmtId="0" fontId="5" fillId="0" borderId="115" xfId="0" applyFont="1" applyBorder="1" applyAlignment="1" applyProtection="1">
      <alignment horizontal="center" vertical="center" shrinkToFit="1"/>
      <protection locked="0"/>
    </xf>
    <xf numFmtId="179" fontId="5" fillId="0" borderId="159" xfId="0" applyNumberFormat="1" applyFont="1" applyBorder="1" applyAlignment="1" applyProtection="1">
      <alignment horizontal="center" vertical="center" shrinkToFit="1"/>
      <protection locked="0"/>
    </xf>
    <xf numFmtId="0" fontId="5" fillId="0" borderId="160" xfId="0" applyFont="1" applyBorder="1" applyAlignment="1" applyProtection="1">
      <alignment horizontal="center" vertical="center" shrinkToFit="1"/>
      <protection locked="0"/>
    </xf>
    <xf numFmtId="179" fontId="5" fillId="0" borderId="158" xfId="0" applyNumberFormat="1" applyFont="1" applyBorder="1" applyAlignment="1" applyProtection="1">
      <alignment horizontal="center" vertical="center" shrinkToFit="1"/>
      <protection locked="0"/>
    </xf>
    <xf numFmtId="179" fontId="5" fillId="0" borderId="167" xfId="0" applyNumberFormat="1" applyFont="1" applyBorder="1" applyAlignment="1" applyProtection="1">
      <alignment horizontal="center" vertical="center" shrinkToFit="1"/>
      <protection locked="0"/>
    </xf>
    <xf numFmtId="0" fontId="5" fillId="0" borderId="116" xfId="0" applyFont="1" applyBorder="1" applyAlignment="1" applyProtection="1">
      <alignment horizontal="center" vertical="center" shrinkToFit="1"/>
      <protection locked="0"/>
    </xf>
    <xf numFmtId="179" fontId="5" fillId="0" borderId="137" xfId="0" applyNumberFormat="1" applyFont="1" applyBorder="1" applyAlignment="1" applyProtection="1">
      <alignment horizontal="center" vertical="center" shrinkToFit="1"/>
      <protection locked="0"/>
    </xf>
    <xf numFmtId="0" fontId="5" fillId="0" borderId="139" xfId="0" applyFont="1" applyBorder="1" applyAlignment="1" applyProtection="1">
      <alignment horizontal="center" vertical="center" shrinkToFit="1"/>
      <protection locked="0"/>
    </xf>
    <xf numFmtId="179" fontId="5" fillId="0" borderId="27" xfId="0" applyNumberFormat="1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179" fontId="5" fillId="0" borderId="138" xfId="0" applyNumberFormat="1" applyFont="1" applyBorder="1" applyAlignment="1" applyProtection="1">
      <alignment horizontal="center" vertical="center" shrinkToFit="1"/>
      <protection locked="0"/>
    </xf>
    <xf numFmtId="179" fontId="5" fillId="0" borderId="69" xfId="0" applyNumberFormat="1" applyFont="1" applyBorder="1" applyAlignment="1" applyProtection="1">
      <alignment horizontal="center" vertical="center" shrinkToFit="1"/>
      <protection locked="0"/>
    </xf>
    <xf numFmtId="179" fontId="5" fillId="0" borderId="169" xfId="0" applyNumberFormat="1" applyFont="1" applyBorder="1" applyAlignment="1" applyProtection="1">
      <alignment horizontal="center" vertical="center" shrinkToFit="1"/>
      <protection locked="0"/>
    </xf>
    <xf numFmtId="0" fontId="5" fillId="0" borderId="170" xfId="0" applyFont="1" applyBorder="1" applyAlignment="1" applyProtection="1">
      <alignment horizontal="center" vertical="center" shrinkToFit="1"/>
      <protection locked="0"/>
    </xf>
    <xf numFmtId="5" fontId="5" fillId="2" borderId="179" xfId="0" applyNumberFormat="1" applyFont="1" applyFill="1" applyBorder="1" applyAlignment="1" applyProtection="1">
      <alignment horizontal="center" vertical="center" shrinkToFit="1"/>
      <protection locked="0"/>
    </xf>
    <xf numFmtId="5" fontId="5" fillId="2" borderId="106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19" xfId="0" applyNumberFormat="1" applyFont="1" applyFill="1" applyBorder="1" applyAlignment="1">
      <alignment horizontal="center" vertical="center" shrinkToFit="1"/>
    </xf>
    <xf numFmtId="6" fontId="5" fillId="2" borderId="106" xfId="0" applyNumberFormat="1" applyFont="1" applyFill="1" applyBorder="1" applyAlignment="1">
      <alignment horizontal="center" vertical="center" shrinkToFit="1"/>
    </xf>
    <xf numFmtId="179" fontId="5" fillId="0" borderId="131" xfId="0" applyNumberFormat="1" applyFont="1" applyBorder="1" applyAlignment="1" applyProtection="1">
      <alignment horizontal="center" vertical="center" shrinkToFit="1"/>
      <protection locked="0"/>
    </xf>
    <xf numFmtId="179" fontId="5" fillId="0" borderId="63" xfId="0" applyNumberFormat="1" applyFont="1" applyBorder="1" applyAlignment="1" applyProtection="1">
      <alignment horizontal="center" vertical="center" shrinkToFit="1"/>
      <protection locked="0"/>
    </xf>
    <xf numFmtId="0" fontId="5" fillId="0" borderId="26" xfId="0" applyFont="1" applyBorder="1" applyAlignment="1">
      <alignment horizontal="center" vertical="center" wrapText="1" shrinkToFit="1"/>
    </xf>
    <xf numFmtId="0" fontId="10" fillId="0" borderId="22" xfId="0" applyFont="1" applyBorder="1" applyAlignment="1">
      <alignment horizontal="center" vertical="center" wrapText="1" shrinkToFit="1"/>
    </xf>
    <xf numFmtId="0" fontId="10" fillId="0" borderId="23" xfId="0" applyFont="1" applyBorder="1" applyAlignment="1">
      <alignment horizontal="center" vertical="center" wrapText="1" shrinkToFit="1"/>
    </xf>
    <xf numFmtId="0" fontId="5" fillId="0" borderId="55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3" xfId="0" applyFont="1" applyBorder="1" applyAlignment="1">
      <alignment horizontal="center" vertical="center" shrinkToFit="1"/>
    </xf>
    <xf numFmtId="5" fontId="11" fillId="0" borderId="107" xfId="0" applyNumberFormat="1" applyFont="1" applyBorder="1" applyAlignment="1" applyProtection="1">
      <alignment horizontal="center" vertical="center" wrapText="1" shrinkToFit="1"/>
      <protection locked="0"/>
    </xf>
    <xf numFmtId="5" fontId="8" fillId="0" borderId="192" xfId="0" applyNumberFormat="1" applyFont="1" applyBorder="1" applyAlignment="1" applyProtection="1">
      <alignment horizontal="center" vertical="center" shrinkToFit="1"/>
      <protection locked="0"/>
    </xf>
    <xf numFmtId="5" fontId="8" fillId="0" borderId="190" xfId="0" applyNumberFormat="1" applyFont="1" applyBorder="1" applyAlignment="1" applyProtection="1">
      <alignment horizontal="center" vertical="center" shrinkToFit="1"/>
      <protection locked="0"/>
    </xf>
    <xf numFmtId="5" fontId="8" fillId="0" borderId="187" xfId="0" applyNumberFormat="1" applyFont="1" applyBorder="1" applyAlignment="1" applyProtection="1">
      <alignment horizontal="center" vertical="center" shrinkToFit="1"/>
      <protection locked="0"/>
    </xf>
    <xf numFmtId="5" fontId="8" fillId="0" borderId="189" xfId="0" applyNumberFormat="1" applyFont="1" applyBorder="1" applyAlignment="1" applyProtection="1">
      <alignment horizontal="center" vertical="center" shrinkToFit="1"/>
      <protection locked="0"/>
    </xf>
    <xf numFmtId="5" fontId="8" fillId="0" borderId="191" xfId="0" applyNumberFormat="1" applyFont="1" applyBorder="1" applyAlignment="1">
      <alignment horizontal="center" vertical="center" shrinkToFit="1"/>
    </xf>
    <xf numFmtId="182" fontId="9" fillId="0" borderId="27" xfId="0" applyNumberFormat="1" applyFont="1" applyBorder="1" applyAlignment="1" applyProtection="1">
      <alignment horizontal="center" vertical="center" shrinkToFit="1"/>
      <protection locked="0"/>
    </xf>
    <xf numFmtId="14" fontId="9" fillId="0" borderId="7" xfId="0" applyNumberFormat="1" applyFont="1" applyBorder="1" applyAlignment="1" applyProtection="1">
      <alignment horizontal="center" vertical="center" shrinkToFit="1"/>
      <protection locked="0"/>
    </xf>
    <xf numFmtId="14" fontId="9" fillId="0" borderId="8" xfId="0" applyNumberFormat="1" applyFont="1" applyBorder="1" applyAlignment="1" applyProtection="1">
      <alignment horizontal="center" vertical="center" shrinkToFit="1"/>
      <protection locked="0"/>
    </xf>
    <xf numFmtId="14" fontId="9" fillId="0" borderId="23" xfId="0" applyNumberFormat="1" applyFont="1" applyBorder="1" applyAlignment="1" applyProtection="1">
      <alignment horizontal="center" vertical="center" shrinkToFit="1"/>
      <protection locked="0"/>
    </xf>
    <xf numFmtId="14" fontId="9" fillId="0" borderId="0" xfId="0" applyNumberFormat="1" applyFont="1" applyAlignment="1" applyProtection="1">
      <alignment horizontal="center" vertical="center" shrinkToFit="1"/>
      <protection locked="0"/>
    </xf>
    <xf numFmtId="14" fontId="9" fillId="0" borderId="14" xfId="0" applyNumberFormat="1" applyFont="1" applyBorder="1" applyAlignment="1" applyProtection="1">
      <alignment horizontal="center" vertical="center" shrinkToFit="1"/>
      <protection locked="0"/>
    </xf>
    <xf numFmtId="14" fontId="9" fillId="0" borderId="187" xfId="0" applyNumberFormat="1" applyFont="1" applyBorder="1" applyAlignment="1" applyProtection="1">
      <alignment horizontal="center" vertical="center" shrinkToFit="1"/>
      <protection locked="0"/>
    </xf>
    <xf numFmtId="14" fontId="9" fillId="0" borderId="189" xfId="0" applyNumberFormat="1" applyFont="1" applyBorder="1" applyAlignment="1" applyProtection="1">
      <alignment horizontal="center" vertical="center" shrinkToFit="1"/>
      <protection locked="0"/>
    </xf>
    <xf numFmtId="14" fontId="9" fillId="0" borderId="188" xfId="0" applyNumberFormat="1" applyFont="1" applyBorder="1" applyAlignment="1" applyProtection="1">
      <alignment horizontal="center" vertical="center" shrinkToFit="1"/>
      <protection locked="0"/>
    </xf>
    <xf numFmtId="179" fontId="5" fillId="0" borderId="196" xfId="0" applyNumberFormat="1" applyFont="1" applyBorder="1" applyAlignment="1" applyProtection="1">
      <alignment horizontal="center" vertical="center" shrinkToFit="1"/>
      <protection locked="0"/>
    </xf>
    <xf numFmtId="0" fontId="5" fillId="0" borderId="197" xfId="0" applyFont="1" applyBorder="1" applyAlignment="1" applyProtection="1">
      <alignment horizontal="center" vertical="center" shrinkToFit="1"/>
      <protection locked="0"/>
    </xf>
    <xf numFmtId="179" fontId="5" fillId="0" borderId="195" xfId="0" applyNumberFormat="1" applyFont="1" applyBorder="1" applyAlignment="1" applyProtection="1">
      <alignment horizontal="center" vertical="center" shrinkToFit="1"/>
      <protection locked="0"/>
    </xf>
    <xf numFmtId="0" fontId="5" fillId="0" borderId="203" xfId="0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Border="1" applyAlignment="1" applyProtection="1">
      <alignment horizontal="center" vertical="center" shrinkToFit="1"/>
      <protection locked="0"/>
    </xf>
    <xf numFmtId="14" fontId="9" fillId="0" borderId="0" xfId="0" applyNumberFormat="1" applyFont="1" applyBorder="1" applyAlignment="1" applyProtection="1">
      <alignment horizontal="center" vertical="center" shrinkToFit="1"/>
      <protection locked="0"/>
    </xf>
    <xf numFmtId="14" fontId="9" fillId="0" borderId="204" xfId="0" applyNumberFormat="1" applyFont="1" applyBorder="1" applyAlignment="1" applyProtection="1">
      <alignment horizontal="center" vertical="center" shrinkToFit="1"/>
      <protection locked="0"/>
    </xf>
    <xf numFmtId="181" fontId="5" fillId="0" borderId="205" xfId="0" applyNumberFormat="1" applyFont="1" applyBorder="1" applyAlignment="1" applyProtection="1">
      <alignment vertical="center" shrinkToFit="1"/>
      <protection locked="0"/>
    </xf>
    <xf numFmtId="181" fontId="5" fillId="0" borderId="206" xfId="0" applyNumberFormat="1" applyFont="1" applyBorder="1" applyAlignment="1" applyProtection="1">
      <alignment vertical="center" shrinkToFit="1"/>
      <protection locked="0"/>
    </xf>
    <xf numFmtId="181" fontId="5" fillId="0" borderId="207" xfId="0" applyNumberFormat="1" applyFont="1" applyBorder="1" applyAlignment="1" applyProtection="1">
      <alignment vertical="center" shrinkToFit="1"/>
      <protection locked="0"/>
    </xf>
    <xf numFmtId="181" fontId="5" fillId="0" borderId="208" xfId="0" applyNumberFormat="1" applyFont="1" applyBorder="1" applyAlignment="1" applyProtection="1">
      <alignment vertical="center" shrinkToFit="1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28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114" customWidth="1"/>
    <col min="7" max="7" width="7.625" style="13" customWidth="1"/>
    <col min="8" max="8" width="7.625" style="114" customWidth="1"/>
    <col min="9" max="9" width="15.375" style="115" customWidth="1"/>
    <col min="10" max="12" width="8.625" style="115" customWidth="1"/>
    <col min="13" max="13" width="8.625" style="116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27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37"/>
      <c r="M2" s="237"/>
      <c r="N2" s="237"/>
      <c r="O2" s="11"/>
      <c r="P2" s="6"/>
    </row>
    <row r="3" spans="1:19" s="13" customFormat="1" ht="23.1" customHeight="1">
      <c r="A3" s="238" t="s">
        <v>0</v>
      </c>
      <c r="B3" s="239"/>
      <c r="C3" s="240"/>
      <c r="D3" s="241"/>
      <c r="E3" s="241"/>
      <c r="F3" s="241"/>
      <c r="G3" s="241"/>
      <c r="H3" s="242"/>
      <c r="I3" s="12" t="s">
        <v>28</v>
      </c>
      <c r="J3" s="243"/>
      <c r="K3" s="244"/>
      <c r="L3" s="245"/>
      <c r="M3" s="246"/>
      <c r="N3" s="251" t="s">
        <v>1</v>
      </c>
      <c r="O3" s="251"/>
      <c r="P3" s="251"/>
    </row>
    <row r="4" spans="1:19" s="13" customFormat="1" ht="23.1" customHeight="1">
      <c r="A4" s="252" t="s">
        <v>29</v>
      </c>
      <c r="B4" s="253"/>
      <c r="C4" s="254"/>
      <c r="D4" s="255"/>
      <c r="E4" s="255"/>
      <c r="F4" s="255"/>
      <c r="G4" s="255"/>
      <c r="H4" s="256"/>
      <c r="I4" s="14" t="s">
        <v>30</v>
      </c>
      <c r="J4" s="257"/>
      <c r="K4" s="258"/>
      <c r="L4" s="247"/>
      <c r="M4" s="248"/>
      <c r="N4" s="259"/>
      <c r="O4" s="259"/>
      <c r="P4" s="259"/>
    </row>
    <row r="5" spans="1:19" s="13" customFormat="1" ht="23.1" customHeight="1" thickBot="1">
      <c r="A5" s="261" t="s">
        <v>2</v>
      </c>
      <c r="B5" s="262"/>
      <c r="C5" s="263">
        <f>J3-G22</f>
        <v>0</v>
      </c>
      <c r="D5" s="264"/>
      <c r="E5" s="264"/>
      <c r="F5" s="264"/>
      <c r="G5" s="264"/>
      <c r="H5" s="265"/>
      <c r="I5" s="15" t="s">
        <v>3</v>
      </c>
      <c r="J5" s="266">
        <f>SUM(J3:K4)</f>
        <v>0</v>
      </c>
      <c r="K5" s="267"/>
      <c r="L5" s="247"/>
      <c r="M5" s="248"/>
      <c r="N5" s="259"/>
      <c r="O5" s="259"/>
      <c r="P5" s="259"/>
    </row>
    <row r="6" spans="1:19" s="13" customFormat="1" ht="23.1" customHeight="1" thickBot="1">
      <c r="A6" s="268" t="s">
        <v>4</v>
      </c>
      <c r="B6" s="268"/>
      <c r="C6" s="269" t="s">
        <v>5</v>
      </c>
      <c r="D6" s="269"/>
      <c r="E6" s="270"/>
      <c r="F6" s="270"/>
      <c r="G6" s="270" t="s">
        <v>6</v>
      </c>
      <c r="H6" s="270"/>
      <c r="I6" s="16">
        <f>J5-I22</f>
        <v>0</v>
      </c>
      <c r="J6" s="271"/>
      <c r="K6" s="247"/>
      <c r="L6" s="249"/>
      <c r="M6" s="250"/>
      <c r="N6" s="259"/>
      <c r="O6" s="260"/>
      <c r="P6" s="259"/>
    </row>
    <row r="7" spans="1:19" s="13" customFormat="1" ht="18" customHeight="1" thickBot="1">
      <c r="A7" s="280" t="s">
        <v>7</v>
      </c>
      <c r="B7" s="280"/>
      <c r="C7" s="282" t="s">
        <v>31</v>
      </c>
      <c r="D7" s="284" t="s">
        <v>32</v>
      </c>
      <c r="E7" s="286" t="s">
        <v>26</v>
      </c>
      <c r="F7" s="287"/>
      <c r="G7" s="290" t="s">
        <v>33</v>
      </c>
      <c r="H7" s="287"/>
      <c r="I7" s="278" t="s">
        <v>34</v>
      </c>
      <c r="J7" s="17"/>
      <c r="K7" s="17"/>
      <c r="L7" s="295" t="s">
        <v>8</v>
      </c>
      <c r="M7" s="296" t="s">
        <v>9</v>
      </c>
      <c r="N7" s="297" t="s">
        <v>10</v>
      </c>
      <c r="O7" s="272" t="s">
        <v>11</v>
      </c>
      <c r="P7" s="274" t="s">
        <v>12</v>
      </c>
    </row>
    <row r="8" spans="1:19" s="13" customFormat="1" ht="44.25" customHeight="1" thickBot="1">
      <c r="A8" s="281"/>
      <c r="B8" s="281"/>
      <c r="C8" s="283"/>
      <c r="D8" s="285"/>
      <c r="E8" s="288"/>
      <c r="F8" s="289"/>
      <c r="G8" s="291"/>
      <c r="H8" s="289"/>
      <c r="I8" s="279"/>
      <c r="J8" s="18"/>
      <c r="K8" s="18"/>
      <c r="L8" s="295"/>
      <c r="M8" s="296"/>
      <c r="N8" s="298"/>
      <c r="O8" s="273"/>
      <c r="P8" s="274"/>
    </row>
    <row r="9" spans="1:19" ht="18.95" customHeight="1" thickTop="1">
      <c r="A9" s="117"/>
      <c r="B9" s="117"/>
      <c r="C9" s="19"/>
      <c r="D9" s="20"/>
      <c r="E9" s="275"/>
      <c r="F9" s="276"/>
      <c r="G9" s="277"/>
      <c r="H9" s="276"/>
      <c r="I9" s="21"/>
      <c r="J9" s="22"/>
      <c r="K9" s="23"/>
      <c r="L9" s="24">
        <f>SUM(J9:K9)</f>
        <v>0</v>
      </c>
      <c r="M9" s="25">
        <f>I9-L9</f>
        <v>0</v>
      </c>
      <c r="N9" s="26">
        <f>G9-I9</f>
        <v>0</v>
      </c>
      <c r="O9" s="128"/>
      <c r="P9" s="27" t="e">
        <f>L9/O9</f>
        <v>#DIV/0!</v>
      </c>
    </row>
    <row r="10" spans="1:19" ht="18.95" customHeight="1">
      <c r="A10" s="139"/>
      <c r="B10" s="139"/>
      <c r="C10" s="140"/>
      <c r="D10" s="141"/>
      <c r="E10" s="292"/>
      <c r="F10" s="293"/>
      <c r="G10" s="294"/>
      <c r="H10" s="293"/>
      <c r="I10" s="142"/>
      <c r="J10" s="166"/>
      <c r="K10" s="167"/>
      <c r="L10" s="143">
        <f>SUM(J10:K10)</f>
        <v>0</v>
      </c>
      <c r="M10" s="144">
        <f>I10-L10</f>
        <v>0</v>
      </c>
      <c r="N10" s="145">
        <f>G10-I10</f>
        <v>0</v>
      </c>
      <c r="O10" s="30"/>
      <c r="P10" s="146" t="e">
        <f t="shared" ref="P10" si="0">L10/O10</f>
        <v>#DIV/0!</v>
      </c>
      <c r="S10" s="28"/>
    </row>
    <row r="11" spans="1:19" ht="18.95" customHeight="1" thickBot="1">
      <c r="A11" s="31"/>
      <c r="B11" s="32" t="s">
        <v>13</v>
      </c>
      <c r="C11" s="33"/>
      <c r="D11" s="33"/>
      <c r="E11" s="303">
        <f>SUM(E9:F10)</f>
        <v>0</v>
      </c>
      <c r="F11" s="304"/>
      <c r="G11" s="305">
        <f>SUM(G9:H10)</f>
        <v>0</v>
      </c>
      <c r="H11" s="304"/>
      <c r="I11" s="34">
        <f>SUM(I9:I10)</f>
        <v>0</v>
      </c>
      <c r="J11" s="35"/>
      <c r="K11" s="36"/>
      <c r="L11" s="37">
        <f>SUM(L9:L10)</f>
        <v>0</v>
      </c>
      <c r="M11" s="37">
        <f>SUM(M9:M10)</f>
        <v>0</v>
      </c>
      <c r="N11" s="38">
        <f>SUM(N9:N10)</f>
        <v>0</v>
      </c>
      <c r="O11" s="39">
        <f>SUM(O9:O10)</f>
        <v>0</v>
      </c>
      <c r="P11" s="40"/>
    </row>
    <row r="12" spans="1:19" ht="15" customHeight="1" thickTop="1" thickBot="1">
      <c r="A12" s="306"/>
      <c r="B12" s="307"/>
      <c r="C12" s="307"/>
      <c r="D12" s="307"/>
      <c r="E12" s="308"/>
      <c r="F12" s="308"/>
      <c r="G12" s="308"/>
      <c r="H12" s="308"/>
      <c r="I12" s="308"/>
      <c r="J12" s="307"/>
      <c r="K12" s="307"/>
      <c r="L12" s="307"/>
      <c r="M12" s="307"/>
      <c r="N12" s="307"/>
      <c r="O12" s="308"/>
      <c r="P12" s="309"/>
    </row>
    <row r="13" spans="1:19" ht="18.95" customHeight="1" thickBot="1">
      <c r="A13" s="41"/>
      <c r="B13" s="42" t="s">
        <v>14</v>
      </c>
      <c r="C13" s="42"/>
      <c r="D13" s="43"/>
      <c r="E13" s="310" t="s">
        <v>35</v>
      </c>
      <c r="F13" s="311"/>
      <c r="G13" s="310" t="s">
        <v>15</v>
      </c>
      <c r="H13" s="311"/>
      <c r="I13" s="44" t="s">
        <v>16</v>
      </c>
      <c r="J13" s="45"/>
      <c r="K13" s="45"/>
      <c r="L13" s="45"/>
      <c r="M13" s="46"/>
      <c r="N13" s="47"/>
      <c r="O13" s="47"/>
      <c r="P13" s="48"/>
    </row>
    <row r="14" spans="1:19" ht="18.95" customHeight="1">
      <c r="A14" s="125"/>
      <c r="B14" s="197"/>
      <c r="C14" s="49"/>
      <c r="D14" s="120"/>
      <c r="E14" s="299"/>
      <c r="F14" s="300"/>
      <c r="G14" s="299"/>
      <c r="H14" s="300"/>
      <c r="I14" s="198"/>
      <c r="J14" s="210"/>
      <c r="K14" s="50"/>
      <c r="L14" s="24">
        <f>SUM(J14:K14)</f>
        <v>0</v>
      </c>
      <c r="M14" s="25">
        <f>I14-L14</f>
        <v>0</v>
      </c>
      <c r="N14" s="26">
        <f>G14-I14</f>
        <v>0</v>
      </c>
      <c r="O14" s="130"/>
      <c r="P14" s="51" t="e">
        <f>L14/O14</f>
        <v>#DIV/0!</v>
      </c>
    </row>
    <row r="15" spans="1:19" ht="18.95" customHeight="1" thickBot="1">
      <c r="A15" s="126"/>
      <c r="B15" s="211"/>
      <c r="C15" s="53"/>
      <c r="D15" s="121"/>
      <c r="E15" s="301"/>
      <c r="F15" s="302"/>
      <c r="G15" s="301"/>
      <c r="H15" s="302"/>
      <c r="I15" s="212"/>
      <c r="J15" s="213"/>
      <c r="K15" s="204"/>
      <c r="L15" s="24">
        <f t="shared" ref="L15" si="1">SUM(J15:K15)</f>
        <v>0</v>
      </c>
      <c r="M15" s="25">
        <f t="shared" ref="M15" si="2">I15-L15</f>
        <v>0</v>
      </c>
      <c r="N15" s="26">
        <f t="shared" ref="N15" si="3">G15-I15</f>
        <v>0</v>
      </c>
      <c r="O15" s="131"/>
      <c r="P15" s="52" t="e">
        <f>L15/O15</f>
        <v>#DIV/0!</v>
      </c>
    </row>
    <row r="16" spans="1:19" ht="18.95" customHeight="1" thickTop="1" thickBot="1">
      <c r="A16" s="54"/>
      <c r="B16" s="55" t="s">
        <v>17</v>
      </c>
      <c r="C16" s="55"/>
      <c r="D16" s="56"/>
      <c r="E16" s="313">
        <f>SUM(E14:E15)</f>
        <v>0</v>
      </c>
      <c r="F16" s="314"/>
      <c r="G16" s="313">
        <f>SUM(G14:G15)</f>
        <v>0</v>
      </c>
      <c r="H16" s="314"/>
      <c r="I16" s="57">
        <f>SUM(I14:I15)</f>
        <v>0</v>
      </c>
      <c r="J16" s="58"/>
      <c r="K16" s="58"/>
      <c r="L16" s="59">
        <f>SUM(L14:L15)</f>
        <v>0</v>
      </c>
      <c r="M16" s="60">
        <f>SUM(M14:M15)</f>
        <v>0</v>
      </c>
      <c r="N16" s="61">
        <f>SUM(N14:N15)</f>
        <v>0</v>
      </c>
      <c r="O16" s="62">
        <f>SUM(O14:O15)</f>
        <v>0</v>
      </c>
      <c r="P16" s="63"/>
    </row>
    <row r="17" spans="1:16" ht="2.25" customHeight="1" thickTop="1" thickBot="1">
      <c r="A17" s="64"/>
      <c r="B17" s="65"/>
      <c r="C17" s="65"/>
      <c r="D17" s="65"/>
      <c r="E17" s="65"/>
      <c r="F17" s="66"/>
      <c r="G17" s="65"/>
      <c r="H17" s="66"/>
      <c r="I17" s="67"/>
      <c r="J17" s="66"/>
      <c r="K17" s="66"/>
      <c r="L17" s="66"/>
      <c r="M17" s="68"/>
      <c r="N17" s="69"/>
      <c r="O17" s="70"/>
      <c r="P17" s="71"/>
    </row>
    <row r="18" spans="1:16" ht="26.25" customHeight="1" thickTop="1" thickBot="1">
      <c r="A18" s="72"/>
      <c r="B18" s="73" t="s">
        <v>18</v>
      </c>
      <c r="C18" s="73"/>
      <c r="D18" s="73"/>
      <c r="E18" s="315"/>
      <c r="F18" s="316"/>
      <c r="G18" s="315"/>
      <c r="H18" s="316"/>
      <c r="I18" s="74"/>
      <c r="J18" s="74"/>
      <c r="K18" s="74"/>
      <c r="L18" s="75">
        <f>SUM(L16,L11)</f>
        <v>0</v>
      </c>
      <c r="M18" s="76">
        <f>SUM(M16,M11)</f>
        <v>0</v>
      </c>
      <c r="N18" s="77">
        <f>N11+N16</f>
        <v>0</v>
      </c>
      <c r="O18" s="78">
        <f>SUM(O16,O11)</f>
        <v>0</v>
      </c>
      <c r="P18" s="79"/>
    </row>
    <row r="19" spans="1:16" ht="2.25" customHeight="1" thickTop="1" thickBot="1">
      <c r="A19" s="80"/>
      <c r="B19" s="81"/>
      <c r="C19" s="81"/>
      <c r="D19" s="81"/>
      <c r="E19" s="81"/>
      <c r="F19" s="82"/>
      <c r="G19" s="81"/>
      <c r="H19" s="82"/>
      <c r="I19" s="83"/>
      <c r="J19" s="82"/>
      <c r="K19" s="82"/>
      <c r="L19" s="82"/>
      <c r="M19" s="84"/>
      <c r="N19" s="85"/>
      <c r="O19" s="86"/>
      <c r="P19" s="87"/>
    </row>
    <row r="20" spans="1:16" ht="18.2" customHeight="1" thickBot="1">
      <c r="A20" s="88"/>
      <c r="B20" s="73"/>
      <c r="C20" s="73"/>
      <c r="D20" s="73"/>
      <c r="E20" s="73"/>
      <c r="F20" s="29"/>
      <c r="G20" s="73"/>
      <c r="H20" s="29"/>
      <c r="I20" s="89"/>
      <c r="J20" s="29"/>
      <c r="K20" s="29"/>
      <c r="L20" s="29"/>
      <c r="M20" s="90"/>
      <c r="N20" s="91"/>
      <c r="O20" s="92"/>
      <c r="P20" s="91"/>
    </row>
    <row r="21" spans="1:16" ht="18.2" customHeight="1" thickBot="1">
      <c r="A21" s="93" t="s">
        <v>19</v>
      </c>
      <c r="B21" s="317" t="s">
        <v>20</v>
      </c>
      <c r="C21" s="318"/>
      <c r="D21" s="94"/>
      <c r="E21" s="319"/>
      <c r="F21" s="320"/>
      <c r="G21" s="321"/>
      <c r="H21" s="322"/>
      <c r="I21" s="95"/>
      <c r="J21" s="96"/>
      <c r="K21" s="96"/>
      <c r="L21" s="97">
        <f>SUM(J21:K21)</f>
        <v>0</v>
      </c>
      <c r="M21" s="98">
        <f>I21-L21</f>
        <v>0</v>
      </c>
      <c r="N21" s="99">
        <f>G21-I21</f>
        <v>0</v>
      </c>
      <c r="O21" s="100"/>
      <c r="P21" s="101" t="e">
        <f>L21/O21</f>
        <v>#DIV/0!</v>
      </c>
    </row>
    <row r="22" spans="1:16" ht="18.2" customHeight="1">
      <c r="A22" s="102"/>
      <c r="B22" s="323" t="s">
        <v>21</v>
      </c>
      <c r="C22" s="324"/>
      <c r="D22" s="103"/>
      <c r="E22" s="325">
        <f>SUM(E11,F16,E21)</f>
        <v>0</v>
      </c>
      <c r="F22" s="326"/>
      <c r="G22" s="325">
        <f>SUM(G11,H16,G21)</f>
        <v>0</v>
      </c>
      <c r="H22" s="326"/>
      <c r="I22" s="104">
        <f>SUM(I21,I16,I11)</f>
        <v>0</v>
      </c>
      <c r="J22" s="105">
        <f>SUM(J9:J21)</f>
        <v>0</v>
      </c>
      <c r="K22" s="105">
        <f>SUM(K9:K21)</f>
        <v>0</v>
      </c>
      <c r="L22" s="105">
        <f>SUM(J22:K22)</f>
        <v>0</v>
      </c>
      <c r="M22" s="106">
        <f>I22-L22</f>
        <v>0</v>
      </c>
      <c r="N22" s="107">
        <f>SUM(N21,N18)</f>
        <v>0</v>
      </c>
      <c r="O22" s="108">
        <f>SUM(O21,O18)</f>
        <v>0</v>
      </c>
      <c r="P22" s="109"/>
    </row>
    <row r="23" spans="1:16" ht="25.5" customHeight="1">
      <c r="A23" s="110"/>
      <c r="B23" s="110"/>
      <c r="C23" s="110"/>
      <c r="D23" s="110"/>
      <c r="E23" s="110"/>
      <c r="F23" s="111"/>
      <c r="G23" s="110"/>
      <c r="H23" s="111"/>
      <c r="I23" s="112"/>
      <c r="J23" s="112"/>
      <c r="K23" s="112"/>
      <c r="L23" s="112"/>
      <c r="M23" s="113"/>
      <c r="N23" s="110"/>
      <c r="O23" s="110"/>
    </row>
    <row r="24" spans="1:16" ht="6" customHeight="1"/>
    <row r="25" spans="1:16" ht="18" customHeight="1">
      <c r="A25" s="13" t="s">
        <v>22</v>
      </c>
    </row>
    <row r="26" spans="1:16" ht="18" customHeight="1">
      <c r="A26" s="312" t="s">
        <v>23</v>
      </c>
      <c r="B26" s="312"/>
      <c r="C26" s="312"/>
      <c r="D26" s="312"/>
      <c r="E26" s="312"/>
      <c r="F26" s="312"/>
      <c r="G26" s="312"/>
      <c r="H26" s="312"/>
      <c r="I26" s="312"/>
      <c r="J26" s="312"/>
      <c r="K26" s="312"/>
    </row>
    <row r="27" spans="1:16" ht="18" customHeight="1">
      <c r="A27" s="312" t="s">
        <v>24</v>
      </c>
      <c r="B27" s="312"/>
      <c r="C27" s="312"/>
      <c r="D27" s="312"/>
      <c r="E27" s="312"/>
      <c r="F27" s="312"/>
    </row>
    <row r="28" spans="1:16" ht="18" customHeight="1">
      <c r="A28" s="312" t="s">
        <v>25</v>
      </c>
      <c r="B28" s="312"/>
      <c r="C28" s="312"/>
      <c r="D28" s="312"/>
      <c r="E28" s="312"/>
      <c r="F28" s="312"/>
    </row>
  </sheetData>
  <mergeCells count="54">
    <mergeCell ref="A28:F28"/>
    <mergeCell ref="E16:F16"/>
    <mergeCell ref="G16:H16"/>
    <mergeCell ref="E18:F18"/>
    <mergeCell ref="G18:H18"/>
    <mergeCell ref="B21:C21"/>
    <mergeCell ref="E21:F21"/>
    <mergeCell ref="G21:H21"/>
    <mergeCell ref="B22:C22"/>
    <mergeCell ref="E22:F22"/>
    <mergeCell ref="G22:H22"/>
    <mergeCell ref="A26:K26"/>
    <mergeCell ref="A27:F27"/>
    <mergeCell ref="E14:F14"/>
    <mergeCell ref="G14:H14"/>
    <mergeCell ref="E15:F15"/>
    <mergeCell ref="G15:H15"/>
    <mergeCell ref="E11:F11"/>
    <mergeCell ref="G11:H11"/>
    <mergeCell ref="A12:P12"/>
    <mergeCell ref="E13:F13"/>
    <mergeCell ref="G13:H13"/>
    <mergeCell ref="E10:F10"/>
    <mergeCell ref="G10:H10"/>
    <mergeCell ref="L7:L8"/>
    <mergeCell ref="M7:M8"/>
    <mergeCell ref="N7:N8"/>
    <mergeCell ref="A7:B8"/>
    <mergeCell ref="C7:C8"/>
    <mergeCell ref="D7:D8"/>
    <mergeCell ref="E7:F8"/>
    <mergeCell ref="G7:H8"/>
    <mergeCell ref="J6:K6"/>
    <mergeCell ref="O7:O8"/>
    <mergeCell ref="P7:P8"/>
    <mergeCell ref="E9:F9"/>
    <mergeCell ref="G9:H9"/>
    <mergeCell ref="I7:I8"/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workbookViewId="0"/>
  </sheetViews>
  <sheetFormatPr defaultRowHeight="18.75"/>
  <sheetData>
    <row r="3" spans="3:3">
      <c r="C3" s="127" t="s">
        <v>53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5B69F-9F0E-4093-BE37-145268244499}">
  <sheetPr codeName="Sheet8"/>
  <dimension ref="A1:AE27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114" customWidth="1"/>
    <col min="7" max="7" width="7.625" style="13" customWidth="1"/>
    <col min="8" max="8" width="7.625" style="114" customWidth="1"/>
    <col min="9" max="9" width="15.375" style="115" customWidth="1"/>
    <col min="10" max="18" width="8.625" style="115" customWidth="1"/>
    <col min="19" max="19" width="8.625" style="116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ht="18" customHeight="1">
      <c r="A1" s="1" t="s">
        <v>27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/>
      <c r="U1" s="2"/>
      <c r="V1" s="6"/>
    </row>
    <row r="2" spans="1:31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10"/>
      <c r="M2" s="10"/>
      <c r="N2" s="10"/>
      <c r="O2" s="10"/>
      <c r="P2" s="10"/>
      <c r="Q2" s="10"/>
      <c r="R2" s="237"/>
      <c r="S2" s="237"/>
      <c r="T2" s="237"/>
      <c r="U2" s="11"/>
      <c r="V2" s="6"/>
    </row>
    <row r="3" spans="1:31" s="13" customFormat="1" ht="23.1" customHeight="1">
      <c r="A3" s="238" t="s">
        <v>0</v>
      </c>
      <c r="B3" s="239"/>
      <c r="C3" s="240" t="s">
        <v>36</v>
      </c>
      <c r="D3" s="241"/>
      <c r="E3" s="241"/>
      <c r="F3" s="241"/>
      <c r="G3" s="241"/>
      <c r="H3" s="242"/>
      <c r="I3" s="12" t="s">
        <v>28</v>
      </c>
      <c r="J3" s="243">
        <v>600000</v>
      </c>
      <c r="K3" s="244"/>
      <c r="L3" s="244"/>
      <c r="M3" s="244"/>
      <c r="N3" s="244"/>
      <c r="O3" s="214"/>
      <c r="P3" s="214"/>
      <c r="Q3" s="223"/>
      <c r="R3" s="245"/>
      <c r="S3" s="246"/>
      <c r="T3" s="251" t="s">
        <v>1</v>
      </c>
      <c r="U3" s="251"/>
      <c r="V3" s="251"/>
    </row>
    <row r="4" spans="1:31" s="13" customFormat="1" ht="23.1" customHeight="1">
      <c r="A4" s="252" t="s">
        <v>29</v>
      </c>
      <c r="B4" s="253"/>
      <c r="C4" s="254" t="s">
        <v>37</v>
      </c>
      <c r="D4" s="255"/>
      <c r="E4" s="255"/>
      <c r="F4" s="255"/>
      <c r="G4" s="255"/>
      <c r="H4" s="256"/>
      <c r="I4" s="14" t="s">
        <v>30</v>
      </c>
      <c r="J4" s="257">
        <v>600000</v>
      </c>
      <c r="K4" s="258"/>
      <c r="L4" s="258"/>
      <c r="M4" s="258"/>
      <c r="N4" s="258"/>
      <c r="O4" s="215"/>
      <c r="P4" s="215"/>
      <c r="Q4" s="224"/>
      <c r="R4" s="247"/>
      <c r="S4" s="248"/>
      <c r="T4" s="367">
        <v>45897</v>
      </c>
      <c r="U4" s="368"/>
      <c r="V4" s="369"/>
    </row>
    <row r="5" spans="1:31" s="13" customFormat="1" ht="23.1" customHeight="1" thickBot="1">
      <c r="A5" s="261" t="s">
        <v>2</v>
      </c>
      <c r="B5" s="262"/>
      <c r="C5" s="263">
        <f>J3-G21</f>
        <v>512000</v>
      </c>
      <c r="D5" s="264"/>
      <c r="E5" s="264"/>
      <c r="F5" s="264"/>
      <c r="G5" s="264"/>
      <c r="H5" s="265"/>
      <c r="I5" s="15" t="s">
        <v>3</v>
      </c>
      <c r="J5" s="266">
        <f>SUM(J3:Q4)</f>
        <v>1200000</v>
      </c>
      <c r="K5" s="267"/>
      <c r="L5" s="267"/>
      <c r="M5" s="267"/>
      <c r="N5" s="267"/>
      <c r="O5" s="216"/>
      <c r="P5" s="216"/>
      <c r="Q5" s="225"/>
      <c r="R5" s="247"/>
      <c r="S5" s="248"/>
      <c r="T5" s="370"/>
      <c r="U5" s="371"/>
      <c r="V5" s="372"/>
    </row>
    <row r="6" spans="1:31" s="13" customFormat="1" ht="23.1" customHeight="1" thickBot="1">
      <c r="A6" s="268" t="s">
        <v>4</v>
      </c>
      <c r="B6" s="268"/>
      <c r="C6" s="269" t="s">
        <v>5</v>
      </c>
      <c r="D6" s="269"/>
      <c r="E6" s="270"/>
      <c r="F6" s="270"/>
      <c r="G6" s="270" t="s">
        <v>6</v>
      </c>
      <c r="H6" s="270"/>
      <c r="I6" s="16">
        <f>J5-I21</f>
        <v>1112000</v>
      </c>
      <c r="J6" s="271"/>
      <c r="K6" s="247"/>
      <c r="L6" s="247"/>
      <c r="M6" s="247"/>
      <c r="N6" s="247"/>
      <c r="O6" s="247"/>
      <c r="P6" s="247"/>
      <c r="Q6" s="247"/>
      <c r="R6" s="364"/>
      <c r="S6" s="365"/>
      <c r="T6" s="373"/>
      <c r="U6" s="374"/>
      <c r="V6" s="375"/>
    </row>
    <row r="7" spans="1:31" s="13" customFormat="1" ht="18" customHeight="1" thickBot="1">
      <c r="A7" s="280" t="s">
        <v>7</v>
      </c>
      <c r="B7" s="280"/>
      <c r="C7" s="282" t="s">
        <v>31</v>
      </c>
      <c r="D7" s="284" t="s">
        <v>32</v>
      </c>
      <c r="E7" s="286" t="s">
        <v>26</v>
      </c>
      <c r="F7" s="287"/>
      <c r="G7" s="290" t="s">
        <v>33</v>
      </c>
      <c r="H7" s="287"/>
      <c r="I7" s="278" t="s">
        <v>34</v>
      </c>
      <c r="J7" s="122">
        <v>2023</v>
      </c>
      <c r="K7" s="17"/>
      <c r="L7" s="17">
        <v>2024</v>
      </c>
      <c r="M7" s="17"/>
      <c r="N7" s="17">
        <v>2025</v>
      </c>
      <c r="O7" s="17"/>
      <c r="P7" s="17"/>
      <c r="Q7" s="124"/>
      <c r="R7" s="349" t="s">
        <v>8</v>
      </c>
      <c r="S7" s="351" t="s">
        <v>9</v>
      </c>
      <c r="T7" s="297" t="s">
        <v>10</v>
      </c>
      <c r="U7" s="273" t="s">
        <v>11</v>
      </c>
      <c r="V7" s="274" t="s">
        <v>12</v>
      </c>
      <c r="X7" s="218">
        <v>2023</v>
      </c>
      <c r="Y7" s="17"/>
      <c r="Z7" s="17">
        <v>2024</v>
      </c>
      <c r="AA7" s="17"/>
      <c r="AB7" s="17">
        <v>2025</v>
      </c>
      <c r="AC7" s="17"/>
      <c r="AD7" s="17"/>
      <c r="AE7" s="124"/>
    </row>
    <row r="8" spans="1:31" s="13" customFormat="1" ht="44.25" customHeight="1" thickBot="1">
      <c r="A8" s="355"/>
      <c r="B8" s="355"/>
      <c r="C8" s="356"/>
      <c r="D8" s="357"/>
      <c r="E8" s="358"/>
      <c r="F8" s="359"/>
      <c r="G8" s="360"/>
      <c r="H8" s="359"/>
      <c r="I8" s="361"/>
      <c r="J8" s="123" t="s">
        <v>48</v>
      </c>
      <c r="K8" s="123" t="s">
        <v>54</v>
      </c>
      <c r="L8" s="123" t="s">
        <v>55</v>
      </c>
      <c r="M8" s="123" t="s">
        <v>54</v>
      </c>
      <c r="N8" s="123" t="s">
        <v>123</v>
      </c>
      <c r="O8" s="123" t="s">
        <v>117</v>
      </c>
      <c r="P8" s="123" t="s">
        <v>118</v>
      </c>
      <c r="Q8" s="123" t="s">
        <v>119</v>
      </c>
      <c r="R8" s="350"/>
      <c r="S8" s="352"/>
      <c r="T8" s="298"/>
      <c r="U8" s="273"/>
      <c r="V8" s="274"/>
      <c r="X8" s="220" t="s">
        <v>48</v>
      </c>
      <c r="Y8" s="217" t="s">
        <v>54</v>
      </c>
      <c r="Z8" s="123" t="s">
        <v>55</v>
      </c>
      <c r="AA8" s="123" t="s">
        <v>54</v>
      </c>
      <c r="AB8" s="123" t="s">
        <v>123</v>
      </c>
      <c r="AC8" s="123" t="s">
        <v>117</v>
      </c>
      <c r="AD8" s="123" t="s">
        <v>118</v>
      </c>
      <c r="AE8" s="123" t="s">
        <v>119</v>
      </c>
    </row>
    <row r="9" spans="1:31" ht="18.95" customHeight="1" thickTop="1" thickBot="1">
      <c r="A9" s="226" t="s">
        <v>38</v>
      </c>
      <c r="B9" s="226" t="s">
        <v>39</v>
      </c>
      <c r="C9" s="227" t="s">
        <v>40</v>
      </c>
      <c r="D9" s="228">
        <v>15805</v>
      </c>
      <c r="E9" s="376">
        <v>82000</v>
      </c>
      <c r="F9" s="377"/>
      <c r="G9" s="378">
        <v>88000</v>
      </c>
      <c r="H9" s="377"/>
      <c r="I9" s="229">
        <v>88000</v>
      </c>
      <c r="J9" s="230">
        <v>1000</v>
      </c>
      <c r="K9" s="230">
        <v>2000</v>
      </c>
      <c r="L9" s="230">
        <v>0</v>
      </c>
      <c r="M9" s="230">
        <v>100</v>
      </c>
      <c r="N9" s="230">
        <v>200</v>
      </c>
      <c r="O9" s="230">
        <v>230</v>
      </c>
      <c r="P9" s="230">
        <v>230</v>
      </c>
      <c r="Q9" s="230">
        <v>240</v>
      </c>
      <c r="R9" s="231">
        <f>SUM(J9:Q9)</f>
        <v>4000</v>
      </c>
      <c r="S9" s="232">
        <f>I9-R9</f>
        <v>84000</v>
      </c>
      <c r="T9" s="233">
        <f>G9-I9</f>
        <v>0</v>
      </c>
      <c r="U9" s="234"/>
      <c r="V9" s="235" t="e">
        <f>R9/U9</f>
        <v>#DIV/0!</v>
      </c>
      <c r="X9" s="236"/>
      <c r="Y9" s="230"/>
      <c r="Z9" s="230"/>
      <c r="AA9" s="230"/>
      <c r="AB9" s="230"/>
      <c r="AC9" s="230"/>
      <c r="AD9" s="230"/>
      <c r="AE9" s="230"/>
    </row>
    <row r="10" spans="1:31" ht="18.95" customHeight="1" thickTop="1" thickBot="1">
      <c r="A10" s="31"/>
      <c r="B10" s="32" t="s">
        <v>13</v>
      </c>
      <c r="C10" s="33"/>
      <c r="D10" s="33"/>
      <c r="E10" s="303">
        <f>SUM(E9:F9)</f>
        <v>82000</v>
      </c>
      <c r="F10" s="304"/>
      <c r="G10" s="305">
        <f>SUM(G9:H9)</f>
        <v>88000</v>
      </c>
      <c r="H10" s="304"/>
      <c r="I10" s="34">
        <f>SUM(I9:I9)</f>
        <v>88000</v>
      </c>
      <c r="J10" s="35"/>
      <c r="K10" s="35"/>
      <c r="L10" s="35"/>
      <c r="M10" s="35"/>
      <c r="N10" s="35"/>
      <c r="O10" s="35"/>
      <c r="P10" s="35"/>
      <c r="Q10" s="35"/>
      <c r="R10" s="37">
        <f>SUM(R9:R9)</f>
        <v>4000</v>
      </c>
      <c r="S10" s="37">
        <f>SUM(S9:S9)</f>
        <v>84000</v>
      </c>
      <c r="T10" s="38">
        <f>SUM(T9:T9)</f>
        <v>0</v>
      </c>
      <c r="U10" s="39">
        <f>SUM(U9:U9)</f>
        <v>0</v>
      </c>
      <c r="V10" s="40"/>
    </row>
    <row r="11" spans="1:31" ht="15" customHeight="1" thickTop="1" thickBot="1">
      <c r="A11" s="306"/>
      <c r="B11" s="307"/>
      <c r="C11" s="307"/>
      <c r="D11" s="307"/>
      <c r="E11" s="308"/>
      <c r="F11" s="308"/>
      <c r="G11" s="308"/>
      <c r="H11" s="308"/>
      <c r="I11" s="308"/>
      <c r="J11" s="307"/>
      <c r="K11" s="307"/>
      <c r="L11" s="307"/>
      <c r="M11" s="307"/>
      <c r="N11" s="307"/>
      <c r="O11" s="307"/>
      <c r="P11" s="307"/>
      <c r="Q11" s="307"/>
      <c r="R11" s="307"/>
      <c r="S11" s="307"/>
      <c r="T11" s="307"/>
      <c r="U11" s="308"/>
      <c r="V11" s="309"/>
    </row>
    <row r="12" spans="1:31" ht="18.95" customHeight="1" thickBot="1">
      <c r="A12" s="41"/>
      <c r="B12" s="42" t="s">
        <v>14</v>
      </c>
      <c r="C12" s="42"/>
      <c r="D12" s="43"/>
      <c r="E12" s="310" t="s">
        <v>35</v>
      </c>
      <c r="F12" s="311"/>
      <c r="G12" s="310" t="s">
        <v>15</v>
      </c>
      <c r="H12" s="311"/>
      <c r="I12" s="44" t="s">
        <v>16</v>
      </c>
      <c r="J12" s="45"/>
      <c r="K12" s="45"/>
      <c r="L12" s="45"/>
      <c r="M12" s="45"/>
      <c r="N12" s="45"/>
      <c r="O12" s="45"/>
      <c r="P12" s="45"/>
      <c r="Q12" s="45"/>
      <c r="R12" s="45"/>
      <c r="S12" s="46"/>
      <c r="T12" s="47"/>
      <c r="U12" s="47"/>
      <c r="V12" s="48"/>
    </row>
    <row r="13" spans="1:31" ht="18.95" customHeight="1">
      <c r="A13" s="125"/>
      <c r="B13" s="197"/>
      <c r="C13" s="49"/>
      <c r="D13" s="120"/>
      <c r="E13" s="299"/>
      <c r="F13" s="300"/>
      <c r="G13" s="299"/>
      <c r="H13" s="300"/>
      <c r="I13" s="198"/>
      <c r="J13" s="210"/>
      <c r="K13" s="210"/>
      <c r="L13" s="210"/>
      <c r="M13" s="210"/>
      <c r="N13" s="210"/>
      <c r="O13" s="210"/>
      <c r="P13" s="210"/>
      <c r="Q13" s="210"/>
      <c r="R13" s="24">
        <f>SUM(J13:Q13)</f>
        <v>0</v>
      </c>
      <c r="S13" s="25">
        <f>I13-R13</f>
        <v>0</v>
      </c>
      <c r="T13" s="26">
        <f>G13-I13</f>
        <v>0</v>
      </c>
      <c r="U13" s="130"/>
      <c r="V13" s="51" t="e">
        <f>R13/U13</f>
        <v>#DIV/0!</v>
      </c>
    </row>
    <row r="14" spans="1:31" ht="18.95" customHeight="1" thickBot="1">
      <c r="A14" s="126"/>
      <c r="B14" s="211"/>
      <c r="C14" s="53"/>
      <c r="D14" s="121"/>
      <c r="E14" s="301"/>
      <c r="F14" s="302"/>
      <c r="G14" s="301"/>
      <c r="H14" s="302"/>
      <c r="I14" s="212"/>
      <c r="J14" s="213"/>
      <c r="K14" s="213"/>
      <c r="L14" s="213"/>
      <c r="M14" s="213"/>
      <c r="N14" s="213"/>
      <c r="O14" s="213"/>
      <c r="P14" s="213"/>
      <c r="Q14" s="213"/>
      <c r="R14" s="24">
        <f>SUM(J14:Q14)</f>
        <v>0</v>
      </c>
      <c r="S14" s="25">
        <f>I14-R14</f>
        <v>0</v>
      </c>
      <c r="T14" s="26">
        <f t="shared" ref="T14" si="0">G14-I14</f>
        <v>0</v>
      </c>
      <c r="U14" s="131"/>
      <c r="V14" s="52" t="e">
        <f>R14/U14</f>
        <v>#DIV/0!</v>
      </c>
    </row>
    <row r="15" spans="1:31" ht="18.95" customHeight="1" thickTop="1" thickBot="1">
      <c r="A15" s="54"/>
      <c r="B15" s="55" t="s">
        <v>17</v>
      </c>
      <c r="C15" s="55"/>
      <c r="D15" s="56"/>
      <c r="E15" s="313">
        <f>SUM(E13:E14)</f>
        <v>0</v>
      </c>
      <c r="F15" s="314"/>
      <c r="G15" s="313">
        <f>SUM(G13:G14)</f>
        <v>0</v>
      </c>
      <c r="H15" s="314"/>
      <c r="I15" s="57">
        <f>SUM(I13:I14)</f>
        <v>0</v>
      </c>
      <c r="J15" s="58"/>
      <c r="K15" s="58"/>
      <c r="L15" s="58"/>
      <c r="M15" s="58"/>
      <c r="N15" s="58"/>
      <c r="O15" s="58"/>
      <c r="P15" s="58"/>
      <c r="Q15" s="58"/>
      <c r="R15" s="59">
        <f>SUM(R13:R14)</f>
        <v>0</v>
      </c>
      <c r="S15" s="60">
        <f>SUM(S13:S14)</f>
        <v>0</v>
      </c>
      <c r="T15" s="61">
        <f>SUM(T13:T14)</f>
        <v>0</v>
      </c>
      <c r="U15" s="62">
        <f>SUM(U13:U14)</f>
        <v>0</v>
      </c>
      <c r="V15" s="63"/>
    </row>
    <row r="16" spans="1:31" ht="2.25" customHeight="1" thickTop="1" thickBot="1">
      <c r="A16" s="64"/>
      <c r="B16" s="65"/>
      <c r="C16" s="65"/>
      <c r="D16" s="65"/>
      <c r="E16" s="65"/>
      <c r="F16" s="66"/>
      <c r="G16" s="65"/>
      <c r="H16" s="66"/>
      <c r="I16" s="67"/>
      <c r="J16" s="66"/>
      <c r="K16" s="66"/>
      <c r="L16" s="66"/>
      <c r="M16" s="66"/>
      <c r="N16" s="66"/>
      <c r="O16" s="66"/>
      <c r="P16" s="66"/>
      <c r="Q16" s="66"/>
      <c r="R16" s="66"/>
      <c r="S16" s="68"/>
      <c r="T16" s="69"/>
      <c r="U16" s="70"/>
      <c r="V16" s="71"/>
    </row>
    <row r="17" spans="1:22" ht="26.25" customHeight="1" thickTop="1" thickBot="1">
      <c r="A17" s="72"/>
      <c r="B17" s="73" t="s">
        <v>18</v>
      </c>
      <c r="C17" s="73"/>
      <c r="D17" s="73"/>
      <c r="E17" s="315"/>
      <c r="F17" s="316"/>
      <c r="G17" s="315"/>
      <c r="H17" s="316"/>
      <c r="I17" s="74"/>
      <c r="J17" s="74"/>
      <c r="K17" s="74"/>
      <c r="L17" s="74"/>
      <c r="M17" s="74"/>
      <c r="N17" s="74"/>
      <c r="O17" s="74"/>
      <c r="P17" s="74"/>
      <c r="Q17" s="74"/>
      <c r="R17" s="75">
        <f>SUM(R15,R10)</f>
        <v>4000</v>
      </c>
      <c r="S17" s="76">
        <f>SUM(S15,S10)</f>
        <v>84000</v>
      </c>
      <c r="T17" s="77">
        <f>T10+T15</f>
        <v>0</v>
      </c>
      <c r="U17" s="78">
        <f>SUM(U15,U10)</f>
        <v>0</v>
      </c>
      <c r="V17" s="79"/>
    </row>
    <row r="18" spans="1:22" ht="2.25" customHeight="1" thickTop="1" thickBot="1">
      <c r="A18" s="80"/>
      <c r="B18" s="81"/>
      <c r="C18" s="81"/>
      <c r="D18" s="81"/>
      <c r="E18" s="81"/>
      <c r="F18" s="82"/>
      <c r="G18" s="81"/>
      <c r="H18" s="82"/>
      <c r="I18" s="83"/>
      <c r="J18" s="82"/>
      <c r="K18" s="82"/>
      <c r="L18" s="82"/>
      <c r="M18" s="82"/>
      <c r="N18" s="82"/>
      <c r="O18" s="82"/>
      <c r="P18" s="82"/>
      <c r="Q18" s="82"/>
      <c r="R18" s="82"/>
      <c r="S18" s="84"/>
      <c r="T18" s="85"/>
      <c r="U18" s="86"/>
      <c r="V18" s="87"/>
    </row>
    <row r="19" spans="1:22" ht="18.2" customHeight="1" thickBot="1">
      <c r="A19" s="88"/>
      <c r="B19" s="73"/>
      <c r="C19" s="73"/>
      <c r="D19" s="73"/>
      <c r="E19" s="73"/>
      <c r="F19" s="29"/>
      <c r="G19" s="73"/>
      <c r="H19" s="29"/>
      <c r="I19" s="89"/>
      <c r="J19" s="29"/>
      <c r="K19" s="29"/>
      <c r="L19" s="29"/>
      <c r="M19" s="29"/>
      <c r="N19" s="29"/>
      <c r="O19" s="29"/>
      <c r="P19" s="29"/>
      <c r="Q19" s="29"/>
      <c r="R19" s="29"/>
      <c r="S19" s="90"/>
      <c r="T19" s="91"/>
      <c r="U19" s="92"/>
      <c r="V19" s="91"/>
    </row>
    <row r="20" spans="1:22" ht="18.2" customHeight="1" thickBot="1">
      <c r="A20" s="93" t="s">
        <v>19</v>
      </c>
      <c r="B20" s="317" t="s">
        <v>20</v>
      </c>
      <c r="C20" s="318"/>
      <c r="D20" s="94"/>
      <c r="E20" s="319"/>
      <c r="F20" s="320"/>
      <c r="G20" s="321"/>
      <c r="H20" s="322"/>
      <c r="I20" s="95"/>
      <c r="J20" s="96"/>
      <c r="K20" s="96"/>
      <c r="L20" s="96"/>
      <c r="M20" s="96"/>
      <c r="N20" s="96"/>
      <c r="O20" s="96"/>
      <c r="P20" s="96"/>
      <c r="Q20" s="96"/>
      <c r="R20" s="97">
        <f>SUM(J20:Q20)</f>
        <v>0</v>
      </c>
      <c r="S20" s="98">
        <f>I20-R20</f>
        <v>0</v>
      </c>
      <c r="T20" s="99">
        <f>G20-I20</f>
        <v>0</v>
      </c>
      <c r="U20" s="100"/>
      <c r="V20" s="101" t="e">
        <f>R20/U20</f>
        <v>#DIV/0!</v>
      </c>
    </row>
    <row r="21" spans="1:22" ht="18.2" customHeight="1">
      <c r="A21" s="102"/>
      <c r="B21" s="323" t="s">
        <v>21</v>
      </c>
      <c r="C21" s="324"/>
      <c r="D21" s="103"/>
      <c r="E21" s="325">
        <f>SUM(E10,F15,E20)</f>
        <v>82000</v>
      </c>
      <c r="F21" s="326"/>
      <c r="G21" s="325">
        <f>SUM(G10,H15,G20)</f>
        <v>88000</v>
      </c>
      <c r="H21" s="326"/>
      <c r="I21" s="104">
        <f>SUM(I20,I15,I10)</f>
        <v>88000</v>
      </c>
      <c r="J21" s="105">
        <f t="shared" ref="J21:Q21" si="1">SUM(J9:J20)</f>
        <v>1000</v>
      </c>
      <c r="K21" s="105">
        <f t="shared" si="1"/>
        <v>2000</v>
      </c>
      <c r="L21" s="105">
        <f t="shared" si="1"/>
        <v>0</v>
      </c>
      <c r="M21" s="105">
        <f t="shared" si="1"/>
        <v>100</v>
      </c>
      <c r="N21" s="105">
        <f t="shared" si="1"/>
        <v>200</v>
      </c>
      <c r="O21" s="105">
        <f t="shared" si="1"/>
        <v>230</v>
      </c>
      <c r="P21" s="105">
        <f t="shared" si="1"/>
        <v>230</v>
      </c>
      <c r="Q21" s="105">
        <f t="shared" si="1"/>
        <v>240</v>
      </c>
      <c r="R21" s="105">
        <f>SUM(J21:Q21)</f>
        <v>4000</v>
      </c>
      <c r="S21" s="106">
        <f>I21-R21</f>
        <v>84000</v>
      </c>
      <c r="T21" s="107">
        <f>SUM(T20,T17)</f>
        <v>0</v>
      </c>
      <c r="U21" s="108">
        <f>SUM(U20,U17)</f>
        <v>0</v>
      </c>
      <c r="V21" s="109"/>
    </row>
    <row r="22" spans="1:22" ht="25.5" customHeight="1">
      <c r="A22" s="110"/>
      <c r="B22" s="110"/>
      <c r="C22" s="110"/>
      <c r="D22" s="110"/>
      <c r="E22" s="110"/>
      <c r="F22" s="111"/>
      <c r="G22" s="110"/>
      <c r="H22" s="111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3"/>
      <c r="T22" s="110"/>
      <c r="U22" s="110"/>
    </row>
    <row r="23" spans="1:22" ht="6" customHeight="1"/>
    <row r="24" spans="1:22" ht="18" customHeight="1">
      <c r="A24" s="13" t="s">
        <v>22</v>
      </c>
    </row>
    <row r="25" spans="1:22" ht="18" customHeight="1">
      <c r="A25" s="312" t="s">
        <v>23</v>
      </c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  <c r="N25" s="312"/>
      <c r="O25" s="312"/>
      <c r="P25" s="312"/>
      <c r="Q25" s="312"/>
    </row>
    <row r="26" spans="1:22" ht="18" customHeight="1">
      <c r="A26" s="312" t="s">
        <v>24</v>
      </c>
      <c r="B26" s="312"/>
      <c r="C26" s="312"/>
      <c r="D26" s="312"/>
      <c r="E26" s="312"/>
      <c r="F26" s="312"/>
    </row>
    <row r="27" spans="1:22" ht="18" customHeight="1">
      <c r="A27" s="312" t="s">
        <v>25</v>
      </c>
      <c r="B27" s="312"/>
      <c r="C27" s="312"/>
      <c r="D27" s="312"/>
      <c r="E27" s="312"/>
      <c r="F27" s="312"/>
    </row>
  </sheetData>
  <mergeCells count="52">
    <mergeCell ref="J6:Q6"/>
    <mergeCell ref="R2:T2"/>
    <mergeCell ref="A3:B3"/>
    <mergeCell ref="C3:H3"/>
    <mergeCell ref="R3:S6"/>
    <mergeCell ref="T3:V3"/>
    <mergeCell ref="A4:B4"/>
    <mergeCell ref="C4:H4"/>
    <mergeCell ref="T4:V6"/>
    <mergeCell ref="I7:I8"/>
    <mergeCell ref="A5:B5"/>
    <mergeCell ref="C5:H5"/>
    <mergeCell ref="A6:B6"/>
    <mergeCell ref="C6:F6"/>
    <mergeCell ref="G6:H6"/>
    <mergeCell ref="E9:F9"/>
    <mergeCell ref="G9:H9"/>
    <mergeCell ref="A7:B8"/>
    <mergeCell ref="C7:C8"/>
    <mergeCell ref="D7:D8"/>
    <mergeCell ref="E7:F8"/>
    <mergeCell ref="G7:H8"/>
    <mergeCell ref="R7:R8"/>
    <mergeCell ref="S7:S8"/>
    <mergeCell ref="T7:T8"/>
    <mergeCell ref="U7:U8"/>
    <mergeCell ref="V7:V8"/>
    <mergeCell ref="E14:F14"/>
    <mergeCell ref="G14:H14"/>
    <mergeCell ref="E15:F15"/>
    <mergeCell ref="G15:H15"/>
    <mergeCell ref="E10:F10"/>
    <mergeCell ref="G10:H10"/>
    <mergeCell ref="A11:V11"/>
    <mergeCell ref="E12:F12"/>
    <mergeCell ref="G12:H12"/>
    <mergeCell ref="A25:Q25"/>
    <mergeCell ref="A26:F26"/>
    <mergeCell ref="A27:F27"/>
    <mergeCell ref="J3:N3"/>
    <mergeCell ref="J4:N4"/>
    <mergeCell ref="J5:N5"/>
    <mergeCell ref="E17:F17"/>
    <mergeCell ref="G17:H17"/>
    <mergeCell ref="B20:C20"/>
    <mergeCell ref="E20:F20"/>
    <mergeCell ref="G20:H20"/>
    <mergeCell ref="B21:C21"/>
    <mergeCell ref="E21:F21"/>
    <mergeCell ref="G21:H21"/>
    <mergeCell ref="E13:F13"/>
    <mergeCell ref="G13:H13"/>
  </mergeCells>
  <phoneticPr fontId="2"/>
  <pageMargins left="0.7" right="0.7" top="0.75" bottom="0.75" header="0.3" footer="0.3"/>
  <pageSetup paperSize="9" scale="4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BC319-3A2C-45E9-8EE6-AD957C76203E}">
  <sheetPr codeName="Sheet10"/>
  <dimension ref="A1:AE17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T4" sqref="T4:V6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114" customWidth="1"/>
    <col min="7" max="7" width="7.625" style="13" customWidth="1"/>
    <col min="8" max="8" width="7.625" style="114" customWidth="1"/>
    <col min="9" max="9" width="15.375" style="115" customWidth="1"/>
    <col min="10" max="18" width="8.625" style="115" customWidth="1"/>
    <col min="19" max="19" width="8.625" style="116" customWidth="1"/>
    <col min="20" max="20" width="11.125" style="13" customWidth="1"/>
    <col min="21" max="21" width="8.625" style="13" customWidth="1"/>
    <col min="22" max="22" width="8.625" style="7" customWidth="1"/>
    <col min="23" max="260" width="9" style="7"/>
    <col min="261" max="261" width="8.625" style="7" customWidth="1"/>
    <col min="262" max="262" width="19.625" style="7" customWidth="1"/>
    <col min="263" max="263" width="8.625" style="7" customWidth="1"/>
    <col min="264" max="265" width="7.625" style="7" customWidth="1"/>
    <col min="266" max="266" width="11.125" style="7" customWidth="1"/>
    <col min="267" max="275" width="8.625" style="7" customWidth="1"/>
    <col min="276" max="276" width="11.125" style="7" customWidth="1"/>
    <col min="277" max="278" width="8.625" style="7" customWidth="1"/>
    <col min="279" max="516" width="9" style="7"/>
    <col min="517" max="517" width="8.625" style="7" customWidth="1"/>
    <col min="518" max="518" width="19.625" style="7" customWidth="1"/>
    <col min="519" max="519" width="8.625" style="7" customWidth="1"/>
    <col min="520" max="521" width="7.625" style="7" customWidth="1"/>
    <col min="522" max="522" width="11.125" style="7" customWidth="1"/>
    <col min="523" max="531" width="8.625" style="7" customWidth="1"/>
    <col min="532" max="532" width="11.125" style="7" customWidth="1"/>
    <col min="533" max="534" width="8.625" style="7" customWidth="1"/>
    <col min="535" max="772" width="9" style="7"/>
    <col min="773" max="773" width="8.625" style="7" customWidth="1"/>
    <col min="774" max="774" width="19.625" style="7" customWidth="1"/>
    <col min="775" max="775" width="8.625" style="7" customWidth="1"/>
    <col min="776" max="777" width="7.625" style="7" customWidth="1"/>
    <col min="778" max="778" width="11.125" style="7" customWidth="1"/>
    <col min="779" max="787" width="8.625" style="7" customWidth="1"/>
    <col min="788" max="788" width="11.125" style="7" customWidth="1"/>
    <col min="789" max="790" width="8.625" style="7" customWidth="1"/>
    <col min="791" max="1028" width="9" style="7"/>
    <col min="1029" max="1029" width="8.625" style="7" customWidth="1"/>
    <col min="1030" max="1030" width="19.625" style="7" customWidth="1"/>
    <col min="1031" max="1031" width="8.625" style="7" customWidth="1"/>
    <col min="1032" max="1033" width="7.625" style="7" customWidth="1"/>
    <col min="1034" max="1034" width="11.125" style="7" customWidth="1"/>
    <col min="1035" max="1043" width="8.625" style="7" customWidth="1"/>
    <col min="1044" max="1044" width="11.125" style="7" customWidth="1"/>
    <col min="1045" max="1046" width="8.625" style="7" customWidth="1"/>
    <col min="1047" max="1284" width="9" style="7"/>
    <col min="1285" max="1285" width="8.625" style="7" customWidth="1"/>
    <col min="1286" max="1286" width="19.625" style="7" customWidth="1"/>
    <col min="1287" max="1287" width="8.625" style="7" customWidth="1"/>
    <col min="1288" max="1289" width="7.625" style="7" customWidth="1"/>
    <col min="1290" max="1290" width="11.125" style="7" customWidth="1"/>
    <col min="1291" max="1299" width="8.625" style="7" customWidth="1"/>
    <col min="1300" max="1300" width="11.125" style="7" customWidth="1"/>
    <col min="1301" max="1302" width="8.625" style="7" customWidth="1"/>
    <col min="1303" max="1540" width="9" style="7"/>
    <col min="1541" max="1541" width="8.625" style="7" customWidth="1"/>
    <col min="1542" max="1542" width="19.625" style="7" customWidth="1"/>
    <col min="1543" max="1543" width="8.625" style="7" customWidth="1"/>
    <col min="1544" max="1545" width="7.625" style="7" customWidth="1"/>
    <col min="1546" max="1546" width="11.125" style="7" customWidth="1"/>
    <col min="1547" max="1555" width="8.625" style="7" customWidth="1"/>
    <col min="1556" max="1556" width="11.125" style="7" customWidth="1"/>
    <col min="1557" max="1558" width="8.625" style="7" customWidth="1"/>
    <col min="1559" max="1796" width="9" style="7"/>
    <col min="1797" max="1797" width="8.625" style="7" customWidth="1"/>
    <col min="1798" max="1798" width="19.625" style="7" customWidth="1"/>
    <col min="1799" max="1799" width="8.625" style="7" customWidth="1"/>
    <col min="1800" max="1801" width="7.625" style="7" customWidth="1"/>
    <col min="1802" max="1802" width="11.125" style="7" customWidth="1"/>
    <col min="1803" max="1811" width="8.625" style="7" customWidth="1"/>
    <col min="1812" max="1812" width="11.125" style="7" customWidth="1"/>
    <col min="1813" max="1814" width="8.625" style="7" customWidth="1"/>
    <col min="1815" max="2052" width="9" style="7"/>
    <col min="2053" max="2053" width="8.625" style="7" customWidth="1"/>
    <col min="2054" max="2054" width="19.625" style="7" customWidth="1"/>
    <col min="2055" max="2055" width="8.625" style="7" customWidth="1"/>
    <col min="2056" max="2057" width="7.625" style="7" customWidth="1"/>
    <col min="2058" max="2058" width="11.125" style="7" customWidth="1"/>
    <col min="2059" max="2067" width="8.625" style="7" customWidth="1"/>
    <col min="2068" max="2068" width="11.125" style="7" customWidth="1"/>
    <col min="2069" max="2070" width="8.625" style="7" customWidth="1"/>
    <col min="2071" max="2308" width="9" style="7"/>
    <col min="2309" max="2309" width="8.625" style="7" customWidth="1"/>
    <col min="2310" max="2310" width="19.625" style="7" customWidth="1"/>
    <col min="2311" max="2311" width="8.625" style="7" customWidth="1"/>
    <col min="2312" max="2313" width="7.625" style="7" customWidth="1"/>
    <col min="2314" max="2314" width="11.125" style="7" customWidth="1"/>
    <col min="2315" max="2323" width="8.625" style="7" customWidth="1"/>
    <col min="2324" max="2324" width="11.125" style="7" customWidth="1"/>
    <col min="2325" max="2326" width="8.625" style="7" customWidth="1"/>
    <col min="2327" max="2564" width="9" style="7"/>
    <col min="2565" max="2565" width="8.625" style="7" customWidth="1"/>
    <col min="2566" max="2566" width="19.625" style="7" customWidth="1"/>
    <col min="2567" max="2567" width="8.625" style="7" customWidth="1"/>
    <col min="2568" max="2569" width="7.625" style="7" customWidth="1"/>
    <col min="2570" max="2570" width="11.125" style="7" customWidth="1"/>
    <col min="2571" max="2579" width="8.625" style="7" customWidth="1"/>
    <col min="2580" max="2580" width="11.125" style="7" customWidth="1"/>
    <col min="2581" max="2582" width="8.625" style="7" customWidth="1"/>
    <col min="2583" max="2820" width="9" style="7"/>
    <col min="2821" max="2821" width="8.625" style="7" customWidth="1"/>
    <col min="2822" max="2822" width="19.625" style="7" customWidth="1"/>
    <col min="2823" max="2823" width="8.625" style="7" customWidth="1"/>
    <col min="2824" max="2825" width="7.625" style="7" customWidth="1"/>
    <col min="2826" max="2826" width="11.125" style="7" customWidth="1"/>
    <col min="2827" max="2835" width="8.625" style="7" customWidth="1"/>
    <col min="2836" max="2836" width="11.125" style="7" customWidth="1"/>
    <col min="2837" max="2838" width="8.625" style="7" customWidth="1"/>
    <col min="2839" max="3076" width="9" style="7"/>
    <col min="3077" max="3077" width="8.625" style="7" customWidth="1"/>
    <col min="3078" max="3078" width="19.625" style="7" customWidth="1"/>
    <col min="3079" max="3079" width="8.625" style="7" customWidth="1"/>
    <col min="3080" max="3081" width="7.625" style="7" customWidth="1"/>
    <col min="3082" max="3082" width="11.125" style="7" customWidth="1"/>
    <col min="3083" max="3091" width="8.625" style="7" customWidth="1"/>
    <col min="3092" max="3092" width="11.125" style="7" customWidth="1"/>
    <col min="3093" max="3094" width="8.625" style="7" customWidth="1"/>
    <col min="3095" max="3332" width="9" style="7"/>
    <col min="3333" max="3333" width="8.625" style="7" customWidth="1"/>
    <col min="3334" max="3334" width="19.625" style="7" customWidth="1"/>
    <col min="3335" max="3335" width="8.625" style="7" customWidth="1"/>
    <col min="3336" max="3337" width="7.625" style="7" customWidth="1"/>
    <col min="3338" max="3338" width="11.125" style="7" customWidth="1"/>
    <col min="3339" max="3347" width="8.625" style="7" customWidth="1"/>
    <col min="3348" max="3348" width="11.125" style="7" customWidth="1"/>
    <col min="3349" max="3350" width="8.625" style="7" customWidth="1"/>
    <col min="3351" max="3588" width="9" style="7"/>
    <col min="3589" max="3589" width="8.625" style="7" customWidth="1"/>
    <col min="3590" max="3590" width="19.625" style="7" customWidth="1"/>
    <col min="3591" max="3591" width="8.625" style="7" customWidth="1"/>
    <col min="3592" max="3593" width="7.625" style="7" customWidth="1"/>
    <col min="3594" max="3594" width="11.125" style="7" customWidth="1"/>
    <col min="3595" max="3603" width="8.625" style="7" customWidth="1"/>
    <col min="3604" max="3604" width="11.125" style="7" customWidth="1"/>
    <col min="3605" max="3606" width="8.625" style="7" customWidth="1"/>
    <col min="3607" max="3844" width="9" style="7"/>
    <col min="3845" max="3845" width="8.625" style="7" customWidth="1"/>
    <col min="3846" max="3846" width="19.625" style="7" customWidth="1"/>
    <col min="3847" max="3847" width="8.625" style="7" customWidth="1"/>
    <col min="3848" max="3849" width="7.625" style="7" customWidth="1"/>
    <col min="3850" max="3850" width="11.125" style="7" customWidth="1"/>
    <col min="3851" max="3859" width="8.625" style="7" customWidth="1"/>
    <col min="3860" max="3860" width="11.125" style="7" customWidth="1"/>
    <col min="3861" max="3862" width="8.625" style="7" customWidth="1"/>
    <col min="3863" max="4100" width="9" style="7"/>
    <col min="4101" max="4101" width="8.625" style="7" customWidth="1"/>
    <col min="4102" max="4102" width="19.625" style="7" customWidth="1"/>
    <col min="4103" max="4103" width="8.625" style="7" customWidth="1"/>
    <col min="4104" max="4105" width="7.625" style="7" customWidth="1"/>
    <col min="4106" max="4106" width="11.125" style="7" customWidth="1"/>
    <col min="4107" max="4115" width="8.625" style="7" customWidth="1"/>
    <col min="4116" max="4116" width="11.125" style="7" customWidth="1"/>
    <col min="4117" max="4118" width="8.625" style="7" customWidth="1"/>
    <col min="4119" max="4356" width="9" style="7"/>
    <col min="4357" max="4357" width="8.625" style="7" customWidth="1"/>
    <col min="4358" max="4358" width="19.625" style="7" customWidth="1"/>
    <col min="4359" max="4359" width="8.625" style="7" customWidth="1"/>
    <col min="4360" max="4361" width="7.625" style="7" customWidth="1"/>
    <col min="4362" max="4362" width="11.125" style="7" customWidth="1"/>
    <col min="4363" max="4371" width="8.625" style="7" customWidth="1"/>
    <col min="4372" max="4372" width="11.125" style="7" customWidth="1"/>
    <col min="4373" max="4374" width="8.625" style="7" customWidth="1"/>
    <col min="4375" max="4612" width="9" style="7"/>
    <col min="4613" max="4613" width="8.625" style="7" customWidth="1"/>
    <col min="4614" max="4614" width="19.625" style="7" customWidth="1"/>
    <col min="4615" max="4615" width="8.625" style="7" customWidth="1"/>
    <col min="4616" max="4617" width="7.625" style="7" customWidth="1"/>
    <col min="4618" max="4618" width="11.125" style="7" customWidth="1"/>
    <col min="4619" max="4627" width="8.625" style="7" customWidth="1"/>
    <col min="4628" max="4628" width="11.125" style="7" customWidth="1"/>
    <col min="4629" max="4630" width="8.625" style="7" customWidth="1"/>
    <col min="4631" max="4868" width="9" style="7"/>
    <col min="4869" max="4869" width="8.625" style="7" customWidth="1"/>
    <col min="4870" max="4870" width="19.625" style="7" customWidth="1"/>
    <col min="4871" max="4871" width="8.625" style="7" customWidth="1"/>
    <col min="4872" max="4873" width="7.625" style="7" customWidth="1"/>
    <col min="4874" max="4874" width="11.125" style="7" customWidth="1"/>
    <col min="4875" max="4883" width="8.625" style="7" customWidth="1"/>
    <col min="4884" max="4884" width="11.125" style="7" customWidth="1"/>
    <col min="4885" max="4886" width="8.625" style="7" customWidth="1"/>
    <col min="4887" max="5124" width="9" style="7"/>
    <col min="5125" max="5125" width="8.625" style="7" customWidth="1"/>
    <col min="5126" max="5126" width="19.625" style="7" customWidth="1"/>
    <col min="5127" max="5127" width="8.625" style="7" customWidth="1"/>
    <col min="5128" max="5129" width="7.625" style="7" customWidth="1"/>
    <col min="5130" max="5130" width="11.125" style="7" customWidth="1"/>
    <col min="5131" max="5139" width="8.625" style="7" customWidth="1"/>
    <col min="5140" max="5140" width="11.125" style="7" customWidth="1"/>
    <col min="5141" max="5142" width="8.625" style="7" customWidth="1"/>
    <col min="5143" max="5380" width="9" style="7"/>
    <col min="5381" max="5381" width="8.625" style="7" customWidth="1"/>
    <col min="5382" max="5382" width="19.625" style="7" customWidth="1"/>
    <col min="5383" max="5383" width="8.625" style="7" customWidth="1"/>
    <col min="5384" max="5385" width="7.625" style="7" customWidth="1"/>
    <col min="5386" max="5386" width="11.125" style="7" customWidth="1"/>
    <col min="5387" max="5395" width="8.625" style="7" customWidth="1"/>
    <col min="5396" max="5396" width="11.125" style="7" customWidth="1"/>
    <col min="5397" max="5398" width="8.625" style="7" customWidth="1"/>
    <col min="5399" max="5636" width="9" style="7"/>
    <col min="5637" max="5637" width="8.625" style="7" customWidth="1"/>
    <col min="5638" max="5638" width="19.625" style="7" customWidth="1"/>
    <col min="5639" max="5639" width="8.625" style="7" customWidth="1"/>
    <col min="5640" max="5641" width="7.625" style="7" customWidth="1"/>
    <col min="5642" max="5642" width="11.125" style="7" customWidth="1"/>
    <col min="5643" max="5651" width="8.625" style="7" customWidth="1"/>
    <col min="5652" max="5652" width="11.125" style="7" customWidth="1"/>
    <col min="5653" max="5654" width="8.625" style="7" customWidth="1"/>
    <col min="5655" max="5892" width="9" style="7"/>
    <col min="5893" max="5893" width="8.625" style="7" customWidth="1"/>
    <col min="5894" max="5894" width="19.625" style="7" customWidth="1"/>
    <col min="5895" max="5895" width="8.625" style="7" customWidth="1"/>
    <col min="5896" max="5897" width="7.625" style="7" customWidth="1"/>
    <col min="5898" max="5898" width="11.125" style="7" customWidth="1"/>
    <col min="5899" max="5907" width="8.625" style="7" customWidth="1"/>
    <col min="5908" max="5908" width="11.125" style="7" customWidth="1"/>
    <col min="5909" max="5910" width="8.625" style="7" customWidth="1"/>
    <col min="5911" max="6148" width="9" style="7"/>
    <col min="6149" max="6149" width="8.625" style="7" customWidth="1"/>
    <col min="6150" max="6150" width="19.625" style="7" customWidth="1"/>
    <col min="6151" max="6151" width="8.625" style="7" customWidth="1"/>
    <col min="6152" max="6153" width="7.625" style="7" customWidth="1"/>
    <col min="6154" max="6154" width="11.125" style="7" customWidth="1"/>
    <col min="6155" max="6163" width="8.625" style="7" customWidth="1"/>
    <col min="6164" max="6164" width="11.125" style="7" customWidth="1"/>
    <col min="6165" max="6166" width="8.625" style="7" customWidth="1"/>
    <col min="6167" max="6404" width="9" style="7"/>
    <col min="6405" max="6405" width="8.625" style="7" customWidth="1"/>
    <col min="6406" max="6406" width="19.625" style="7" customWidth="1"/>
    <col min="6407" max="6407" width="8.625" style="7" customWidth="1"/>
    <col min="6408" max="6409" width="7.625" style="7" customWidth="1"/>
    <col min="6410" max="6410" width="11.125" style="7" customWidth="1"/>
    <col min="6411" max="6419" width="8.625" style="7" customWidth="1"/>
    <col min="6420" max="6420" width="11.125" style="7" customWidth="1"/>
    <col min="6421" max="6422" width="8.625" style="7" customWidth="1"/>
    <col min="6423" max="6660" width="9" style="7"/>
    <col min="6661" max="6661" width="8.625" style="7" customWidth="1"/>
    <col min="6662" max="6662" width="19.625" style="7" customWidth="1"/>
    <col min="6663" max="6663" width="8.625" style="7" customWidth="1"/>
    <col min="6664" max="6665" width="7.625" style="7" customWidth="1"/>
    <col min="6666" max="6666" width="11.125" style="7" customWidth="1"/>
    <col min="6667" max="6675" width="8.625" style="7" customWidth="1"/>
    <col min="6676" max="6676" width="11.125" style="7" customWidth="1"/>
    <col min="6677" max="6678" width="8.625" style="7" customWidth="1"/>
    <col min="6679" max="6916" width="9" style="7"/>
    <col min="6917" max="6917" width="8.625" style="7" customWidth="1"/>
    <col min="6918" max="6918" width="19.625" style="7" customWidth="1"/>
    <col min="6919" max="6919" width="8.625" style="7" customWidth="1"/>
    <col min="6920" max="6921" width="7.625" style="7" customWidth="1"/>
    <col min="6922" max="6922" width="11.125" style="7" customWidth="1"/>
    <col min="6923" max="6931" width="8.625" style="7" customWidth="1"/>
    <col min="6932" max="6932" width="11.125" style="7" customWidth="1"/>
    <col min="6933" max="6934" width="8.625" style="7" customWidth="1"/>
    <col min="6935" max="7172" width="9" style="7"/>
    <col min="7173" max="7173" width="8.625" style="7" customWidth="1"/>
    <col min="7174" max="7174" width="19.625" style="7" customWidth="1"/>
    <col min="7175" max="7175" width="8.625" style="7" customWidth="1"/>
    <col min="7176" max="7177" width="7.625" style="7" customWidth="1"/>
    <col min="7178" max="7178" width="11.125" style="7" customWidth="1"/>
    <col min="7179" max="7187" width="8.625" style="7" customWidth="1"/>
    <col min="7188" max="7188" width="11.125" style="7" customWidth="1"/>
    <col min="7189" max="7190" width="8.625" style="7" customWidth="1"/>
    <col min="7191" max="7428" width="9" style="7"/>
    <col min="7429" max="7429" width="8.625" style="7" customWidth="1"/>
    <col min="7430" max="7430" width="19.625" style="7" customWidth="1"/>
    <col min="7431" max="7431" width="8.625" style="7" customWidth="1"/>
    <col min="7432" max="7433" width="7.625" style="7" customWidth="1"/>
    <col min="7434" max="7434" width="11.125" style="7" customWidth="1"/>
    <col min="7435" max="7443" width="8.625" style="7" customWidth="1"/>
    <col min="7444" max="7444" width="11.125" style="7" customWidth="1"/>
    <col min="7445" max="7446" width="8.625" style="7" customWidth="1"/>
    <col min="7447" max="7684" width="9" style="7"/>
    <col min="7685" max="7685" width="8.625" style="7" customWidth="1"/>
    <col min="7686" max="7686" width="19.625" style="7" customWidth="1"/>
    <col min="7687" max="7687" width="8.625" style="7" customWidth="1"/>
    <col min="7688" max="7689" width="7.625" style="7" customWidth="1"/>
    <col min="7690" max="7690" width="11.125" style="7" customWidth="1"/>
    <col min="7691" max="7699" width="8.625" style="7" customWidth="1"/>
    <col min="7700" max="7700" width="11.125" style="7" customWidth="1"/>
    <col min="7701" max="7702" width="8.625" style="7" customWidth="1"/>
    <col min="7703" max="7940" width="9" style="7"/>
    <col min="7941" max="7941" width="8.625" style="7" customWidth="1"/>
    <col min="7942" max="7942" width="19.625" style="7" customWidth="1"/>
    <col min="7943" max="7943" width="8.625" style="7" customWidth="1"/>
    <col min="7944" max="7945" width="7.625" style="7" customWidth="1"/>
    <col min="7946" max="7946" width="11.125" style="7" customWidth="1"/>
    <col min="7947" max="7955" width="8.625" style="7" customWidth="1"/>
    <col min="7956" max="7956" width="11.125" style="7" customWidth="1"/>
    <col min="7957" max="7958" width="8.625" style="7" customWidth="1"/>
    <col min="7959" max="8196" width="9" style="7"/>
    <col min="8197" max="8197" width="8.625" style="7" customWidth="1"/>
    <col min="8198" max="8198" width="19.625" style="7" customWidth="1"/>
    <col min="8199" max="8199" width="8.625" style="7" customWidth="1"/>
    <col min="8200" max="8201" width="7.625" style="7" customWidth="1"/>
    <col min="8202" max="8202" width="11.125" style="7" customWidth="1"/>
    <col min="8203" max="8211" width="8.625" style="7" customWidth="1"/>
    <col min="8212" max="8212" width="11.125" style="7" customWidth="1"/>
    <col min="8213" max="8214" width="8.625" style="7" customWidth="1"/>
    <col min="8215" max="8452" width="9" style="7"/>
    <col min="8453" max="8453" width="8.625" style="7" customWidth="1"/>
    <col min="8454" max="8454" width="19.625" style="7" customWidth="1"/>
    <col min="8455" max="8455" width="8.625" style="7" customWidth="1"/>
    <col min="8456" max="8457" width="7.625" style="7" customWidth="1"/>
    <col min="8458" max="8458" width="11.125" style="7" customWidth="1"/>
    <col min="8459" max="8467" width="8.625" style="7" customWidth="1"/>
    <col min="8468" max="8468" width="11.125" style="7" customWidth="1"/>
    <col min="8469" max="8470" width="8.625" style="7" customWidth="1"/>
    <col min="8471" max="8708" width="9" style="7"/>
    <col min="8709" max="8709" width="8.625" style="7" customWidth="1"/>
    <col min="8710" max="8710" width="19.625" style="7" customWidth="1"/>
    <col min="8711" max="8711" width="8.625" style="7" customWidth="1"/>
    <col min="8712" max="8713" width="7.625" style="7" customWidth="1"/>
    <col min="8714" max="8714" width="11.125" style="7" customWidth="1"/>
    <col min="8715" max="8723" width="8.625" style="7" customWidth="1"/>
    <col min="8724" max="8724" width="11.125" style="7" customWidth="1"/>
    <col min="8725" max="8726" width="8.625" style="7" customWidth="1"/>
    <col min="8727" max="8964" width="9" style="7"/>
    <col min="8965" max="8965" width="8.625" style="7" customWidth="1"/>
    <col min="8966" max="8966" width="19.625" style="7" customWidth="1"/>
    <col min="8967" max="8967" width="8.625" style="7" customWidth="1"/>
    <col min="8968" max="8969" width="7.625" style="7" customWidth="1"/>
    <col min="8970" max="8970" width="11.125" style="7" customWidth="1"/>
    <col min="8971" max="8979" width="8.625" style="7" customWidth="1"/>
    <col min="8980" max="8980" width="11.125" style="7" customWidth="1"/>
    <col min="8981" max="8982" width="8.625" style="7" customWidth="1"/>
    <col min="8983" max="9220" width="9" style="7"/>
    <col min="9221" max="9221" width="8.625" style="7" customWidth="1"/>
    <col min="9222" max="9222" width="19.625" style="7" customWidth="1"/>
    <col min="9223" max="9223" width="8.625" style="7" customWidth="1"/>
    <col min="9224" max="9225" width="7.625" style="7" customWidth="1"/>
    <col min="9226" max="9226" width="11.125" style="7" customWidth="1"/>
    <col min="9227" max="9235" width="8.625" style="7" customWidth="1"/>
    <col min="9236" max="9236" width="11.125" style="7" customWidth="1"/>
    <col min="9237" max="9238" width="8.625" style="7" customWidth="1"/>
    <col min="9239" max="9476" width="9" style="7"/>
    <col min="9477" max="9477" width="8.625" style="7" customWidth="1"/>
    <col min="9478" max="9478" width="19.625" style="7" customWidth="1"/>
    <col min="9479" max="9479" width="8.625" style="7" customWidth="1"/>
    <col min="9480" max="9481" width="7.625" style="7" customWidth="1"/>
    <col min="9482" max="9482" width="11.125" style="7" customWidth="1"/>
    <col min="9483" max="9491" width="8.625" style="7" customWidth="1"/>
    <col min="9492" max="9492" width="11.125" style="7" customWidth="1"/>
    <col min="9493" max="9494" width="8.625" style="7" customWidth="1"/>
    <col min="9495" max="9732" width="9" style="7"/>
    <col min="9733" max="9733" width="8.625" style="7" customWidth="1"/>
    <col min="9734" max="9734" width="19.625" style="7" customWidth="1"/>
    <col min="9735" max="9735" width="8.625" style="7" customWidth="1"/>
    <col min="9736" max="9737" width="7.625" style="7" customWidth="1"/>
    <col min="9738" max="9738" width="11.125" style="7" customWidth="1"/>
    <col min="9739" max="9747" width="8.625" style="7" customWidth="1"/>
    <col min="9748" max="9748" width="11.125" style="7" customWidth="1"/>
    <col min="9749" max="9750" width="8.625" style="7" customWidth="1"/>
    <col min="9751" max="9988" width="9" style="7"/>
    <col min="9989" max="9989" width="8.625" style="7" customWidth="1"/>
    <col min="9990" max="9990" width="19.625" style="7" customWidth="1"/>
    <col min="9991" max="9991" width="8.625" style="7" customWidth="1"/>
    <col min="9992" max="9993" width="7.625" style="7" customWidth="1"/>
    <col min="9994" max="9994" width="11.125" style="7" customWidth="1"/>
    <col min="9995" max="10003" width="8.625" style="7" customWidth="1"/>
    <col min="10004" max="10004" width="11.125" style="7" customWidth="1"/>
    <col min="10005" max="10006" width="8.625" style="7" customWidth="1"/>
    <col min="10007" max="10244" width="9" style="7"/>
    <col min="10245" max="10245" width="8.625" style="7" customWidth="1"/>
    <col min="10246" max="10246" width="19.625" style="7" customWidth="1"/>
    <col min="10247" max="10247" width="8.625" style="7" customWidth="1"/>
    <col min="10248" max="10249" width="7.625" style="7" customWidth="1"/>
    <col min="10250" max="10250" width="11.125" style="7" customWidth="1"/>
    <col min="10251" max="10259" width="8.625" style="7" customWidth="1"/>
    <col min="10260" max="10260" width="11.125" style="7" customWidth="1"/>
    <col min="10261" max="10262" width="8.625" style="7" customWidth="1"/>
    <col min="10263" max="10500" width="9" style="7"/>
    <col min="10501" max="10501" width="8.625" style="7" customWidth="1"/>
    <col min="10502" max="10502" width="19.625" style="7" customWidth="1"/>
    <col min="10503" max="10503" width="8.625" style="7" customWidth="1"/>
    <col min="10504" max="10505" width="7.625" style="7" customWidth="1"/>
    <col min="10506" max="10506" width="11.125" style="7" customWidth="1"/>
    <col min="10507" max="10515" width="8.625" style="7" customWidth="1"/>
    <col min="10516" max="10516" width="11.125" style="7" customWidth="1"/>
    <col min="10517" max="10518" width="8.625" style="7" customWidth="1"/>
    <col min="10519" max="10756" width="9" style="7"/>
    <col min="10757" max="10757" width="8.625" style="7" customWidth="1"/>
    <col min="10758" max="10758" width="19.625" style="7" customWidth="1"/>
    <col min="10759" max="10759" width="8.625" style="7" customWidth="1"/>
    <col min="10760" max="10761" width="7.625" style="7" customWidth="1"/>
    <col min="10762" max="10762" width="11.125" style="7" customWidth="1"/>
    <col min="10763" max="10771" width="8.625" style="7" customWidth="1"/>
    <col min="10772" max="10772" width="11.125" style="7" customWidth="1"/>
    <col min="10773" max="10774" width="8.625" style="7" customWidth="1"/>
    <col min="10775" max="11012" width="9" style="7"/>
    <col min="11013" max="11013" width="8.625" style="7" customWidth="1"/>
    <col min="11014" max="11014" width="19.625" style="7" customWidth="1"/>
    <col min="11015" max="11015" width="8.625" style="7" customWidth="1"/>
    <col min="11016" max="11017" width="7.625" style="7" customWidth="1"/>
    <col min="11018" max="11018" width="11.125" style="7" customWidth="1"/>
    <col min="11019" max="11027" width="8.625" style="7" customWidth="1"/>
    <col min="11028" max="11028" width="11.125" style="7" customWidth="1"/>
    <col min="11029" max="11030" width="8.625" style="7" customWidth="1"/>
    <col min="11031" max="11268" width="9" style="7"/>
    <col min="11269" max="11269" width="8.625" style="7" customWidth="1"/>
    <col min="11270" max="11270" width="19.625" style="7" customWidth="1"/>
    <col min="11271" max="11271" width="8.625" style="7" customWidth="1"/>
    <col min="11272" max="11273" width="7.625" style="7" customWidth="1"/>
    <col min="11274" max="11274" width="11.125" style="7" customWidth="1"/>
    <col min="11275" max="11283" width="8.625" style="7" customWidth="1"/>
    <col min="11284" max="11284" width="11.125" style="7" customWidth="1"/>
    <col min="11285" max="11286" width="8.625" style="7" customWidth="1"/>
    <col min="11287" max="11524" width="9" style="7"/>
    <col min="11525" max="11525" width="8.625" style="7" customWidth="1"/>
    <col min="11526" max="11526" width="19.625" style="7" customWidth="1"/>
    <col min="11527" max="11527" width="8.625" style="7" customWidth="1"/>
    <col min="11528" max="11529" width="7.625" style="7" customWidth="1"/>
    <col min="11530" max="11530" width="11.125" style="7" customWidth="1"/>
    <col min="11531" max="11539" width="8.625" style="7" customWidth="1"/>
    <col min="11540" max="11540" width="11.125" style="7" customWidth="1"/>
    <col min="11541" max="11542" width="8.625" style="7" customWidth="1"/>
    <col min="11543" max="11780" width="9" style="7"/>
    <col min="11781" max="11781" width="8.625" style="7" customWidth="1"/>
    <col min="11782" max="11782" width="19.625" style="7" customWidth="1"/>
    <col min="11783" max="11783" width="8.625" style="7" customWidth="1"/>
    <col min="11784" max="11785" width="7.625" style="7" customWidth="1"/>
    <col min="11786" max="11786" width="11.125" style="7" customWidth="1"/>
    <col min="11787" max="11795" width="8.625" style="7" customWidth="1"/>
    <col min="11796" max="11796" width="11.125" style="7" customWidth="1"/>
    <col min="11797" max="11798" width="8.625" style="7" customWidth="1"/>
    <col min="11799" max="12036" width="9" style="7"/>
    <col min="12037" max="12037" width="8.625" style="7" customWidth="1"/>
    <col min="12038" max="12038" width="19.625" style="7" customWidth="1"/>
    <col min="12039" max="12039" width="8.625" style="7" customWidth="1"/>
    <col min="12040" max="12041" width="7.625" style="7" customWidth="1"/>
    <col min="12042" max="12042" width="11.125" style="7" customWidth="1"/>
    <col min="12043" max="12051" width="8.625" style="7" customWidth="1"/>
    <col min="12052" max="12052" width="11.125" style="7" customWidth="1"/>
    <col min="12053" max="12054" width="8.625" style="7" customWidth="1"/>
    <col min="12055" max="12292" width="9" style="7"/>
    <col min="12293" max="12293" width="8.625" style="7" customWidth="1"/>
    <col min="12294" max="12294" width="19.625" style="7" customWidth="1"/>
    <col min="12295" max="12295" width="8.625" style="7" customWidth="1"/>
    <col min="12296" max="12297" width="7.625" style="7" customWidth="1"/>
    <col min="12298" max="12298" width="11.125" style="7" customWidth="1"/>
    <col min="12299" max="12307" width="8.625" style="7" customWidth="1"/>
    <col min="12308" max="12308" width="11.125" style="7" customWidth="1"/>
    <col min="12309" max="12310" width="8.625" style="7" customWidth="1"/>
    <col min="12311" max="12548" width="9" style="7"/>
    <col min="12549" max="12549" width="8.625" style="7" customWidth="1"/>
    <col min="12550" max="12550" width="19.625" style="7" customWidth="1"/>
    <col min="12551" max="12551" width="8.625" style="7" customWidth="1"/>
    <col min="12552" max="12553" width="7.625" style="7" customWidth="1"/>
    <col min="12554" max="12554" width="11.125" style="7" customWidth="1"/>
    <col min="12555" max="12563" width="8.625" style="7" customWidth="1"/>
    <col min="12564" max="12564" width="11.125" style="7" customWidth="1"/>
    <col min="12565" max="12566" width="8.625" style="7" customWidth="1"/>
    <col min="12567" max="12804" width="9" style="7"/>
    <col min="12805" max="12805" width="8.625" style="7" customWidth="1"/>
    <col min="12806" max="12806" width="19.625" style="7" customWidth="1"/>
    <col min="12807" max="12807" width="8.625" style="7" customWidth="1"/>
    <col min="12808" max="12809" width="7.625" style="7" customWidth="1"/>
    <col min="12810" max="12810" width="11.125" style="7" customWidth="1"/>
    <col min="12811" max="12819" width="8.625" style="7" customWidth="1"/>
    <col min="12820" max="12820" width="11.125" style="7" customWidth="1"/>
    <col min="12821" max="12822" width="8.625" style="7" customWidth="1"/>
    <col min="12823" max="13060" width="9" style="7"/>
    <col min="13061" max="13061" width="8.625" style="7" customWidth="1"/>
    <col min="13062" max="13062" width="19.625" style="7" customWidth="1"/>
    <col min="13063" max="13063" width="8.625" style="7" customWidth="1"/>
    <col min="13064" max="13065" width="7.625" style="7" customWidth="1"/>
    <col min="13066" max="13066" width="11.125" style="7" customWidth="1"/>
    <col min="13067" max="13075" width="8.625" style="7" customWidth="1"/>
    <col min="13076" max="13076" width="11.125" style="7" customWidth="1"/>
    <col min="13077" max="13078" width="8.625" style="7" customWidth="1"/>
    <col min="13079" max="13316" width="9" style="7"/>
    <col min="13317" max="13317" width="8.625" style="7" customWidth="1"/>
    <col min="13318" max="13318" width="19.625" style="7" customWidth="1"/>
    <col min="13319" max="13319" width="8.625" style="7" customWidth="1"/>
    <col min="13320" max="13321" width="7.625" style="7" customWidth="1"/>
    <col min="13322" max="13322" width="11.125" style="7" customWidth="1"/>
    <col min="13323" max="13331" width="8.625" style="7" customWidth="1"/>
    <col min="13332" max="13332" width="11.125" style="7" customWidth="1"/>
    <col min="13333" max="13334" width="8.625" style="7" customWidth="1"/>
    <col min="13335" max="13572" width="9" style="7"/>
    <col min="13573" max="13573" width="8.625" style="7" customWidth="1"/>
    <col min="13574" max="13574" width="19.625" style="7" customWidth="1"/>
    <col min="13575" max="13575" width="8.625" style="7" customWidth="1"/>
    <col min="13576" max="13577" width="7.625" style="7" customWidth="1"/>
    <col min="13578" max="13578" width="11.125" style="7" customWidth="1"/>
    <col min="13579" max="13587" width="8.625" style="7" customWidth="1"/>
    <col min="13588" max="13588" width="11.125" style="7" customWidth="1"/>
    <col min="13589" max="13590" width="8.625" style="7" customWidth="1"/>
    <col min="13591" max="13828" width="9" style="7"/>
    <col min="13829" max="13829" width="8.625" style="7" customWidth="1"/>
    <col min="13830" max="13830" width="19.625" style="7" customWidth="1"/>
    <col min="13831" max="13831" width="8.625" style="7" customWidth="1"/>
    <col min="13832" max="13833" width="7.625" style="7" customWidth="1"/>
    <col min="13834" max="13834" width="11.125" style="7" customWidth="1"/>
    <col min="13835" max="13843" width="8.625" style="7" customWidth="1"/>
    <col min="13844" max="13844" width="11.125" style="7" customWidth="1"/>
    <col min="13845" max="13846" width="8.625" style="7" customWidth="1"/>
    <col min="13847" max="14084" width="9" style="7"/>
    <col min="14085" max="14085" width="8.625" style="7" customWidth="1"/>
    <col min="14086" max="14086" width="19.625" style="7" customWidth="1"/>
    <col min="14087" max="14087" width="8.625" style="7" customWidth="1"/>
    <col min="14088" max="14089" width="7.625" style="7" customWidth="1"/>
    <col min="14090" max="14090" width="11.125" style="7" customWidth="1"/>
    <col min="14091" max="14099" width="8.625" style="7" customWidth="1"/>
    <col min="14100" max="14100" width="11.125" style="7" customWidth="1"/>
    <col min="14101" max="14102" width="8.625" style="7" customWidth="1"/>
    <col min="14103" max="14340" width="9" style="7"/>
    <col min="14341" max="14341" width="8.625" style="7" customWidth="1"/>
    <col min="14342" max="14342" width="19.625" style="7" customWidth="1"/>
    <col min="14343" max="14343" width="8.625" style="7" customWidth="1"/>
    <col min="14344" max="14345" width="7.625" style="7" customWidth="1"/>
    <col min="14346" max="14346" width="11.125" style="7" customWidth="1"/>
    <col min="14347" max="14355" width="8.625" style="7" customWidth="1"/>
    <col min="14356" max="14356" width="11.125" style="7" customWidth="1"/>
    <col min="14357" max="14358" width="8.625" style="7" customWidth="1"/>
    <col min="14359" max="14596" width="9" style="7"/>
    <col min="14597" max="14597" width="8.625" style="7" customWidth="1"/>
    <col min="14598" max="14598" width="19.625" style="7" customWidth="1"/>
    <col min="14599" max="14599" width="8.625" style="7" customWidth="1"/>
    <col min="14600" max="14601" width="7.625" style="7" customWidth="1"/>
    <col min="14602" max="14602" width="11.125" style="7" customWidth="1"/>
    <col min="14603" max="14611" width="8.625" style="7" customWidth="1"/>
    <col min="14612" max="14612" width="11.125" style="7" customWidth="1"/>
    <col min="14613" max="14614" width="8.625" style="7" customWidth="1"/>
    <col min="14615" max="14852" width="9" style="7"/>
    <col min="14853" max="14853" width="8.625" style="7" customWidth="1"/>
    <col min="14854" max="14854" width="19.625" style="7" customWidth="1"/>
    <col min="14855" max="14855" width="8.625" style="7" customWidth="1"/>
    <col min="14856" max="14857" width="7.625" style="7" customWidth="1"/>
    <col min="14858" max="14858" width="11.125" style="7" customWidth="1"/>
    <col min="14859" max="14867" width="8.625" style="7" customWidth="1"/>
    <col min="14868" max="14868" width="11.125" style="7" customWidth="1"/>
    <col min="14869" max="14870" width="8.625" style="7" customWidth="1"/>
    <col min="14871" max="15108" width="9" style="7"/>
    <col min="15109" max="15109" width="8.625" style="7" customWidth="1"/>
    <col min="15110" max="15110" width="19.625" style="7" customWidth="1"/>
    <col min="15111" max="15111" width="8.625" style="7" customWidth="1"/>
    <col min="15112" max="15113" width="7.625" style="7" customWidth="1"/>
    <col min="15114" max="15114" width="11.125" style="7" customWidth="1"/>
    <col min="15115" max="15123" width="8.625" style="7" customWidth="1"/>
    <col min="15124" max="15124" width="11.125" style="7" customWidth="1"/>
    <col min="15125" max="15126" width="8.625" style="7" customWidth="1"/>
    <col min="15127" max="15364" width="9" style="7"/>
    <col min="15365" max="15365" width="8.625" style="7" customWidth="1"/>
    <col min="15366" max="15366" width="19.625" style="7" customWidth="1"/>
    <col min="15367" max="15367" width="8.625" style="7" customWidth="1"/>
    <col min="15368" max="15369" width="7.625" style="7" customWidth="1"/>
    <col min="15370" max="15370" width="11.125" style="7" customWidth="1"/>
    <col min="15371" max="15379" width="8.625" style="7" customWidth="1"/>
    <col min="15380" max="15380" width="11.125" style="7" customWidth="1"/>
    <col min="15381" max="15382" width="8.625" style="7" customWidth="1"/>
    <col min="15383" max="15620" width="9" style="7"/>
    <col min="15621" max="15621" width="8.625" style="7" customWidth="1"/>
    <col min="15622" max="15622" width="19.625" style="7" customWidth="1"/>
    <col min="15623" max="15623" width="8.625" style="7" customWidth="1"/>
    <col min="15624" max="15625" width="7.625" style="7" customWidth="1"/>
    <col min="15626" max="15626" width="11.125" style="7" customWidth="1"/>
    <col min="15627" max="15635" width="8.625" style="7" customWidth="1"/>
    <col min="15636" max="15636" width="11.125" style="7" customWidth="1"/>
    <col min="15637" max="15638" width="8.625" style="7" customWidth="1"/>
    <col min="15639" max="15876" width="9" style="7"/>
    <col min="15877" max="15877" width="8.625" style="7" customWidth="1"/>
    <col min="15878" max="15878" width="19.625" style="7" customWidth="1"/>
    <col min="15879" max="15879" width="8.625" style="7" customWidth="1"/>
    <col min="15880" max="15881" width="7.625" style="7" customWidth="1"/>
    <col min="15882" max="15882" width="11.125" style="7" customWidth="1"/>
    <col min="15883" max="15891" width="8.625" style="7" customWidth="1"/>
    <col min="15892" max="15892" width="11.125" style="7" customWidth="1"/>
    <col min="15893" max="15894" width="8.625" style="7" customWidth="1"/>
    <col min="15895" max="16132" width="9" style="7"/>
    <col min="16133" max="16133" width="8.625" style="7" customWidth="1"/>
    <col min="16134" max="16134" width="19.625" style="7" customWidth="1"/>
    <col min="16135" max="16135" width="8.625" style="7" customWidth="1"/>
    <col min="16136" max="16137" width="7.625" style="7" customWidth="1"/>
    <col min="16138" max="16138" width="11.125" style="7" customWidth="1"/>
    <col min="16139" max="16147" width="8.625" style="7" customWidth="1"/>
    <col min="16148" max="16148" width="11.125" style="7" customWidth="1"/>
    <col min="16149" max="16150" width="8.625" style="7" customWidth="1"/>
    <col min="16151" max="16384" width="9" style="7"/>
  </cols>
  <sheetData>
    <row r="1" spans="1:31" ht="18" customHeight="1">
      <c r="A1" s="1" t="s">
        <v>27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/>
      <c r="U1" s="2"/>
      <c r="V1" s="6"/>
    </row>
    <row r="2" spans="1:31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10"/>
      <c r="M2" s="10"/>
      <c r="N2" s="10"/>
      <c r="O2" s="10"/>
      <c r="P2" s="10"/>
      <c r="Q2" s="10"/>
      <c r="R2" s="237"/>
      <c r="S2" s="237"/>
      <c r="T2" s="237"/>
      <c r="U2" s="11"/>
      <c r="V2" s="6"/>
    </row>
    <row r="3" spans="1:31" s="13" customFormat="1" ht="23.1" customHeight="1">
      <c r="A3" s="238" t="s">
        <v>0</v>
      </c>
      <c r="B3" s="239"/>
      <c r="C3" s="240" t="s">
        <v>58</v>
      </c>
      <c r="D3" s="241"/>
      <c r="E3" s="241"/>
      <c r="F3" s="241"/>
      <c r="G3" s="241"/>
      <c r="H3" s="242"/>
      <c r="I3" s="12" t="s">
        <v>28</v>
      </c>
      <c r="J3" s="243">
        <v>80000000</v>
      </c>
      <c r="K3" s="244"/>
      <c r="L3" s="244"/>
      <c r="M3" s="244"/>
      <c r="N3" s="244"/>
      <c r="O3" s="214"/>
      <c r="P3" s="214"/>
      <c r="Q3" s="223"/>
      <c r="R3" s="245"/>
      <c r="S3" s="246"/>
      <c r="T3" s="251" t="s">
        <v>1</v>
      </c>
      <c r="U3" s="251"/>
      <c r="V3" s="251"/>
    </row>
    <row r="4" spans="1:31" s="13" customFormat="1" ht="23.1" customHeight="1">
      <c r="A4" s="252" t="s">
        <v>29</v>
      </c>
      <c r="B4" s="253"/>
      <c r="C4" s="254" t="s">
        <v>59</v>
      </c>
      <c r="D4" s="255"/>
      <c r="E4" s="255"/>
      <c r="F4" s="255"/>
      <c r="G4" s="255"/>
      <c r="H4" s="256"/>
      <c r="I4" s="14" t="s">
        <v>30</v>
      </c>
      <c r="J4" s="257">
        <v>1439200</v>
      </c>
      <c r="K4" s="258"/>
      <c r="L4" s="258"/>
      <c r="M4" s="258"/>
      <c r="N4" s="258"/>
      <c r="O4" s="215"/>
      <c r="P4" s="215"/>
      <c r="Q4" s="224"/>
      <c r="R4" s="247"/>
      <c r="S4" s="248"/>
      <c r="T4" s="367">
        <v>45898</v>
      </c>
      <c r="U4" s="368"/>
      <c r="V4" s="369"/>
    </row>
    <row r="5" spans="1:31" s="13" customFormat="1" ht="23.1" customHeight="1" thickBot="1">
      <c r="A5" s="261" t="s">
        <v>2</v>
      </c>
      <c r="B5" s="262"/>
      <c r="C5" s="263">
        <f>J3-G164</f>
        <v>80000000</v>
      </c>
      <c r="D5" s="264"/>
      <c r="E5" s="264"/>
      <c r="F5" s="264"/>
      <c r="G5" s="264"/>
      <c r="H5" s="265"/>
      <c r="I5" s="15" t="s">
        <v>3</v>
      </c>
      <c r="J5" s="266">
        <f>SUM(J3:Q4)</f>
        <v>81439200</v>
      </c>
      <c r="K5" s="267"/>
      <c r="L5" s="267"/>
      <c r="M5" s="267"/>
      <c r="N5" s="267"/>
      <c r="O5" s="216"/>
      <c r="P5" s="216"/>
      <c r="Q5" s="225"/>
      <c r="R5" s="247"/>
      <c r="S5" s="248"/>
      <c r="T5" s="370"/>
      <c r="U5" s="381"/>
      <c r="V5" s="372"/>
    </row>
    <row r="6" spans="1:31" s="13" customFormat="1" ht="23.1" customHeight="1" thickBot="1">
      <c r="A6" s="268" t="s">
        <v>4</v>
      </c>
      <c r="B6" s="268"/>
      <c r="C6" s="269" t="s">
        <v>5</v>
      </c>
      <c r="D6" s="269"/>
      <c r="E6" s="270"/>
      <c r="F6" s="270"/>
      <c r="G6" s="270" t="s">
        <v>6</v>
      </c>
      <c r="H6" s="270"/>
      <c r="I6" s="16">
        <f>J5-I164</f>
        <v>-68850889</v>
      </c>
      <c r="J6" s="271"/>
      <c r="K6" s="380"/>
      <c r="L6" s="380"/>
      <c r="M6" s="380"/>
      <c r="N6" s="380"/>
      <c r="O6" s="380"/>
      <c r="P6" s="380"/>
      <c r="Q6" s="380"/>
      <c r="R6" s="364"/>
      <c r="S6" s="365"/>
      <c r="T6" s="373"/>
      <c r="U6" s="374"/>
      <c r="V6" s="375"/>
    </row>
    <row r="7" spans="1:31" s="13" customFormat="1" ht="18" customHeight="1" thickBot="1">
      <c r="A7" s="280" t="s">
        <v>7</v>
      </c>
      <c r="B7" s="280"/>
      <c r="C7" s="282" t="s">
        <v>31</v>
      </c>
      <c r="D7" s="284" t="s">
        <v>32</v>
      </c>
      <c r="E7" s="286" t="s">
        <v>26</v>
      </c>
      <c r="F7" s="287"/>
      <c r="G7" s="290" t="s">
        <v>33</v>
      </c>
      <c r="H7" s="287"/>
      <c r="I7" s="278" t="s">
        <v>34</v>
      </c>
      <c r="J7" s="122">
        <v>2025</v>
      </c>
      <c r="K7" s="17"/>
      <c r="L7" s="17"/>
      <c r="M7" s="17"/>
      <c r="N7" s="17"/>
      <c r="O7" s="17"/>
      <c r="P7" s="17"/>
      <c r="Q7" s="124"/>
      <c r="R7" s="349" t="s">
        <v>8</v>
      </c>
      <c r="S7" s="351" t="s">
        <v>9</v>
      </c>
      <c r="T7" s="297" t="s">
        <v>10</v>
      </c>
      <c r="U7" s="273" t="s">
        <v>11</v>
      </c>
      <c r="V7" s="274" t="s">
        <v>12</v>
      </c>
      <c r="X7" s="218">
        <v>2025</v>
      </c>
      <c r="Y7" s="17"/>
      <c r="Z7" s="17"/>
      <c r="AA7" s="17"/>
      <c r="AB7" s="17"/>
      <c r="AC7" s="17"/>
      <c r="AD7" s="17"/>
      <c r="AE7" s="124"/>
    </row>
    <row r="8" spans="1:31" s="13" customFormat="1" ht="44.25" customHeight="1" thickBot="1">
      <c r="A8" s="355"/>
      <c r="B8" s="355"/>
      <c r="C8" s="356"/>
      <c r="D8" s="357"/>
      <c r="E8" s="358"/>
      <c r="F8" s="359"/>
      <c r="G8" s="360"/>
      <c r="H8" s="359"/>
      <c r="I8" s="361"/>
      <c r="J8" s="123" t="s">
        <v>116</v>
      </c>
      <c r="K8" s="123" t="s">
        <v>117</v>
      </c>
      <c r="L8" s="123" t="s">
        <v>118</v>
      </c>
      <c r="M8" s="123" t="s">
        <v>119</v>
      </c>
      <c r="N8" s="123" t="s">
        <v>120</v>
      </c>
      <c r="O8" s="123" t="s">
        <v>121</v>
      </c>
      <c r="P8" s="123" t="s">
        <v>122</v>
      </c>
      <c r="Q8" s="123" t="s">
        <v>57</v>
      </c>
      <c r="R8" s="350"/>
      <c r="S8" s="352"/>
      <c r="T8" s="298"/>
      <c r="U8" s="273"/>
      <c r="V8" s="274"/>
      <c r="X8" s="220" t="s">
        <v>116</v>
      </c>
      <c r="Y8" s="217" t="s">
        <v>117</v>
      </c>
      <c r="Z8" s="123" t="s">
        <v>118</v>
      </c>
      <c r="AA8" s="123" t="s">
        <v>119</v>
      </c>
      <c r="AB8" s="123" t="s">
        <v>120</v>
      </c>
      <c r="AC8" s="123" t="s">
        <v>121</v>
      </c>
      <c r="AD8" s="123" t="s">
        <v>122</v>
      </c>
      <c r="AE8" s="123" t="s">
        <v>57</v>
      </c>
    </row>
    <row r="9" spans="1:31" ht="18.95" customHeight="1" thickTop="1">
      <c r="A9" s="327" t="s">
        <v>38</v>
      </c>
      <c r="B9" s="147" t="s">
        <v>60</v>
      </c>
      <c r="C9" s="119" t="s">
        <v>61</v>
      </c>
      <c r="D9" s="118">
        <v>17870</v>
      </c>
      <c r="E9" s="353">
        <v>150000</v>
      </c>
      <c r="F9" s="309"/>
      <c r="G9" s="354"/>
      <c r="H9" s="309"/>
      <c r="I9" s="148">
        <v>150000</v>
      </c>
      <c r="J9" s="133">
        <v>0</v>
      </c>
      <c r="K9" s="133">
        <v>0</v>
      </c>
      <c r="L9" s="133">
        <v>0</v>
      </c>
      <c r="M9" s="133">
        <v>0</v>
      </c>
      <c r="N9" s="133">
        <v>150000</v>
      </c>
      <c r="O9" s="133">
        <v>0</v>
      </c>
      <c r="P9" s="133">
        <v>0</v>
      </c>
      <c r="Q9" s="133">
        <v>0</v>
      </c>
      <c r="R9" s="134">
        <f>SUM(J9:Q9)</f>
        <v>150000</v>
      </c>
      <c r="S9" s="135">
        <f>I9-R9</f>
        <v>0</v>
      </c>
      <c r="T9" s="136">
        <f>G9-I9</f>
        <v>-150000</v>
      </c>
      <c r="U9" s="137"/>
      <c r="V9" s="138" t="e">
        <f>R9/U9</f>
        <v>#DIV/0!</v>
      </c>
      <c r="X9" s="221"/>
      <c r="Y9" s="133"/>
      <c r="Z9" s="133"/>
      <c r="AA9" s="133"/>
      <c r="AB9" s="133"/>
      <c r="AC9" s="133"/>
      <c r="AD9" s="133"/>
      <c r="AE9" s="133"/>
    </row>
    <row r="10" spans="1:31" ht="18.95" customHeight="1">
      <c r="A10" s="330"/>
      <c r="B10" s="149" t="s">
        <v>60</v>
      </c>
      <c r="C10" s="150" t="s">
        <v>40</v>
      </c>
      <c r="D10" s="151">
        <v>17870</v>
      </c>
      <c r="E10" s="345">
        <v>1164850</v>
      </c>
      <c r="F10" s="342"/>
      <c r="G10" s="341"/>
      <c r="H10" s="342"/>
      <c r="I10" s="152">
        <v>820000</v>
      </c>
      <c r="J10" s="159">
        <v>0</v>
      </c>
      <c r="K10" s="159">
        <v>0</v>
      </c>
      <c r="L10" s="159">
        <v>0</v>
      </c>
      <c r="M10" s="159">
        <v>0</v>
      </c>
      <c r="N10" s="159">
        <v>54000</v>
      </c>
      <c r="O10" s="159">
        <v>0</v>
      </c>
      <c r="P10" s="159">
        <v>0</v>
      </c>
      <c r="Q10" s="159">
        <v>0</v>
      </c>
      <c r="R10" s="160">
        <f>SUM(J10:Q10)</f>
        <v>54000</v>
      </c>
      <c r="S10" s="161">
        <f>I10-R10</f>
        <v>766000</v>
      </c>
      <c r="T10" s="162">
        <f>G10-I10</f>
        <v>-820000</v>
      </c>
      <c r="U10" s="163"/>
      <c r="V10" s="164" t="e">
        <f t="shared" ref="V10:V73" si="0">R10/U10</f>
        <v>#DIV/0!</v>
      </c>
      <c r="X10" s="222"/>
      <c r="Y10" s="159"/>
      <c r="Z10" s="159"/>
      <c r="AA10" s="159"/>
      <c r="AB10" s="159"/>
      <c r="AC10" s="159"/>
      <c r="AD10" s="159"/>
      <c r="AE10" s="159"/>
    </row>
    <row r="11" spans="1:31" ht="18.95" customHeight="1">
      <c r="A11" s="330"/>
      <c r="B11" s="149" t="s">
        <v>60</v>
      </c>
      <c r="C11" s="150" t="s">
        <v>40</v>
      </c>
      <c r="D11" s="151">
        <v>17870</v>
      </c>
      <c r="E11" s="345">
        <v>1164850</v>
      </c>
      <c r="F11" s="342"/>
      <c r="G11" s="341"/>
      <c r="H11" s="342"/>
      <c r="I11" s="152">
        <v>820000</v>
      </c>
      <c r="J11" s="159">
        <v>0</v>
      </c>
      <c r="K11" s="159">
        <v>0</v>
      </c>
      <c r="L11" s="159">
        <v>0</v>
      </c>
      <c r="M11" s="159">
        <v>0</v>
      </c>
      <c r="N11" s="159">
        <v>0</v>
      </c>
      <c r="O11" s="159">
        <v>164000</v>
      </c>
      <c r="P11" s="159">
        <v>0</v>
      </c>
      <c r="Q11" s="159">
        <v>0</v>
      </c>
      <c r="R11" s="160">
        <f>SUM(J11:Q11)</f>
        <v>164000</v>
      </c>
      <c r="S11" s="161">
        <f>I11-R11</f>
        <v>656000</v>
      </c>
      <c r="T11" s="162">
        <f>G11-I11</f>
        <v>-820000</v>
      </c>
      <c r="U11" s="163"/>
      <c r="V11" s="164" t="e">
        <f t="shared" si="0"/>
        <v>#DIV/0!</v>
      </c>
      <c r="X11" s="222"/>
      <c r="Y11" s="159"/>
      <c r="Z11" s="159"/>
      <c r="AA11" s="159"/>
      <c r="AB11" s="159"/>
      <c r="AC11" s="159"/>
      <c r="AD11" s="159"/>
      <c r="AE11" s="159"/>
    </row>
    <row r="12" spans="1:31" ht="18.95" customHeight="1">
      <c r="A12" s="330"/>
      <c r="B12" s="149" t="s">
        <v>60</v>
      </c>
      <c r="C12" s="150" t="s">
        <v>40</v>
      </c>
      <c r="D12" s="151">
        <v>17870</v>
      </c>
      <c r="E12" s="345">
        <v>1164850</v>
      </c>
      <c r="F12" s="342"/>
      <c r="G12" s="341"/>
      <c r="H12" s="342"/>
      <c r="I12" s="152">
        <v>820000</v>
      </c>
      <c r="J12" s="159">
        <v>0</v>
      </c>
      <c r="K12" s="159">
        <v>0</v>
      </c>
      <c r="L12" s="159">
        <v>0</v>
      </c>
      <c r="M12" s="159">
        <v>204000</v>
      </c>
      <c r="N12" s="159">
        <v>0</v>
      </c>
      <c r="O12" s="159">
        <v>0</v>
      </c>
      <c r="P12" s="159">
        <v>0</v>
      </c>
      <c r="Q12" s="159">
        <v>0</v>
      </c>
      <c r="R12" s="160">
        <f>SUM(J12:Q12)</f>
        <v>204000</v>
      </c>
      <c r="S12" s="161">
        <f>I12-R12</f>
        <v>616000</v>
      </c>
      <c r="T12" s="162">
        <f>G12-I12</f>
        <v>-820000</v>
      </c>
      <c r="U12" s="163"/>
      <c r="V12" s="164" t="e">
        <f t="shared" si="0"/>
        <v>#DIV/0!</v>
      </c>
      <c r="X12" s="222"/>
      <c r="Y12" s="159"/>
      <c r="Z12" s="159"/>
      <c r="AA12" s="159"/>
      <c r="AB12" s="159"/>
      <c r="AC12" s="159"/>
      <c r="AD12" s="159"/>
      <c r="AE12" s="159"/>
    </row>
    <row r="13" spans="1:31" ht="18.95" customHeight="1">
      <c r="A13" s="330"/>
      <c r="B13" s="149" t="s">
        <v>60</v>
      </c>
      <c r="C13" s="150" t="s">
        <v>62</v>
      </c>
      <c r="D13" s="151">
        <v>17870</v>
      </c>
      <c r="E13" s="345">
        <v>30000</v>
      </c>
      <c r="F13" s="342"/>
      <c r="G13" s="341"/>
      <c r="H13" s="342"/>
      <c r="I13" s="152">
        <v>50000</v>
      </c>
      <c r="J13" s="159">
        <v>0</v>
      </c>
      <c r="K13" s="159">
        <v>0</v>
      </c>
      <c r="L13" s="159">
        <v>0</v>
      </c>
      <c r="M13" s="159">
        <v>0</v>
      </c>
      <c r="N13" s="159">
        <v>0</v>
      </c>
      <c r="O13" s="159">
        <v>40000</v>
      </c>
      <c r="P13" s="159">
        <v>0</v>
      </c>
      <c r="Q13" s="159">
        <v>0</v>
      </c>
      <c r="R13" s="160">
        <f>SUM(J13:Q13)</f>
        <v>40000</v>
      </c>
      <c r="S13" s="161">
        <f>I13-R13</f>
        <v>10000</v>
      </c>
      <c r="T13" s="162">
        <f>G13-I13</f>
        <v>-50000</v>
      </c>
      <c r="U13" s="163"/>
      <c r="V13" s="164" t="e">
        <f t="shared" si="0"/>
        <v>#DIV/0!</v>
      </c>
      <c r="X13" s="222"/>
      <c r="Y13" s="159"/>
      <c r="Z13" s="159"/>
      <c r="AA13" s="159"/>
      <c r="AB13" s="159"/>
      <c r="AC13" s="159"/>
      <c r="AD13" s="159"/>
      <c r="AE13" s="159"/>
    </row>
    <row r="14" spans="1:31" ht="18.95" customHeight="1">
      <c r="A14" s="330"/>
      <c r="B14" s="149" t="s">
        <v>63</v>
      </c>
      <c r="C14" s="150" t="s">
        <v>61</v>
      </c>
      <c r="D14" s="151">
        <v>17786</v>
      </c>
      <c r="E14" s="345">
        <v>819000</v>
      </c>
      <c r="F14" s="342"/>
      <c r="G14" s="341"/>
      <c r="H14" s="342"/>
      <c r="I14" s="152">
        <v>850000</v>
      </c>
      <c r="J14" s="159">
        <v>0</v>
      </c>
      <c r="K14" s="159">
        <v>0</v>
      </c>
      <c r="L14" s="159">
        <v>648000</v>
      </c>
      <c r="M14" s="159">
        <v>0</v>
      </c>
      <c r="N14" s="159">
        <v>0</v>
      </c>
      <c r="O14" s="159">
        <v>0</v>
      </c>
      <c r="P14" s="159">
        <v>0</v>
      </c>
      <c r="Q14" s="159">
        <v>0</v>
      </c>
      <c r="R14" s="160">
        <f>SUM(J14:Q14)</f>
        <v>648000</v>
      </c>
      <c r="S14" s="161">
        <f>I14-R14</f>
        <v>202000</v>
      </c>
      <c r="T14" s="162">
        <f>G14-I14</f>
        <v>-850000</v>
      </c>
      <c r="U14" s="163"/>
      <c r="V14" s="164" t="e">
        <f t="shared" si="0"/>
        <v>#DIV/0!</v>
      </c>
      <c r="X14" s="222"/>
      <c r="Y14" s="159"/>
      <c r="Z14" s="159"/>
      <c r="AA14" s="159"/>
      <c r="AB14" s="159"/>
      <c r="AC14" s="159"/>
      <c r="AD14" s="159"/>
      <c r="AE14" s="159"/>
    </row>
    <row r="15" spans="1:31" ht="18.95" customHeight="1">
      <c r="A15" s="330"/>
      <c r="B15" s="149" t="s">
        <v>63</v>
      </c>
      <c r="C15" s="150" t="s">
        <v>61</v>
      </c>
      <c r="D15" s="151"/>
      <c r="E15" s="345">
        <v>0</v>
      </c>
      <c r="F15" s="342"/>
      <c r="G15" s="341">
        <v>0</v>
      </c>
      <c r="H15" s="342"/>
      <c r="I15" s="152">
        <v>0</v>
      </c>
      <c r="J15" s="159">
        <v>0</v>
      </c>
      <c r="K15" s="159">
        <v>0</v>
      </c>
      <c r="L15" s="159">
        <v>0</v>
      </c>
      <c r="M15" s="159">
        <v>0</v>
      </c>
      <c r="N15" s="159">
        <v>0</v>
      </c>
      <c r="O15" s="159">
        <v>8230</v>
      </c>
      <c r="P15" s="159">
        <v>0</v>
      </c>
      <c r="Q15" s="159">
        <v>0</v>
      </c>
      <c r="R15" s="160">
        <f>SUM(J15:Q15)</f>
        <v>8230</v>
      </c>
      <c r="S15" s="161">
        <f>I15-R15</f>
        <v>-8230</v>
      </c>
      <c r="T15" s="162">
        <f>G15-I15</f>
        <v>0</v>
      </c>
      <c r="U15" s="163"/>
      <c r="V15" s="164" t="e">
        <f t="shared" si="0"/>
        <v>#DIV/0!</v>
      </c>
      <c r="X15" s="222"/>
      <c r="Y15" s="159"/>
      <c r="Z15" s="159"/>
      <c r="AA15" s="159"/>
      <c r="AB15" s="159"/>
      <c r="AC15" s="159"/>
      <c r="AD15" s="159"/>
      <c r="AE15" s="159"/>
    </row>
    <row r="16" spans="1:31" ht="18.95" customHeight="1">
      <c r="A16" s="330"/>
      <c r="B16" s="149" t="s">
        <v>63</v>
      </c>
      <c r="C16" s="150" t="s">
        <v>61</v>
      </c>
      <c r="D16" s="151"/>
      <c r="E16" s="345">
        <v>0</v>
      </c>
      <c r="F16" s="342"/>
      <c r="G16" s="341">
        <v>0</v>
      </c>
      <c r="H16" s="342"/>
      <c r="I16" s="152">
        <v>0</v>
      </c>
      <c r="J16" s="159">
        <v>0</v>
      </c>
      <c r="K16" s="159">
        <v>0</v>
      </c>
      <c r="L16" s="159">
        <v>0</v>
      </c>
      <c r="M16" s="159">
        <v>32218</v>
      </c>
      <c r="N16" s="159">
        <v>0</v>
      </c>
      <c r="O16" s="159">
        <v>0</v>
      </c>
      <c r="P16" s="159">
        <v>0</v>
      </c>
      <c r="Q16" s="159">
        <v>0</v>
      </c>
      <c r="R16" s="160">
        <f>SUM(J16:Q16)</f>
        <v>32218</v>
      </c>
      <c r="S16" s="161">
        <f>I16-R16</f>
        <v>-32218</v>
      </c>
      <c r="T16" s="162">
        <f>G16-I16</f>
        <v>0</v>
      </c>
      <c r="U16" s="163"/>
      <c r="V16" s="164" t="e">
        <f t="shared" si="0"/>
        <v>#DIV/0!</v>
      </c>
      <c r="X16" s="222"/>
      <c r="Y16" s="159"/>
      <c r="Z16" s="159"/>
      <c r="AA16" s="159"/>
      <c r="AB16" s="159"/>
      <c r="AC16" s="159"/>
      <c r="AD16" s="159"/>
      <c r="AE16" s="159"/>
    </row>
    <row r="17" spans="1:31" ht="18.95" customHeight="1">
      <c r="A17" s="330"/>
      <c r="B17" s="149" t="s">
        <v>63</v>
      </c>
      <c r="C17" s="150" t="s">
        <v>61</v>
      </c>
      <c r="D17" s="151"/>
      <c r="E17" s="345">
        <v>0</v>
      </c>
      <c r="F17" s="342"/>
      <c r="G17" s="341">
        <v>0</v>
      </c>
      <c r="H17" s="342"/>
      <c r="I17" s="152">
        <v>0</v>
      </c>
      <c r="J17" s="159">
        <v>0</v>
      </c>
      <c r="K17" s="159">
        <v>0</v>
      </c>
      <c r="L17" s="159">
        <v>0</v>
      </c>
      <c r="M17" s="159">
        <v>0</v>
      </c>
      <c r="N17" s="159">
        <v>39351</v>
      </c>
      <c r="O17" s="159">
        <v>0</v>
      </c>
      <c r="P17" s="159">
        <v>0</v>
      </c>
      <c r="Q17" s="159">
        <v>0</v>
      </c>
      <c r="R17" s="160">
        <f>SUM(J17:Q17)</f>
        <v>39351</v>
      </c>
      <c r="S17" s="161">
        <f>I17-R17</f>
        <v>-39351</v>
      </c>
      <c r="T17" s="162">
        <f>G17-I17</f>
        <v>0</v>
      </c>
      <c r="U17" s="163"/>
      <c r="V17" s="164" t="e">
        <f t="shared" si="0"/>
        <v>#DIV/0!</v>
      </c>
      <c r="X17" s="222"/>
      <c r="Y17" s="159"/>
      <c r="Z17" s="159"/>
      <c r="AA17" s="159"/>
      <c r="AB17" s="159"/>
      <c r="AC17" s="159"/>
      <c r="AD17" s="159"/>
      <c r="AE17" s="159"/>
    </row>
    <row r="18" spans="1:31" ht="18.95" customHeight="1">
      <c r="A18" s="330"/>
      <c r="B18" s="149" t="s">
        <v>63</v>
      </c>
      <c r="C18" s="150" t="s">
        <v>64</v>
      </c>
      <c r="D18" s="151">
        <v>17786</v>
      </c>
      <c r="E18" s="345">
        <v>350000</v>
      </c>
      <c r="F18" s="342"/>
      <c r="G18" s="341"/>
      <c r="H18" s="342"/>
      <c r="I18" s="152">
        <v>350000</v>
      </c>
      <c r="J18" s="159">
        <v>0</v>
      </c>
      <c r="K18" s="159">
        <v>0</v>
      </c>
      <c r="L18" s="159">
        <v>0</v>
      </c>
      <c r="M18" s="159">
        <v>0</v>
      </c>
      <c r="N18" s="159">
        <v>0</v>
      </c>
      <c r="O18" s="159">
        <v>0</v>
      </c>
      <c r="P18" s="159">
        <v>0</v>
      </c>
      <c r="Q18" s="159">
        <v>0</v>
      </c>
      <c r="R18" s="160">
        <f>SUM(J18:Q18)</f>
        <v>0</v>
      </c>
      <c r="S18" s="161">
        <f>I18-R18</f>
        <v>350000</v>
      </c>
      <c r="T18" s="162">
        <f>G18-I18</f>
        <v>-350000</v>
      </c>
      <c r="U18" s="163"/>
      <c r="V18" s="164" t="e">
        <f t="shared" si="0"/>
        <v>#DIV/0!</v>
      </c>
      <c r="X18" s="222"/>
      <c r="Y18" s="159"/>
      <c r="Z18" s="159"/>
      <c r="AA18" s="159"/>
      <c r="AB18" s="159"/>
      <c r="AC18" s="159"/>
      <c r="AD18" s="159"/>
      <c r="AE18" s="159"/>
    </row>
    <row r="19" spans="1:31" ht="18.95" customHeight="1">
      <c r="A19" s="330"/>
      <c r="B19" s="149"/>
      <c r="C19" s="150" t="s">
        <v>61</v>
      </c>
      <c r="D19" s="151"/>
      <c r="E19" s="345">
        <v>80000</v>
      </c>
      <c r="F19" s="342"/>
      <c r="G19" s="341"/>
      <c r="H19" s="342"/>
      <c r="I19" s="152">
        <v>0</v>
      </c>
      <c r="J19" s="159">
        <v>0</v>
      </c>
      <c r="K19" s="159">
        <v>0</v>
      </c>
      <c r="L19" s="159">
        <v>0</v>
      </c>
      <c r="M19" s="159">
        <v>0</v>
      </c>
      <c r="N19" s="159">
        <v>0</v>
      </c>
      <c r="O19" s="159">
        <v>0</v>
      </c>
      <c r="P19" s="159">
        <v>0</v>
      </c>
      <c r="Q19" s="159">
        <v>0</v>
      </c>
      <c r="R19" s="160">
        <f>SUM(J19:Q19)</f>
        <v>0</v>
      </c>
      <c r="S19" s="161">
        <f>I19-R19</f>
        <v>0</v>
      </c>
      <c r="T19" s="162">
        <f>G19-I19</f>
        <v>0</v>
      </c>
      <c r="U19" s="163"/>
      <c r="V19" s="164" t="e">
        <f t="shared" si="0"/>
        <v>#DIV/0!</v>
      </c>
      <c r="X19" s="222"/>
      <c r="Y19" s="159"/>
      <c r="Z19" s="159"/>
      <c r="AA19" s="159"/>
      <c r="AB19" s="159"/>
      <c r="AC19" s="159"/>
      <c r="AD19" s="159"/>
      <c r="AE19" s="159"/>
    </row>
    <row r="20" spans="1:31" ht="18.95" customHeight="1">
      <c r="A20" s="330"/>
      <c r="B20" s="149"/>
      <c r="C20" s="150" t="s">
        <v>64</v>
      </c>
      <c r="D20" s="151"/>
      <c r="E20" s="345">
        <v>0</v>
      </c>
      <c r="F20" s="342"/>
      <c r="G20" s="341"/>
      <c r="H20" s="342"/>
      <c r="I20" s="152">
        <v>150000</v>
      </c>
      <c r="J20" s="159">
        <v>0</v>
      </c>
      <c r="K20" s="159">
        <v>0</v>
      </c>
      <c r="L20" s="159">
        <v>0</v>
      </c>
      <c r="M20" s="159">
        <v>0</v>
      </c>
      <c r="N20" s="159">
        <v>0</v>
      </c>
      <c r="O20" s="159">
        <v>0</v>
      </c>
      <c r="P20" s="159">
        <v>0</v>
      </c>
      <c r="Q20" s="159">
        <v>0</v>
      </c>
      <c r="R20" s="160">
        <f>SUM(J20:Q20)</f>
        <v>0</v>
      </c>
      <c r="S20" s="161">
        <f>I20-R20</f>
        <v>150000</v>
      </c>
      <c r="T20" s="162">
        <f>G20-I20</f>
        <v>-150000</v>
      </c>
      <c r="U20" s="163"/>
      <c r="V20" s="164" t="e">
        <f t="shared" si="0"/>
        <v>#DIV/0!</v>
      </c>
      <c r="X20" s="222"/>
      <c r="Y20" s="159"/>
      <c r="Z20" s="159"/>
      <c r="AA20" s="159"/>
      <c r="AB20" s="159"/>
      <c r="AC20" s="159"/>
      <c r="AD20" s="159"/>
      <c r="AE20" s="159"/>
    </row>
    <row r="21" spans="1:31" ht="18.95" customHeight="1">
      <c r="A21" s="330"/>
      <c r="B21" s="149"/>
      <c r="C21" s="150" t="s">
        <v>40</v>
      </c>
      <c r="D21" s="151"/>
      <c r="E21" s="345">
        <v>100000</v>
      </c>
      <c r="F21" s="342"/>
      <c r="G21" s="341"/>
      <c r="H21" s="342"/>
      <c r="I21" s="152">
        <v>0</v>
      </c>
      <c r="J21" s="159">
        <v>0</v>
      </c>
      <c r="K21" s="159">
        <v>0</v>
      </c>
      <c r="L21" s="159">
        <v>0</v>
      </c>
      <c r="M21" s="159">
        <v>0</v>
      </c>
      <c r="N21" s="159">
        <v>0</v>
      </c>
      <c r="O21" s="159">
        <v>0</v>
      </c>
      <c r="P21" s="159">
        <v>0</v>
      </c>
      <c r="Q21" s="159">
        <v>0</v>
      </c>
      <c r="R21" s="160">
        <f>SUM(J21:Q21)</f>
        <v>0</v>
      </c>
      <c r="S21" s="161">
        <f>I21-R21</f>
        <v>0</v>
      </c>
      <c r="T21" s="162">
        <f>G21-I21</f>
        <v>0</v>
      </c>
      <c r="U21" s="163"/>
      <c r="V21" s="164" t="e">
        <f t="shared" si="0"/>
        <v>#DIV/0!</v>
      </c>
      <c r="X21" s="222"/>
      <c r="Y21" s="159"/>
      <c r="Z21" s="159"/>
      <c r="AA21" s="159"/>
      <c r="AB21" s="159"/>
      <c r="AC21" s="159"/>
      <c r="AD21" s="159"/>
      <c r="AE21" s="159"/>
    </row>
    <row r="22" spans="1:31" ht="18.95" customHeight="1">
      <c r="A22" s="330"/>
      <c r="B22" s="149"/>
      <c r="C22" s="150" t="s">
        <v>41</v>
      </c>
      <c r="D22" s="151"/>
      <c r="E22" s="345">
        <v>0</v>
      </c>
      <c r="F22" s="342"/>
      <c r="G22" s="341"/>
      <c r="H22" s="342"/>
      <c r="I22" s="152">
        <v>450000</v>
      </c>
      <c r="J22" s="159">
        <v>0</v>
      </c>
      <c r="K22" s="159">
        <v>0</v>
      </c>
      <c r="L22" s="159">
        <v>0</v>
      </c>
      <c r="M22" s="159">
        <v>0</v>
      </c>
      <c r="N22" s="159">
        <v>0</v>
      </c>
      <c r="O22" s="159">
        <v>0</v>
      </c>
      <c r="P22" s="159">
        <v>0</v>
      </c>
      <c r="Q22" s="159">
        <v>0</v>
      </c>
      <c r="R22" s="160">
        <f>SUM(J22:Q22)</f>
        <v>0</v>
      </c>
      <c r="S22" s="161">
        <f>I22-R22</f>
        <v>450000</v>
      </c>
      <c r="T22" s="162">
        <f>G22-I22</f>
        <v>-450000</v>
      </c>
      <c r="U22" s="163"/>
      <c r="V22" s="164" t="e">
        <f t="shared" si="0"/>
        <v>#DIV/0!</v>
      </c>
      <c r="X22" s="222"/>
      <c r="Y22" s="159"/>
      <c r="Z22" s="159"/>
      <c r="AA22" s="159"/>
      <c r="AB22" s="159"/>
      <c r="AC22" s="159"/>
      <c r="AD22" s="159"/>
      <c r="AE22" s="159"/>
    </row>
    <row r="23" spans="1:31" ht="18.95" customHeight="1">
      <c r="A23" s="330"/>
      <c r="B23" s="149"/>
      <c r="C23" s="150" t="s">
        <v>62</v>
      </c>
      <c r="D23" s="151"/>
      <c r="E23" s="345">
        <v>4961500</v>
      </c>
      <c r="F23" s="342"/>
      <c r="G23" s="341"/>
      <c r="H23" s="342"/>
      <c r="I23" s="152">
        <v>4079000</v>
      </c>
      <c r="J23" s="159">
        <v>0</v>
      </c>
      <c r="K23" s="159">
        <v>0</v>
      </c>
      <c r="L23" s="159">
        <v>0</v>
      </c>
      <c r="M23" s="159">
        <v>0</v>
      </c>
      <c r="N23" s="159">
        <v>0</v>
      </c>
      <c r="O23" s="159">
        <v>0</v>
      </c>
      <c r="P23" s="159">
        <v>0</v>
      </c>
      <c r="Q23" s="159">
        <v>0</v>
      </c>
      <c r="R23" s="160">
        <f>SUM(J23:Q23)</f>
        <v>0</v>
      </c>
      <c r="S23" s="161">
        <f>I23-R23</f>
        <v>4079000</v>
      </c>
      <c r="T23" s="162">
        <f>G23-I23</f>
        <v>-4079000</v>
      </c>
      <c r="U23" s="163"/>
      <c r="V23" s="164" t="e">
        <f t="shared" si="0"/>
        <v>#DIV/0!</v>
      </c>
      <c r="X23" s="222"/>
      <c r="Y23" s="159"/>
      <c r="Z23" s="159"/>
      <c r="AA23" s="159"/>
      <c r="AB23" s="159"/>
      <c r="AC23" s="159"/>
      <c r="AD23" s="159"/>
      <c r="AE23" s="159"/>
    </row>
    <row r="24" spans="1:31" ht="18.95" customHeight="1">
      <c r="A24" s="330"/>
      <c r="B24" s="149"/>
      <c r="C24" s="150" t="s">
        <v>65</v>
      </c>
      <c r="D24" s="151"/>
      <c r="E24" s="345">
        <v>0</v>
      </c>
      <c r="F24" s="342"/>
      <c r="G24" s="341"/>
      <c r="H24" s="342"/>
      <c r="I24" s="152">
        <v>0</v>
      </c>
      <c r="J24" s="159">
        <v>0</v>
      </c>
      <c r="K24" s="159">
        <v>0</v>
      </c>
      <c r="L24" s="159">
        <v>0</v>
      </c>
      <c r="M24" s="159">
        <v>0</v>
      </c>
      <c r="N24" s="159">
        <v>0</v>
      </c>
      <c r="O24" s="159">
        <v>0</v>
      </c>
      <c r="P24" s="159">
        <v>0</v>
      </c>
      <c r="Q24" s="159">
        <v>0</v>
      </c>
      <c r="R24" s="160">
        <f>SUM(J24:Q24)</f>
        <v>0</v>
      </c>
      <c r="S24" s="161">
        <f>I24-R24</f>
        <v>0</v>
      </c>
      <c r="T24" s="162">
        <f>G24-I24</f>
        <v>0</v>
      </c>
      <c r="U24" s="163"/>
      <c r="V24" s="164" t="e">
        <f t="shared" si="0"/>
        <v>#DIV/0!</v>
      </c>
      <c r="X24" s="222"/>
      <c r="Y24" s="159"/>
      <c r="Z24" s="159"/>
      <c r="AA24" s="159"/>
      <c r="AB24" s="159"/>
      <c r="AC24" s="159"/>
      <c r="AD24" s="159"/>
      <c r="AE24" s="159"/>
    </row>
    <row r="25" spans="1:31" ht="18.95" customHeight="1">
      <c r="A25" s="330"/>
      <c r="B25" s="149"/>
      <c r="C25" s="150" t="s">
        <v>66</v>
      </c>
      <c r="D25" s="151"/>
      <c r="E25" s="345">
        <v>50000</v>
      </c>
      <c r="F25" s="342"/>
      <c r="G25" s="341"/>
      <c r="H25" s="342"/>
      <c r="I25" s="152">
        <v>7449</v>
      </c>
      <c r="J25" s="159">
        <v>0</v>
      </c>
      <c r="K25" s="159">
        <v>0</v>
      </c>
      <c r="L25" s="159">
        <v>0</v>
      </c>
      <c r="M25" s="159">
        <v>0</v>
      </c>
      <c r="N25" s="159">
        <v>0</v>
      </c>
      <c r="O25" s="159">
        <v>0</v>
      </c>
      <c r="P25" s="159">
        <v>0</v>
      </c>
      <c r="Q25" s="159">
        <v>0</v>
      </c>
      <c r="R25" s="160">
        <f>SUM(J25:Q25)</f>
        <v>0</v>
      </c>
      <c r="S25" s="161">
        <f>I25-R25</f>
        <v>7449</v>
      </c>
      <c r="T25" s="162">
        <f>G25-I25</f>
        <v>-7449</v>
      </c>
      <c r="U25" s="163"/>
      <c r="V25" s="164" t="e">
        <f t="shared" si="0"/>
        <v>#DIV/0!</v>
      </c>
      <c r="X25" s="222"/>
      <c r="Y25" s="159"/>
      <c r="Z25" s="159"/>
      <c r="AA25" s="159"/>
      <c r="AB25" s="159"/>
      <c r="AC25" s="159"/>
      <c r="AD25" s="159"/>
      <c r="AE25" s="159"/>
    </row>
    <row r="26" spans="1:31" ht="18.95" customHeight="1">
      <c r="A26" s="328"/>
      <c r="B26" s="149"/>
      <c r="C26" s="150" t="s">
        <v>67</v>
      </c>
      <c r="D26" s="151"/>
      <c r="E26" s="345">
        <v>100000</v>
      </c>
      <c r="F26" s="342"/>
      <c r="G26" s="341"/>
      <c r="H26" s="342"/>
      <c r="I26" s="152">
        <v>100000</v>
      </c>
      <c r="J26" s="159">
        <v>0</v>
      </c>
      <c r="K26" s="159">
        <v>0</v>
      </c>
      <c r="L26" s="159">
        <v>0</v>
      </c>
      <c r="M26" s="159">
        <v>0</v>
      </c>
      <c r="N26" s="159">
        <v>0</v>
      </c>
      <c r="O26" s="159">
        <v>0</v>
      </c>
      <c r="P26" s="159">
        <v>0</v>
      </c>
      <c r="Q26" s="159">
        <v>0</v>
      </c>
      <c r="R26" s="160">
        <f>SUM(J26:Q26)</f>
        <v>0</v>
      </c>
      <c r="S26" s="161">
        <f>I26-R26</f>
        <v>100000</v>
      </c>
      <c r="T26" s="162">
        <f>G26-I26</f>
        <v>-100000</v>
      </c>
      <c r="U26" s="163"/>
      <c r="V26" s="164" t="e">
        <f t="shared" si="0"/>
        <v>#DIV/0!</v>
      </c>
      <c r="X26" s="222"/>
      <c r="Y26" s="159"/>
      <c r="Z26" s="159"/>
      <c r="AA26" s="159"/>
      <c r="AB26" s="159"/>
      <c r="AC26" s="159"/>
      <c r="AD26" s="159"/>
      <c r="AE26" s="159"/>
    </row>
    <row r="27" spans="1:31" ht="18.95" customHeight="1">
      <c r="A27" s="329" t="s">
        <v>56</v>
      </c>
      <c r="B27" s="153" t="s">
        <v>68</v>
      </c>
      <c r="C27" s="154" t="s">
        <v>69</v>
      </c>
      <c r="D27" s="155">
        <v>17840</v>
      </c>
      <c r="E27" s="346">
        <v>14495400</v>
      </c>
      <c r="F27" s="344"/>
      <c r="G27" s="343"/>
      <c r="H27" s="344"/>
      <c r="I27" s="156">
        <v>13300000</v>
      </c>
      <c r="J27" s="133">
        <v>0</v>
      </c>
      <c r="K27" s="133">
        <v>0</v>
      </c>
      <c r="L27" s="133">
        <v>0</v>
      </c>
      <c r="M27" s="133">
        <v>5320000</v>
      </c>
      <c r="N27" s="133">
        <v>0</v>
      </c>
      <c r="O27" s="133">
        <v>0</v>
      </c>
      <c r="P27" s="133">
        <v>0</v>
      </c>
      <c r="Q27" s="133">
        <v>0</v>
      </c>
      <c r="R27" s="134">
        <f>SUM(J27:Q27)</f>
        <v>5320000</v>
      </c>
      <c r="S27" s="135">
        <f>I27-R27</f>
        <v>7980000</v>
      </c>
      <c r="T27" s="136">
        <f>G27-I27</f>
        <v>-13300000</v>
      </c>
      <c r="U27" s="165"/>
      <c r="V27" s="138" t="e">
        <f t="shared" si="0"/>
        <v>#DIV/0!</v>
      </c>
      <c r="X27" s="221"/>
      <c r="Y27" s="133"/>
      <c r="Z27" s="133"/>
      <c r="AA27" s="133"/>
      <c r="AB27" s="133"/>
      <c r="AC27" s="133"/>
      <c r="AD27" s="133"/>
      <c r="AE27" s="133"/>
    </row>
    <row r="28" spans="1:31" ht="18.95" customHeight="1">
      <c r="A28" s="330"/>
      <c r="B28" s="149" t="s">
        <v>68</v>
      </c>
      <c r="C28" s="150" t="s">
        <v>69</v>
      </c>
      <c r="D28" s="151">
        <v>17840</v>
      </c>
      <c r="E28" s="345">
        <v>14495400</v>
      </c>
      <c r="F28" s="342"/>
      <c r="G28" s="341"/>
      <c r="H28" s="342"/>
      <c r="I28" s="152">
        <v>13300000</v>
      </c>
      <c r="J28" s="159">
        <v>0</v>
      </c>
      <c r="K28" s="159">
        <v>0</v>
      </c>
      <c r="L28" s="159">
        <v>2660000</v>
      </c>
      <c r="M28" s="159">
        <v>0</v>
      </c>
      <c r="N28" s="159">
        <v>0</v>
      </c>
      <c r="O28" s="159">
        <v>0</v>
      </c>
      <c r="P28" s="159">
        <v>0</v>
      </c>
      <c r="Q28" s="159">
        <v>0</v>
      </c>
      <c r="R28" s="160">
        <f>SUM(J28:Q28)</f>
        <v>2660000</v>
      </c>
      <c r="S28" s="161">
        <f>I28-R28</f>
        <v>10640000</v>
      </c>
      <c r="T28" s="162">
        <f>G28-I28</f>
        <v>-13300000</v>
      </c>
      <c r="U28" s="163"/>
      <c r="V28" s="164" t="e">
        <f t="shared" si="0"/>
        <v>#DIV/0!</v>
      </c>
      <c r="X28" s="222"/>
      <c r="Y28" s="159"/>
      <c r="Z28" s="159"/>
      <c r="AA28" s="159"/>
      <c r="AB28" s="159"/>
      <c r="AC28" s="159"/>
      <c r="AD28" s="159"/>
      <c r="AE28" s="159"/>
    </row>
    <row r="29" spans="1:31" ht="18.95" customHeight="1">
      <c r="A29" s="330"/>
      <c r="B29" s="149" t="s">
        <v>68</v>
      </c>
      <c r="C29" s="150" t="s">
        <v>69</v>
      </c>
      <c r="D29" s="151">
        <v>18386</v>
      </c>
      <c r="E29" s="345">
        <v>14495400</v>
      </c>
      <c r="F29" s="342"/>
      <c r="G29" s="341"/>
      <c r="H29" s="342"/>
      <c r="I29" s="152">
        <v>500000</v>
      </c>
      <c r="J29" s="159">
        <v>0</v>
      </c>
      <c r="K29" s="159">
        <v>0</v>
      </c>
      <c r="L29" s="159">
        <v>2660000</v>
      </c>
      <c r="M29" s="159">
        <v>0</v>
      </c>
      <c r="N29" s="159">
        <v>0</v>
      </c>
      <c r="O29" s="159">
        <v>0</v>
      </c>
      <c r="P29" s="159">
        <v>0</v>
      </c>
      <c r="Q29" s="159">
        <v>0</v>
      </c>
      <c r="R29" s="160">
        <f>SUM(J29:Q29)</f>
        <v>2660000</v>
      </c>
      <c r="S29" s="161">
        <f>I29-R29</f>
        <v>-2160000</v>
      </c>
      <c r="T29" s="162">
        <f>G29-I29</f>
        <v>-500000</v>
      </c>
      <c r="U29" s="163"/>
      <c r="V29" s="164" t="e">
        <f t="shared" si="0"/>
        <v>#DIV/0!</v>
      </c>
      <c r="X29" s="222"/>
      <c r="Y29" s="159"/>
      <c r="Z29" s="159"/>
      <c r="AA29" s="159"/>
      <c r="AB29" s="159"/>
      <c r="AC29" s="159"/>
      <c r="AD29" s="159"/>
      <c r="AE29" s="159"/>
    </row>
    <row r="30" spans="1:31" ht="18.95" customHeight="1">
      <c r="A30" s="330"/>
      <c r="B30" s="149" t="s">
        <v>68</v>
      </c>
      <c r="C30" s="150" t="s">
        <v>69</v>
      </c>
      <c r="D30" s="151">
        <v>18386</v>
      </c>
      <c r="E30" s="345">
        <v>14495400</v>
      </c>
      <c r="F30" s="342"/>
      <c r="G30" s="341"/>
      <c r="H30" s="342"/>
      <c r="I30" s="152">
        <v>500000</v>
      </c>
      <c r="J30" s="159">
        <v>0</v>
      </c>
      <c r="K30" s="159">
        <v>0</v>
      </c>
      <c r="L30" s="159">
        <v>0</v>
      </c>
      <c r="M30" s="159">
        <v>5320000</v>
      </c>
      <c r="N30" s="159">
        <v>0</v>
      </c>
      <c r="O30" s="159">
        <v>0</v>
      </c>
      <c r="P30" s="159">
        <v>0</v>
      </c>
      <c r="Q30" s="159">
        <v>0</v>
      </c>
      <c r="R30" s="160">
        <f>SUM(J30:Q30)</f>
        <v>5320000</v>
      </c>
      <c r="S30" s="161">
        <f>I30-R30</f>
        <v>-4820000</v>
      </c>
      <c r="T30" s="162">
        <f>G30-I30</f>
        <v>-500000</v>
      </c>
      <c r="U30" s="163"/>
      <c r="V30" s="164" t="e">
        <f t="shared" si="0"/>
        <v>#DIV/0!</v>
      </c>
      <c r="X30" s="222"/>
      <c r="Y30" s="159"/>
      <c r="Z30" s="159"/>
      <c r="AA30" s="159"/>
      <c r="AB30" s="159"/>
      <c r="AC30" s="159"/>
      <c r="AD30" s="159"/>
      <c r="AE30" s="159"/>
    </row>
    <row r="31" spans="1:31" ht="18.95" customHeight="1">
      <c r="A31" s="330"/>
      <c r="B31" s="149"/>
      <c r="C31" s="150" t="s">
        <v>69</v>
      </c>
      <c r="D31" s="151"/>
      <c r="E31" s="345">
        <v>115000</v>
      </c>
      <c r="F31" s="342"/>
      <c r="G31" s="341"/>
      <c r="H31" s="342"/>
      <c r="I31" s="152">
        <v>875000</v>
      </c>
      <c r="J31" s="159">
        <v>0</v>
      </c>
      <c r="K31" s="159">
        <v>0</v>
      </c>
      <c r="L31" s="159">
        <v>0</v>
      </c>
      <c r="M31" s="159">
        <v>0</v>
      </c>
      <c r="N31" s="159">
        <v>0</v>
      </c>
      <c r="O31" s="159">
        <v>0</v>
      </c>
      <c r="P31" s="159">
        <v>0</v>
      </c>
      <c r="Q31" s="159">
        <v>0</v>
      </c>
      <c r="R31" s="160">
        <f>SUM(J31:Q31)</f>
        <v>0</v>
      </c>
      <c r="S31" s="161">
        <f>I31-R31</f>
        <v>875000</v>
      </c>
      <c r="T31" s="162">
        <f>G31-I31</f>
        <v>-875000</v>
      </c>
      <c r="U31" s="163"/>
      <c r="V31" s="164" t="e">
        <f t="shared" si="0"/>
        <v>#DIV/0!</v>
      </c>
      <c r="X31" s="222"/>
      <c r="Y31" s="159"/>
      <c r="Z31" s="159"/>
      <c r="AA31" s="159"/>
      <c r="AB31" s="159"/>
      <c r="AC31" s="159"/>
      <c r="AD31" s="159"/>
      <c r="AE31" s="159"/>
    </row>
    <row r="32" spans="1:31" ht="18.95" customHeight="1">
      <c r="A32" s="330"/>
      <c r="B32" s="149"/>
      <c r="C32" s="150" t="s">
        <v>70</v>
      </c>
      <c r="D32" s="151"/>
      <c r="E32" s="345">
        <v>0</v>
      </c>
      <c r="F32" s="342"/>
      <c r="G32" s="341"/>
      <c r="H32" s="342"/>
      <c r="I32" s="152">
        <v>150000</v>
      </c>
      <c r="J32" s="159">
        <v>0</v>
      </c>
      <c r="K32" s="159">
        <v>0</v>
      </c>
      <c r="L32" s="159">
        <v>0</v>
      </c>
      <c r="M32" s="159">
        <v>0</v>
      </c>
      <c r="N32" s="159">
        <v>0</v>
      </c>
      <c r="O32" s="159">
        <v>0</v>
      </c>
      <c r="P32" s="159">
        <v>0</v>
      </c>
      <c r="Q32" s="159">
        <v>0</v>
      </c>
      <c r="R32" s="160">
        <f>SUM(J32:Q32)</f>
        <v>0</v>
      </c>
      <c r="S32" s="161">
        <f>I32-R32</f>
        <v>150000</v>
      </c>
      <c r="T32" s="162">
        <f>G32-I32</f>
        <v>-150000</v>
      </c>
      <c r="U32" s="163"/>
      <c r="V32" s="164" t="e">
        <f t="shared" si="0"/>
        <v>#DIV/0!</v>
      </c>
      <c r="X32" s="222"/>
      <c r="Y32" s="159"/>
      <c r="Z32" s="159"/>
      <c r="AA32" s="159"/>
      <c r="AB32" s="159"/>
      <c r="AC32" s="159"/>
      <c r="AD32" s="159"/>
      <c r="AE32" s="159"/>
    </row>
    <row r="33" spans="1:31" ht="18.95" customHeight="1">
      <c r="A33" s="330"/>
      <c r="B33" s="149"/>
      <c r="C33" s="150" t="s">
        <v>71</v>
      </c>
      <c r="D33" s="151"/>
      <c r="E33" s="345">
        <v>0</v>
      </c>
      <c r="F33" s="342"/>
      <c r="G33" s="341"/>
      <c r="H33" s="342"/>
      <c r="I33" s="152">
        <v>750000</v>
      </c>
      <c r="J33" s="159">
        <v>0</v>
      </c>
      <c r="K33" s="159">
        <v>0</v>
      </c>
      <c r="L33" s="159">
        <v>0</v>
      </c>
      <c r="M33" s="159">
        <v>0</v>
      </c>
      <c r="N33" s="159">
        <v>0</v>
      </c>
      <c r="O33" s="159">
        <v>0</v>
      </c>
      <c r="P33" s="159">
        <v>0</v>
      </c>
      <c r="Q33" s="159">
        <v>0</v>
      </c>
      <c r="R33" s="160">
        <f>SUM(J33:Q33)</f>
        <v>0</v>
      </c>
      <c r="S33" s="161">
        <f>I33-R33</f>
        <v>750000</v>
      </c>
      <c r="T33" s="162">
        <f>G33-I33</f>
        <v>-750000</v>
      </c>
      <c r="U33" s="163"/>
      <c r="V33" s="164" t="e">
        <f t="shared" si="0"/>
        <v>#DIV/0!</v>
      </c>
      <c r="X33" s="222"/>
      <c r="Y33" s="159"/>
      <c r="Z33" s="159"/>
      <c r="AA33" s="159"/>
      <c r="AB33" s="159"/>
      <c r="AC33" s="159"/>
      <c r="AD33" s="159"/>
      <c r="AE33" s="159"/>
    </row>
    <row r="34" spans="1:31" ht="18.95" customHeight="1">
      <c r="A34" s="328"/>
      <c r="B34" s="149"/>
      <c r="C34" s="150" t="s">
        <v>72</v>
      </c>
      <c r="D34" s="151"/>
      <c r="E34" s="345">
        <v>0</v>
      </c>
      <c r="F34" s="342"/>
      <c r="G34" s="341"/>
      <c r="H34" s="342"/>
      <c r="I34" s="152">
        <v>0</v>
      </c>
      <c r="J34" s="159">
        <v>0</v>
      </c>
      <c r="K34" s="159">
        <v>0</v>
      </c>
      <c r="L34" s="159">
        <v>0</v>
      </c>
      <c r="M34" s="159">
        <v>0</v>
      </c>
      <c r="N34" s="159">
        <v>0</v>
      </c>
      <c r="O34" s="159">
        <v>0</v>
      </c>
      <c r="P34" s="159">
        <v>0</v>
      </c>
      <c r="Q34" s="159">
        <v>0</v>
      </c>
      <c r="R34" s="160">
        <f>SUM(J34:Q34)</f>
        <v>0</v>
      </c>
      <c r="S34" s="161">
        <f>I34-R34</f>
        <v>0</v>
      </c>
      <c r="T34" s="162">
        <f>G34-I34</f>
        <v>0</v>
      </c>
      <c r="U34" s="163"/>
      <c r="V34" s="164" t="e">
        <f t="shared" si="0"/>
        <v>#DIV/0!</v>
      </c>
      <c r="X34" s="222"/>
      <c r="Y34" s="159"/>
      <c r="Z34" s="159"/>
      <c r="AA34" s="159"/>
      <c r="AB34" s="159"/>
      <c r="AC34" s="159"/>
      <c r="AD34" s="159"/>
      <c r="AE34" s="159"/>
    </row>
    <row r="35" spans="1:31" ht="18.95" customHeight="1">
      <c r="A35" s="329" t="s">
        <v>73</v>
      </c>
      <c r="B35" s="153" t="s">
        <v>60</v>
      </c>
      <c r="C35" s="154" t="s">
        <v>74</v>
      </c>
      <c r="D35" s="155"/>
      <c r="E35" s="346">
        <v>0</v>
      </c>
      <c r="F35" s="344"/>
      <c r="G35" s="343">
        <v>0</v>
      </c>
      <c r="H35" s="344"/>
      <c r="I35" s="156">
        <v>0</v>
      </c>
      <c r="J35" s="133">
        <v>0</v>
      </c>
      <c r="K35" s="133">
        <v>0</v>
      </c>
      <c r="L35" s="133">
        <v>0</v>
      </c>
      <c r="M35" s="133">
        <v>0</v>
      </c>
      <c r="N35" s="133">
        <v>-710480</v>
      </c>
      <c r="O35" s="133">
        <v>0</v>
      </c>
      <c r="P35" s="133">
        <v>0</v>
      </c>
      <c r="Q35" s="133">
        <v>0</v>
      </c>
      <c r="R35" s="134">
        <f>SUM(J35:Q35)</f>
        <v>-710480</v>
      </c>
      <c r="S35" s="135">
        <f>I35-R35</f>
        <v>710480</v>
      </c>
      <c r="T35" s="136">
        <f>G35-I35</f>
        <v>0</v>
      </c>
      <c r="U35" s="165"/>
      <c r="V35" s="138" t="e">
        <f t="shared" si="0"/>
        <v>#DIV/0!</v>
      </c>
      <c r="X35" s="221"/>
      <c r="Y35" s="133"/>
      <c r="Z35" s="133"/>
      <c r="AA35" s="133"/>
      <c r="AB35" s="133"/>
      <c r="AC35" s="133"/>
      <c r="AD35" s="133"/>
      <c r="AE35" s="133"/>
    </row>
    <row r="36" spans="1:31" ht="18.95" customHeight="1">
      <c r="A36" s="330"/>
      <c r="B36" s="149" t="s">
        <v>60</v>
      </c>
      <c r="C36" s="150" t="s">
        <v>74</v>
      </c>
      <c r="D36" s="151"/>
      <c r="E36" s="345">
        <v>0</v>
      </c>
      <c r="F36" s="342"/>
      <c r="G36" s="341">
        <v>0</v>
      </c>
      <c r="H36" s="342"/>
      <c r="I36" s="152">
        <v>0</v>
      </c>
      <c r="J36" s="159">
        <v>0</v>
      </c>
      <c r="K36" s="159">
        <v>0</v>
      </c>
      <c r="L36" s="159">
        <v>0</v>
      </c>
      <c r="M36" s="159">
        <v>0</v>
      </c>
      <c r="N36" s="159">
        <v>0</v>
      </c>
      <c r="O36" s="159">
        <v>-61120</v>
      </c>
      <c r="P36" s="159">
        <v>0</v>
      </c>
      <c r="Q36" s="159">
        <v>0</v>
      </c>
      <c r="R36" s="160">
        <f>SUM(J36:Q36)</f>
        <v>-61120</v>
      </c>
      <c r="S36" s="161">
        <f>I36-R36</f>
        <v>61120</v>
      </c>
      <c r="T36" s="162">
        <f>G36-I36</f>
        <v>0</v>
      </c>
      <c r="U36" s="163"/>
      <c r="V36" s="164" t="e">
        <f t="shared" si="0"/>
        <v>#DIV/0!</v>
      </c>
      <c r="X36" s="222"/>
      <c r="Y36" s="159"/>
      <c r="Z36" s="159"/>
      <c r="AA36" s="159"/>
      <c r="AB36" s="159"/>
      <c r="AC36" s="159"/>
      <c r="AD36" s="159"/>
      <c r="AE36" s="159"/>
    </row>
    <row r="37" spans="1:31" ht="18.95" customHeight="1">
      <c r="A37" s="330"/>
      <c r="B37" s="149" t="s">
        <v>60</v>
      </c>
      <c r="C37" s="150" t="s">
        <v>74</v>
      </c>
      <c r="D37" s="151"/>
      <c r="E37" s="345">
        <v>0</v>
      </c>
      <c r="F37" s="342"/>
      <c r="G37" s="341">
        <v>0</v>
      </c>
      <c r="H37" s="342"/>
      <c r="I37" s="152">
        <v>0</v>
      </c>
      <c r="J37" s="159">
        <v>0</v>
      </c>
      <c r="K37" s="159">
        <v>0</v>
      </c>
      <c r="L37" s="159">
        <v>0</v>
      </c>
      <c r="M37" s="159">
        <v>0</v>
      </c>
      <c r="N37" s="159">
        <v>0</v>
      </c>
      <c r="O37" s="159">
        <v>0</v>
      </c>
      <c r="P37" s="159">
        <v>-7640</v>
      </c>
      <c r="Q37" s="159">
        <v>0</v>
      </c>
      <c r="R37" s="160">
        <f>SUM(J37:Q37)</f>
        <v>-7640</v>
      </c>
      <c r="S37" s="161">
        <f>I37-R37</f>
        <v>7640</v>
      </c>
      <c r="T37" s="162">
        <f>G37-I37</f>
        <v>0</v>
      </c>
      <c r="U37" s="163"/>
      <c r="V37" s="164" t="e">
        <f t="shared" si="0"/>
        <v>#DIV/0!</v>
      </c>
      <c r="X37" s="222"/>
      <c r="Y37" s="159"/>
      <c r="Z37" s="159"/>
      <c r="AA37" s="159"/>
      <c r="AB37" s="159"/>
      <c r="AC37" s="159"/>
      <c r="AD37" s="159"/>
      <c r="AE37" s="159"/>
    </row>
    <row r="38" spans="1:31" ht="18.95" customHeight="1">
      <c r="A38" s="330"/>
      <c r="B38" s="149" t="s">
        <v>60</v>
      </c>
      <c r="C38" s="150" t="s">
        <v>74</v>
      </c>
      <c r="D38" s="151">
        <v>17870</v>
      </c>
      <c r="E38" s="345">
        <v>4662030</v>
      </c>
      <c r="F38" s="342"/>
      <c r="G38" s="341"/>
      <c r="H38" s="342"/>
      <c r="I38" s="152">
        <v>4510000</v>
      </c>
      <c r="J38" s="159">
        <v>0</v>
      </c>
      <c r="K38" s="159">
        <v>0</v>
      </c>
      <c r="L38" s="159">
        <v>0</v>
      </c>
      <c r="M38" s="159">
        <v>0</v>
      </c>
      <c r="N38" s="159">
        <v>676500</v>
      </c>
      <c r="O38" s="159">
        <v>0</v>
      </c>
      <c r="P38" s="159">
        <v>0</v>
      </c>
      <c r="Q38" s="159">
        <v>0</v>
      </c>
      <c r="R38" s="160">
        <f>SUM(J38:Q38)</f>
        <v>676500</v>
      </c>
      <c r="S38" s="161">
        <f>I38-R38</f>
        <v>3833500</v>
      </c>
      <c r="T38" s="162">
        <f>G38-I38</f>
        <v>-4510000</v>
      </c>
      <c r="U38" s="163"/>
      <c r="V38" s="164" t="e">
        <f t="shared" si="0"/>
        <v>#DIV/0!</v>
      </c>
      <c r="X38" s="222"/>
      <c r="Y38" s="159"/>
      <c r="Z38" s="159"/>
      <c r="AA38" s="159"/>
      <c r="AB38" s="159"/>
      <c r="AC38" s="159"/>
      <c r="AD38" s="159"/>
      <c r="AE38" s="159"/>
    </row>
    <row r="39" spans="1:31" ht="18.95" customHeight="1">
      <c r="A39" s="330"/>
      <c r="B39" s="149" t="s">
        <v>60</v>
      </c>
      <c r="C39" s="150" t="s">
        <v>74</v>
      </c>
      <c r="D39" s="151">
        <v>17870</v>
      </c>
      <c r="E39" s="345">
        <v>4662030</v>
      </c>
      <c r="F39" s="342"/>
      <c r="G39" s="341"/>
      <c r="H39" s="342"/>
      <c r="I39" s="152">
        <v>4510000</v>
      </c>
      <c r="J39" s="159">
        <v>0</v>
      </c>
      <c r="K39" s="159">
        <v>0</v>
      </c>
      <c r="L39" s="159">
        <v>0</v>
      </c>
      <c r="M39" s="159">
        <v>0</v>
      </c>
      <c r="N39" s="159">
        <v>0</v>
      </c>
      <c r="O39" s="159">
        <v>225500</v>
      </c>
      <c r="P39" s="159">
        <v>0</v>
      </c>
      <c r="Q39" s="159">
        <v>0</v>
      </c>
      <c r="R39" s="160">
        <f>SUM(J39:Q39)</f>
        <v>225500</v>
      </c>
      <c r="S39" s="161">
        <f>I39-R39</f>
        <v>4284500</v>
      </c>
      <c r="T39" s="162">
        <f>G39-I39</f>
        <v>-4510000</v>
      </c>
      <c r="U39" s="163"/>
      <c r="V39" s="164" t="e">
        <f t="shared" si="0"/>
        <v>#DIV/0!</v>
      </c>
      <c r="X39" s="222"/>
      <c r="Y39" s="159"/>
      <c r="Z39" s="159"/>
      <c r="AA39" s="159"/>
      <c r="AB39" s="159"/>
      <c r="AC39" s="159"/>
      <c r="AD39" s="159"/>
      <c r="AE39" s="159"/>
    </row>
    <row r="40" spans="1:31" ht="18.95" customHeight="1">
      <c r="A40" s="330"/>
      <c r="B40" s="149" t="s">
        <v>60</v>
      </c>
      <c r="C40" s="150" t="s">
        <v>74</v>
      </c>
      <c r="D40" s="151">
        <v>17870</v>
      </c>
      <c r="E40" s="345">
        <v>4662030</v>
      </c>
      <c r="F40" s="342"/>
      <c r="G40" s="341"/>
      <c r="H40" s="342"/>
      <c r="I40" s="152">
        <v>4510000</v>
      </c>
      <c r="J40" s="159">
        <v>0</v>
      </c>
      <c r="K40" s="159">
        <v>0</v>
      </c>
      <c r="L40" s="159">
        <v>0</v>
      </c>
      <c r="M40" s="159">
        <v>3608000</v>
      </c>
      <c r="N40" s="159">
        <v>0</v>
      </c>
      <c r="O40" s="159">
        <v>0</v>
      </c>
      <c r="P40" s="159">
        <v>0</v>
      </c>
      <c r="Q40" s="159">
        <v>0</v>
      </c>
      <c r="R40" s="160">
        <f>SUM(J40:Q40)</f>
        <v>3608000</v>
      </c>
      <c r="S40" s="161">
        <f>I40-R40</f>
        <v>902000</v>
      </c>
      <c r="T40" s="162">
        <f>G40-I40</f>
        <v>-4510000</v>
      </c>
      <c r="U40" s="163"/>
      <c r="V40" s="164" t="e">
        <f t="shared" si="0"/>
        <v>#DIV/0!</v>
      </c>
      <c r="X40" s="222"/>
      <c r="Y40" s="159"/>
      <c r="Z40" s="159"/>
      <c r="AA40" s="159"/>
      <c r="AB40" s="159"/>
      <c r="AC40" s="159"/>
      <c r="AD40" s="159"/>
      <c r="AE40" s="159"/>
    </row>
    <row r="41" spans="1:31" ht="18.95" customHeight="1">
      <c r="A41" s="330"/>
      <c r="B41" s="149"/>
      <c r="C41" s="150" t="s">
        <v>74</v>
      </c>
      <c r="D41" s="151"/>
      <c r="E41" s="345">
        <v>0</v>
      </c>
      <c r="F41" s="342"/>
      <c r="G41" s="341"/>
      <c r="H41" s="342"/>
      <c r="I41" s="152">
        <v>0</v>
      </c>
      <c r="J41" s="159">
        <v>0</v>
      </c>
      <c r="K41" s="159">
        <v>0</v>
      </c>
      <c r="L41" s="159">
        <v>0</v>
      </c>
      <c r="M41" s="159">
        <v>0</v>
      </c>
      <c r="N41" s="159">
        <v>0</v>
      </c>
      <c r="O41" s="159">
        <v>0</v>
      </c>
      <c r="P41" s="159">
        <v>0</v>
      </c>
      <c r="Q41" s="159">
        <v>0</v>
      </c>
      <c r="R41" s="160">
        <f>SUM(J41:Q41)</f>
        <v>0</v>
      </c>
      <c r="S41" s="161">
        <f>I41-R41</f>
        <v>0</v>
      </c>
      <c r="T41" s="162">
        <f>G41-I41</f>
        <v>0</v>
      </c>
      <c r="U41" s="163"/>
      <c r="V41" s="164" t="e">
        <f t="shared" si="0"/>
        <v>#DIV/0!</v>
      </c>
      <c r="X41" s="222"/>
      <c r="Y41" s="159"/>
      <c r="Z41" s="159"/>
      <c r="AA41" s="159"/>
      <c r="AB41" s="159"/>
      <c r="AC41" s="159"/>
      <c r="AD41" s="159"/>
      <c r="AE41" s="159"/>
    </row>
    <row r="42" spans="1:31" ht="18.95" customHeight="1">
      <c r="A42" s="328"/>
      <c r="B42" s="149"/>
      <c r="C42" s="150" t="s">
        <v>75</v>
      </c>
      <c r="D42" s="151"/>
      <c r="E42" s="345">
        <v>0</v>
      </c>
      <c r="F42" s="342"/>
      <c r="G42" s="341"/>
      <c r="H42" s="342"/>
      <c r="I42" s="152">
        <v>0</v>
      </c>
      <c r="J42" s="159">
        <v>0</v>
      </c>
      <c r="K42" s="159">
        <v>0</v>
      </c>
      <c r="L42" s="159">
        <v>0</v>
      </c>
      <c r="M42" s="159">
        <v>0</v>
      </c>
      <c r="N42" s="159">
        <v>0</v>
      </c>
      <c r="O42" s="159">
        <v>0</v>
      </c>
      <c r="P42" s="159">
        <v>0</v>
      </c>
      <c r="Q42" s="159">
        <v>0</v>
      </c>
      <c r="R42" s="160">
        <f>SUM(J42:Q42)</f>
        <v>0</v>
      </c>
      <c r="S42" s="161">
        <f>I42-R42</f>
        <v>0</v>
      </c>
      <c r="T42" s="162">
        <f>G42-I42</f>
        <v>0</v>
      </c>
      <c r="U42" s="163"/>
      <c r="V42" s="164" t="e">
        <f t="shared" si="0"/>
        <v>#DIV/0!</v>
      </c>
      <c r="X42" s="222"/>
      <c r="Y42" s="159"/>
      <c r="Z42" s="159"/>
      <c r="AA42" s="159"/>
      <c r="AB42" s="159"/>
      <c r="AC42" s="159"/>
      <c r="AD42" s="159"/>
      <c r="AE42" s="159"/>
    </row>
    <row r="43" spans="1:31" ht="18.95" customHeight="1">
      <c r="A43" s="329" t="s">
        <v>76</v>
      </c>
      <c r="B43" s="153" t="s">
        <v>60</v>
      </c>
      <c r="C43" s="154" t="s">
        <v>77</v>
      </c>
      <c r="D43" s="155">
        <v>17870</v>
      </c>
      <c r="E43" s="346">
        <v>969730</v>
      </c>
      <c r="F43" s="344"/>
      <c r="G43" s="343"/>
      <c r="H43" s="344"/>
      <c r="I43" s="156">
        <v>855430</v>
      </c>
      <c r="J43" s="133">
        <v>0</v>
      </c>
      <c r="K43" s="133">
        <v>0</v>
      </c>
      <c r="L43" s="133">
        <v>0</v>
      </c>
      <c r="M43" s="133">
        <v>0</v>
      </c>
      <c r="N43" s="133">
        <v>0</v>
      </c>
      <c r="O43" s="133">
        <v>19890</v>
      </c>
      <c r="P43" s="133">
        <v>0</v>
      </c>
      <c r="Q43" s="133">
        <v>0</v>
      </c>
      <c r="R43" s="134">
        <f>SUM(J43:Q43)</f>
        <v>19890</v>
      </c>
      <c r="S43" s="135">
        <f>I43-R43</f>
        <v>835540</v>
      </c>
      <c r="T43" s="136">
        <f>G43-I43</f>
        <v>-855430</v>
      </c>
      <c r="U43" s="165"/>
      <c r="V43" s="138" t="e">
        <f t="shared" si="0"/>
        <v>#DIV/0!</v>
      </c>
      <c r="X43" s="221"/>
      <c r="Y43" s="133"/>
      <c r="Z43" s="133"/>
      <c r="AA43" s="133"/>
      <c r="AB43" s="133"/>
      <c r="AC43" s="133"/>
      <c r="AD43" s="133"/>
      <c r="AE43" s="133"/>
    </row>
    <row r="44" spans="1:31" ht="18.95" customHeight="1">
      <c r="A44" s="330"/>
      <c r="B44" s="149" t="s">
        <v>60</v>
      </c>
      <c r="C44" s="150" t="s">
        <v>77</v>
      </c>
      <c r="D44" s="151"/>
      <c r="E44" s="345">
        <v>0</v>
      </c>
      <c r="F44" s="342"/>
      <c r="G44" s="341">
        <v>0</v>
      </c>
      <c r="H44" s="342"/>
      <c r="I44" s="152">
        <v>0</v>
      </c>
      <c r="J44" s="159">
        <v>0</v>
      </c>
      <c r="K44" s="159">
        <v>0</v>
      </c>
      <c r="L44" s="159">
        <v>0</v>
      </c>
      <c r="M44" s="159">
        <v>0</v>
      </c>
      <c r="N44" s="159">
        <v>-35600</v>
      </c>
      <c r="O44" s="159">
        <v>0</v>
      </c>
      <c r="P44" s="159">
        <v>0</v>
      </c>
      <c r="Q44" s="159">
        <v>0</v>
      </c>
      <c r="R44" s="160">
        <f>SUM(J44:Q44)</f>
        <v>-35600</v>
      </c>
      <c r="S44" s="161">
        <f>I44-R44</f>
        <v>35600</v>
      </c>
      <c r="T44" s="162">
        <f>G44-I44</f>
        <v>0</v>
      </c>
      <c r="U44" s="163"/>
      <c r="V44" s="164" t="e">
        <f t="shared" si="0"/>
        <v>#DIV/0!</v>
      </c>
      <c r="X44" s="222"/>
      <c r="Y44" s="159"/>
      <c r="Z44" s="159"/>
      <c r="AA44" s="159"/>
      <c r="AB44" s="159"/>
      <c r="AC44" s="159"/>
      <c r="AD44" s="159"/>
      <c r="AE44" s="159"/>
    </row>
    <row r="45" spans="1:31" ht="18.95" customHeight="1">
      <c r="A45" s="330"/>
      <c r="B45" s="149" t="s">
        <v>60</v>
      </c>
      <c r="C45" s="150" t="s">
        <v>77</v>
      </c>
      <c r="D45" s="151">
        <v>17870</v>
      </c>
      <c r="E45" s="345">
        <v>969730</v>
      </c>
      <c r="F45" s="342"/>
      <c r="G45" s="341"/>
      <c r="H45" s="342"/>
      <c r="I45" s="152">
        <v>855430</v>
      </c>
      <c r="J45" s="159">
        <v>0</v>
      </c>
      <c r="K45" s="159">
        <v>0</v>
      </c>
      <c r="L45" s="159">
        <v>0</v>
      </c>
      <c r="M45" s="159">
        <v>427716</v>
      </c>
      <c r="N45" s="159">
        <v>0</v>
      </c>
      <c r="O45" s="159">
        <v>0</v>
      </c>
      <c r="P45" s="159">
        <v>0</v>
      </c>
      <c r="Q45" s="159">
        <v>0</v>
      </c>
      <c r="R45" s="160">
        <f>SUM(J45:Q45)</f>
        <v>427716</v>
      </c>
      <c r="S45" s="161">
        <f>I45-R45</f>
        <v>427714</v>
      </c>
      <c r="T45" s="162">
        <f>G45-I45</f>
        <v>-855430</v>
      </c>
      <c r="U45" s="163"/>
      <c r="V45" s="164" t="e">
        <f t="shared" si="0"/>
        <v>#DIV/0!</v>
      </c>
      <c r="X45" s="222"/>
      <c r="Y45" s="159"/>
      <c r="Z45" s="159"/>
      <c r="AA45" s="159"/>
      <c r="AB45" s="159"/>
      <c r="AC45" s="159"/>
      <c r="AD45" s="159"/>
      <c r="AE45" s="159"/>
    </row>
    <row r="46" spans="1:31" ht="18.95" customHeight="1">
      <c r="A46" s="330"/>
      <c r="B46" s="149" t="s">
        <v>60</v>
      </c>
      <c r="C46" s="150" t="s">
        <v>77</v>
      </c>
      <c r="D46" s="151">
        <v>17870</v>
      </c>
      <c r="E46" s="345">
        <v>969730</v>
      </c>
      <c r="F46" s="342"/>
      <c r="G46" s="341"/>
      <c r="H46" s="342"/>
      <c r="I46" s="152">
        <v>855430</v>
      </c>
      <c r="J46" s="159">
        <v>0</v>
      </c>
      <c r="K46" s="159">
        <v>0</v>
      </c>
      <c r="L46" s="159">
        <v>0</v>
      </c>
      <c r="M46" s="159">
        <v>0</v>
      </c>
      <c r="N46" s="159">
        <v>427714</v>
      </c>
      <c r="O46" s="159">
        <v>0</v>
      </c>
      <c r="P46" s="159">
        <v>0</v>
      </c>
      <c r="Q46" s="159">
        <v>0</v>
      </c>
      <c r="R46" s="160">
        <f>SUM(J46:Q46)</f>
        <v>427714</v>
      </c>
      <c r="S46" s="161">
        <f>I46-R46</f>
        <v>427716</v>
      </c>
      <c r="T46" s="162">
        <f>G46-I46</f>
        <v>-855430</v>
      </c>
      <c r="U46" s="163"/>
      <c r="V46" s="164" t="e">
        <f t="shared" si="0"/>
        <v>#DIV/0!</v>
      </c>
      <c r="X46" s="222"/>
      <c r="Y46" s="159"/>
      <c r="Z46" s="159"/>
      <c r="AA46" s="159"/>
      <c r="AB46" s="159"/>
      <c r="AC46" s="159"/>
      <c r="AD46" s="159"/>
      <c r="AE46" s="159"/>
    </row>
    <row r="47" spans="1:31" ht="18.95" customHeight="1">
      <c r="A47" s="330"/>
      <c r="B47" s="149" t="s">
        <v>60</v>
      </c>
      <c r="C47" s="150" t="s">
        <v>77</v>
      </c>
      <c r="D47" s="151"/>
      <c r="E47" s="345">
        <v>0</v>
      </c>
      <c r="F47" s="342"/>
      <c r="G47" s="341">
        <v>0</v>
      </c>
      <c r="H47" s="342"/>
      <c r="I47" s="152">
        <v>0</v>
      </c>
      <c r="J47" s="159">
        <v>0</v>
      </c>
      <c r="K47" s="159">
        <v>0</v>
      </c>
      <c r="L47" s="159">
        <v>0</v>
      </c>
      <c r="M47" s="159">
        <v>0</v>
      </c>
      <c r="N47" s="159">
        <v>0</v>
      </c>
      <c r="O47" s="159">
        <v>-10400</v>
      </c>
      <c r="P47" s="159">
        <v>0</v>
      </c>
      <c r="Q47" s="159">
        <v>0</v>
      </c>
      <c r="R47" s="160">
        <f>SUM(J47:Q47)</f>
        <v>-10400</v>
      </c>
      <c r="S47" s="161">
        <f>I47-R47</f>
        <v>10400</v>
      </c>
      <c r="T47" s="162">
        <f>G47-I47</f>
        <v>0</v>
      </c>
      <c r="U47" s="163"/>
      <c r="V47" s="164" t="e">
        <f t="shared" si="0"/>
        <v>#DIV/0!</v>
      </c>
      <c r="X47" s="222"/>
      <c r="Y47" s="159"/>
      <c r="Z47" s="159"/>
      <c r="AA47" s="159"/>
      <c r="AB47" s="159"/>
      <c r="AC47" s="159"/>
      <c r="AD47" s="159"/>
      <c r="AE47" s="159"/>
    </row>
    <row r="48" spans="1:31" ht="18.95" customHeight="1">
      <c r="A48" s="330"/>
      <c r="B48" s="149" t="s">
        <v>60</v>
      </c>
      <c r="C48" s="150" t="s">
        <v>77</v>
      </c>
      <c r="D48" s="151"/>
      <c r="E48" s="345">
        <v>0</v>
      </c>
      <c r="F48" s="342"/>
      <c r="G48" s="341">
        <v>0</v>
      </c>
      <c r="H48" s="342"/>
      <c r="I48" s="152">
        <v>0</v>
      </c>
      <c r="J48" s="159">
        <v>0</v>
      </c>
      <c r="K48" s="159">
        <v>0</v>
      </c>
      <c r="L48" s="159">
        <v>0</v>
      </c>
      <c r="M48" s="159">
        <v>0</v>
      </c>
      <c r="N48" s="159">
        <v>0</v>
      </c>
      <c r="O48" s="159">
        <v>-10400</v>
      </c>
      <c r="P48" s="159">
        <v>0</v>
      </c>
      <c r="Q48" s="159">
        <v>0</v>
      </c>
      <c r="R48" s="160">
        <f>SUM(J48:Q48)</f>
        <v>-10400</v>
      </c>
      <c r="S48" s="161">
        <f>I48-R48</f>
        <v>10400</v>
      </c>
      <c r="T48" s="162">
        <f>G48-I48</f>
        <v>0</v>
      </c>
      <c r="U48" s="163"/>
      <c r="V48" s="164" t="e">
        <f t="shared" si="0"/>
        <v>#DIV/0!</v>
      </c>
      <c r="X48" s="222"/>
      <c r="Y48" s="159"/>
      <c r="Z48" s="159"/>
      <c r="AA48" s="159"/>
      <c r="AB48" s="159"/>
      <c r="AC48" s="159"/>
      <c r="AD48" s="159"/>
      <c r="AE48" s="159"/>
    </row>
    <row r="49" spans="1:31" ht="18.95" customHeight="1">
      <c r="A49" s="330"/>
      <c r="B49" s="149" t="s">
        <v>60</v>
      </c>
      <c r="C49" s="150" t="s">
        <v>77</v>
      </c>
      <c r="D49" s="151"/>
      <c r="E49" s="345">
        <v>0</v>
      </c>
      <c r="F49" s="342"/>
      <c r="G49" s="341">
        <v>0</v>
      </c>
      <c r="H49" s="342"/>
      <c r="I49" s="152">
        <v>0</v>
      </c>
      <c r="J49" s="159">
        <v>0</v>
      </c>
      <c r="K49" s="159">
        <v>0</v>
      </c>
      <c r="L49" s="159">
        <v>0</v>
      </c>
      <c r="M49" s="159">
        <v>0</v>
      </c>
      <c r="N49" s="159">
        <v>-35600</v>
      </c>
      <c r="O49" s="159">
        <v>0</v>
      </c>
      <c r="P49" s="159">
        <v>0</v>
      </c>
      <c r="Q49" s="159">
        <v>0</v>
      </c>
      <c r="R49" s="160">
        <f>SUM(J49:Q49)</f>
        <v>-35600</v>
      </c>
      <c r="S49" s="161">
        <f>I49-R49</f>
        <v>35600</v>
      </c>
      <c r="T49" s="162">
        <f>G49-I49</f>
        <v>0</v>
      </c>
      <c r="U49" s="163"/>
      <c r="V49" s="164" t="e">
        <f t="shared" si="0"/>
        <v>#DIV/0!</v>
      </c>
      <c r="X49" s="222"/>
      <c r="Y49" s="159"/>
      <c r="Z49" s="159"/>
      <c r="AA49" s="159"/>
      <c r="AB49" s="159"/>
      <c r="AC49" s="159"/>
      <c r="AD49" s="159"/>
      <c r="AE49" s="159"/>
    </row>
    <row r="50" spans="1:31" ht="18.95" customHeight="1">
      <c r="A50" s="330"/>
      <c r="B50" s="149" t="s">
        <v>60</v>
      </c>
      <c r="C50" s="150" t="s">
        <v>77</v>
      </c>
      <c r="D50" s="151">
        <v>18346</v>
      </c>
      <c r="E50" s="345">
        <v>969730</v>
      </c>
      <c r="F50" s="342"/>
      <c r="G50" s="341"/>
      <c r="H50" s="342"/>
      <c r="I50" s="152">
        <v>19890</v>
      </c>
      <c r="J50" s="159">
        <v>0</v>
      </c>
      <c r="K50" s="159">
        <v>0</v>
      </c>
      <c r="L50" s="159">
        <v>0</v>
      </c>
      <c r="M50" s="159">
        <v>0</v>
      </c>
      <c r="N50" s="159">
        <v>0</v>
      </c>
      <c r="O50" s="159">
        <v>19890</v>
      </c>
      <c r="P50" s="159">
        <v>0</v>
      </c>
      <c r="Q50" s="159">
        <v>0</v>
      </c>
      <c r="R50" s="160">
        <f>SUM(J50:Q50)</f>
        <v>19890</v>
      </c>
      <c r="S50" s="161">
        <f>I50-R50</f>
        <v>0</v>
      </c>
      <c r="T50" s="162">
        <f>G50-I50</f>
        <v>-19890</v>
      </c>
      <c r="U50" s="163"/>
      <c r="V50" s="164" t="e">
        <f t="shared" si="0"/>
        <v>#DIV/0!</v>
      </c>
      <c r="X50" s="222"/>
      <c r="Y50" s="159"/>
      <c r="Z50" s="159"/>
      <c r="AA50" s="159"/>
      <c r="AB50" s="159"/>
      <c r="AC50" s="159"/>
      <c r="AD50" s="159"/>
      <c r="AE50" s="159"/>
    </row>
    <row r="51" spans="1:31" ht="18.95" customHeight="1">
      <c r="A51" s="330"/>
      <c r="B51" s="149" t="s">
        <v>60</v>
      </c>
      <c r="C51" s="150" t="s">
        <v>77</v>
      </c>
      <c r="D51" s="151">
        <v>18346</v>
      </c>
      <c r="E51" s="345">
        <v>969730</v>
      </c>
      <c r="F51" s="342"/>
      <c r="G51" s="341"/>
      <c r="H51" s="342"/>
      <c r="I51" s="152">
        <v>19890</v>
      </c>
      <c r="J51" s="159">
        <v>0</v>
      </c>
      <c r="K51" s="159">
        <v>0</v>
      </c>
      <c r="L51" s="159">
        <v>0</v>
      </c>
      <c r="M51" s="159">
        <v>427716</v>
      </c>
      <c r="N51" s="159">
        <v>0</v>
      </c>
      <c r="O51" s="159">
        <v>0</v>
      </c>
      <c r="P51" s="159">
        <v>0</v>
      </c>
      <c r="Q51" s="159">
        <v>0</v>
      </c>
      <c r="R51" s="160">
        <f>SUM(J51:Q51)</f>
        <v>427716</v>
      </c>
      <c r="S51" s="161">
        <f>I51-R51</f>
        <v>-407826</v>
      </c>
      <c r="T51" s="162">
        <f>G51-I51</f>
        <v>-19890</v>
      </c>
      <c r="U51" s="163"/>
      <c r="V51" s="164" t="e">
        <f t="shared" si="0"/>
        <v>#DIV/0!</v>
      </c>
      <c r="X51" s="222"/>
      <c r="Y51" s="159"/>
      <c r="Z51" s="159"/>
      <c r="AA51" s="159"/>
      <c r="AB51" s="159"/>
      <c r="AC51" s="159"/>
      <c r="AD51" s="159"/>
      <c r="AE51" s="159"/>
    </row>
    <row r="52" spans="1:31" ht="18.95" customHeight="1">
      <c r="A52" s="330"/>
      <c r="B52" s="149" t="s">
        <v>60</v>
      </c>
      <c r="C52" s="150" t="s">
        <v>77</v>
      </c>
      <c r="D52" s="151">
        <v>18346</v>
      </c>
      <c r="E52" s="345">
        <v>969730</v>
      </c>
      <c r="F52" s="342"/>
      <c r="G52" s="341"/>
      <c r="H52" s="342"/>
      <c r="I52" s="152">
        <v>19890</v>
      </c>
      <c r="J52" s="159">
        <v>0</v>
      </c>
      <c r="K52" s="159">
        <v>0</v>
      </c>
      <c r="L52" s="159">
        <v>0</v>
      </c>
      <c r="M52" s="159">
        <v>0</v>
      </c>
      <c r="N52" s="159">
        <v>427714</v>
      </c>
      <c r="O52" s="159">
        <v>0</v>
      </c>
      <c r="P52" s="159">
        <v>0</v>
      </c>
      <c r="Q52" s="159">
        <v>0</v>
      </c>
      <c r="R52" s="160">
        <f>SUM(J52:Q52)</f>
        <v>427714</v>
      </c>
      <c r="S52" s="161">
        <f>I52-R52</f>
        <v>-407824</v>
      </c>
      <c r="T52" s="162">
        <f>G52-I52</f>
        <v>-19890</v>
      </c>
      <c r="U52" s="163"/>
      <c r="V52" s="164" t="e">
        <f t="shared" si="0"/>
        <v>#DIV/0!</v>
      </c>
      <c r="X52" s="222"/>
      <c r="Y52" s="159"/>
      <c r="Z52" s="159"/>
      <c r="AA52" s="159"/>
      <c r="AB52" s="159"/>
      <c r="AC52" s="159"/>
      <c r="AD52" s="159"/>
      <c r="AE52" s="159"/>
    </row>
    <row r="53" spans="1:31" ht="18.95" customHeight="1">
      <c r="A53" s="330"/>
      <c r="B53" s="149" t="s">
        <v>60</v>
      </c>
      <c r="C53" s="150" t="s">
        <v>78</v>
      </c>
      <c r="D53" s="151"/>
      <c r="E53" s="345">
        <v>0</v>
      </c>
      <c r="F53" s="342"/>
      <c r="G53" s="341">
        <v>0</v>
      </c>
      <c r="H53" s="342"/>
      <c r="I53" s="152">
        <v>0</v>
      </c>
      <c r="J53" s="159">
        <v>0</v>
      </c>
      <c r="K53" s="159">
        <v>0</v>
      </c>
      <c r="L53" s="159">
        <v>0</v>
      </c>
      <c r="M53" s="159">
        <v>0</v>
      </c>
      <c r="N53" s="159">
        <v>-43800</v>
      </c>
      <c r="O53" s="159">
        <v>0</v>
      </c>
      <c r="P53" s="159">
        <v>0</v>
      </c>
      <c r="Q53" s="159">
        <v>0</v>
      </c>
      <c r="R53" s="160">
        <f>SUM(J53:Q53)</f>
        <v>-43800</v>
      </c>
      <c r="S53" s="161">
        <f>I53-R53</f>
        <v>43800</v>
      </c>
      <c r="T53" s="162">
        <f>G53-I53</f>
        <v>0</v>
      </c>
      <c r="U53" s="163"/>
      <c r="V53" s="164" t="e">
        <f t="shared" si="0"/>
        <v>#DIV/0!</v>
      </c>
      <c r="X53" s="222"/>
      <c r="Y53" s="159"/>
      <c r="Z53" s="159"/>
      <c r="AA53" s="159"/>
      <c r="AB53" s="159"/>
      <c r="AC53" s="159"/>
      <c r="AD53" s="159"/>
      <c r="AE53" s="159"/>
    </row>
    <row r="54" spans="1:31" ht="18.95" customHeight="1">
      <c r="A54" s="330"/>
      <c r="B54" s="149" t="s">
        <v>60</v>
      </c>
      <c r="C54" s="150" t="s">
        <v>78</v>
      </c>
      <c r="D54" s="151"/>
      <c r="E54" s="345">
        <v>0</v>
      </c>
      <c r="F54" s="342"/>
      <c r="G54" s="341">
        <v>0</v>
      </c>
      <c r="H54" s="342"/>
      <c r="I54" s="152">
        <v>0</v>
      </c>
      <c r="J54" s="159">
        <v>0</v>
      </c>
      <c r="K54" s="159">
        <v>0</v>
      </c>
      <c r="L54" s="159">
        <v>0</v>
      </c>
      <c r="M54" s="159">
        <v>0</v>
      </c>
      <c r="N54" s="159">
        <v>0</v>
      </c>
      <c r="O54" s="159">
        <v>-33100</v>
      </c>
      <c r="P54" s="159">
        <v>0</v>
      </c>
      <c r="Q54" s="159">
        <v>0</v>
      </c>
      <c r="R54" s="160">
        <f>SUM(J54:Q54)</f>
        <v>-33100</v>
      </c>
      <c r="S54" s="161">
        <f>I54-R54</f>
        <v>33100</v>
      </c>
      <c r="T54" s="162">
        <f>G54-I54</f>
        <v>0</v>
      </c>
      <c r="U54" s="163"/>
      <c r="V54" s="164" t="e">
        <f t="shared" si="0"/>
        <v>#DIV/0!</v>
      </c>
      <c r="X54" s="222"/>
      <c r="Y54" s="159"/>
      <c r="Z54" s="159"/>
      <c r="AA54" s="159"/>
      <c r="AB54" s="159"/>
      <c r="AC54" s="159"/>
      <c r="AD54" s="159"/>
      <c r="AE54" s="159"/>
    </row>
    <row r="55" spans="1:31" ht="18.95" customHeight="1">
      <c r="A55" s="330"/>
      <c r="B55" s="149" t="s">
        <v>60</v>
      </c>
      <c r="C55" s="150" t="s">
        <v>78</v>
      </c>
      <c r="D55" s="151">
        <v>17870</v>
      </c>
      <c r="E55" s="345">
        <v>13081240</v>
      </c>
      <c r="F55" s="342"/>
      <c r="G55" s="341"/>
      <c r="H55" s="342"/>
      <c r="I55" s="152">
        <v>11513220</v>
      </c>
      <c r="J55" s="159">
        <v>0</v>
      </c>
      <c r="K55" s="159">
        <v>0</v>
      </c>
      <c r="L55" s="159">
        <v>0</v>
      </c>
      <c r="M55" s="159">
        <v>0</v>
      </c>
      <c r="N55" s="159">
        <v>0</v>
      </c>
      <c r="O55" s="159">
        <v>1863750</v>
      </c>
      <c r="P55" s="159">
        <v>0</v>
      </c>
      <c r="Q55" s="159">
        <v>0</v>
      </c>
      <c r="R55" s="160">
        <f>SUM(J55:Q55)</f>
        <v>1863750</v>
      </c>
      <c r="S55" s="161">
        <f>I55-R55</f>
        <v>9649470</v>
      </c>
      <c r="T55" s="162">
        <f>G55-I55</f>
        <v>-11513220</v>
      </c>
      <c r="U55" s="163"/>
      <c r="V55" s="164" t="e">
        <f t="shared" si="0"/>
        <v>#DIV/0!</v>
      </c>
      <c r="X55" s="222"/>
      <c r="Y55" s="159"/>
      <c r="Z55" s="159"/>
      <c r="AA55" s="159"/>
      <c r="AB55" s="159"/>
      <c r="AC55" s="159"/>
      <c r="AD55" s="159"/>
      <c r="AE55" s="159"/>
    </row>
    <row r="56" spans="1:31" ht="18.95" customHeight="1">
      <c r="A56" s="330"/>
      <c r="B56" s="149" t="s">
        <v>60</v>
      </c>
      <c r="C56" s="150" t="s">
        <v>78</v>
      </c>
      <c r="D56" s="151">
        <v>17870</v>
      </c>
      <c r="E56" s="345">
        <v>13081240</v>
      </c>
      <c r="F56" s="342"/>
      <c r="G56" s="341"/>
      <c r="H56" s="342"/>
      <c r="I56" s="152">
        <v>11513220</v>
      </c>
      <c r="J56" s="159">
        <v>0</v>
      </c>
      <c r="K56" s="159">
        <v>0</v>
      </c>
      <c r="L56" s="159">
        <v>0</v>
      </c>
      <c r="M56" s="159">
        <v>0</v>
      </c>
      <c r="N56" s="159">
        <v>4605292</v>
      </c>
      <c r="O56" s="159">
        <v>0</v>
      </c>
      <c r="P56" s="159">
        <v>0</v>
      </c>
      <c r="Q56" s="159">
        <v>0</v>
      </c>
      <c r="R56" s="160">
        <f>SUM(J56:Q56)</f>
        <v>4605292</v>
      </c>
      <c r="S56" s="161">
        <f>I56-R56</f>
        <v>6907928</v>
      </c>
      <c r="T56" s="162">
        <f>G56-I56</f>
        <v>-11513220</v>
      </c>
      <c r="U56" s="163"/>
      <c r="V56" s="164" t="e">
        <f t="shared" si="0"/>
        <v>#DIV/0!</v>
      </c>
      <c r="X56" s="222"/>
      <c r="Y56" s="159"/>
      <c r="Z56" s="159"/>
      <c r="AA56" s="159"/>
      <c r="AB56" s="159"/>
      <c r="AC56" s="159"/>
      <c r="AD56" s="159"/>
      <c r="AE56" s="159"/>
    </row>
    <row r="57" spans="1:31" ht="18.95" customHeight="1">
      <c r="A57" s="330"/>
      <c r="B57" s="149" t="s">
        <v>60</v>
      </c>
      <c r="C57" s="150" t="s">
        <v>78</v>
      </c>
      <c r="D57" s="151"/>
      <c r="E57" s="345">
        <v>0</v>
      </c>
      <c r="F57" s="342"/>
      <c r="G57" s="341">
        <v>0</v>
      </c>
      <c r="H57" s="342"/>
      <c r="I57" s="152">
        <v>0</v>
      </c>
      <c r="J57" s="159">
        <v>0</v>
      </c>
      <c r="K57" s="159">
        <v>0</v>
      </c>
      <c r="L57" s="159">
        <v>0</v>
      </c>
      <c r="M57" s="159">
        <v>0</v>
      </c>
      <c r="N57" s="159">
        <v>0</v>
      </c>
      <c r="O57" s="159">
        <v>0</v>
      </c>
      <c r="P57" s="159">
        <v>-693900</v>
      </c>
      <c r="Q57" s="159">
        <v>0</v>
      </c>
      <c r="R57" s="160">
        <f>SUM(J57:Q57)</f>
        <v>-693900</v>
      </c>
      <c r="S57" s="161">
        <f>I57-R57</f>
        <v>693900</v>
      </c>
      <c r="T57" s="162">
        <f>G57-I57</f>
        <v>0</v>
      </c>
      <c r="U57" s="163"/>
      <c r="V57" s="164" t="e">
        <f t="shared" si="0"/>
        <v>#DIV/0!</v>
      </c>
      <c r="X57" s="222"/>
      <c r="Y57" s="159"/>
      <c r="Z57" s="159"/>
      <c r="AA57" s="159"/>
      <c r="AB57" s="159"/>
      <c r="AC57" s="159"/>
      <c r="AD57" s="159"/>
      <c r="AE57" s="159"/>
    </row>
    <row r="58" spans="1:31" ht="18.95" customHeight="1">
      <c r="A58" s="330"/>
      <c r="B58" s="149" t="s">
        <v>60</v>
      </c>
      <c r="C58" s="150" t="s">
        <v>78</v>
      </c>
      <c r="D58" s="151">
        <v>17870</v>
      </c>
      <c r="E58" s="345">
        <v>13081240</v>
      </c>
      <c r="F58" s="342"/>
      <c r="G58" s="341"/>
      <c r="H58" s="342"/>
      <c r="I58" s="152">
        <v>11513220</v>
      </c>
      <c r="J58" s="159">
        <v>0</v>
      </c>
      <c r="K58" s="159">
        <v>0</v>
      </c>
      <c r="L58" s="159">
        <v>0</v>
      </c>
      <c r="M58" s="159">
        <v>4605288</v>
      </c>
      <c r="N58" s="159">
        <v>0</v>
      </c>
      <c r="O58" s="159">
        <v>0</v>
      </c>
      <c r="P58" s="159">
        <v>0</v>
      </c>
      <c r="Q58" s="159">
        <v>0</v>
      </c>
      <c r="R58" s="160">
        <f>SUM(J58:Q58)</f>
        <v>4605288</v>
      </c>
      <c r="S58" s="161">
        <f>I58-R58</f>
        <v>6907932</v>
      </c>
      <c r="T58" s="162">
        <f>G58-I58</f>
        <v>-11513220</v>
      </c>
      <c r="U58" s="163"/>
      <c r="V58" s="164" t="e">
        <f t="shared" si="0"/>
        <v>#DIV/0!</v>
      </c>
      <c r="X58" s="222"/>
      <c r="Y58" s="159"/>
      <c r="Z58" s="159"/>
      <c r="AA58" s="159"/>
      <c r="AB58" s="159"/>
      <c r="AC58" s="159"/>
      <c r="AD58" s="159"/>
      <c r="AE58" s="159"/>
    </row>
    <row r="59" spans="1:31" ht="18.95" customHeight="1">
      <c r="A59" s="330"/>
      <c r="B59" s="149" t="s">
        <v>60</v>
      </c>
      <c r="C59" s="150" t="s">
        <v>78</v>
      </c>
      <c r="D59" s="151">
        <v>18346</v>
      </c>
      <c r="E59" s="345">
        <v>13081240</v>
      </c>
      <c r="F59" s="342"/>
      <c r="G59" s="341"/>
      <c r="H59" s="342"/>
      <c r="I59" s="152">
        <v>1863750</v>
      </c>
      <c r="J59" s="159">
        <v>0</v>
      </c>
      <c r="K59" s="159">
        <v>0</v>
      </c>
      <c r="L59" s="159">
        <v>0</v>
      </c>
      <c r="M59" s="159">
        <v>0</v>
      </c>
      <c r="N59" s="159">
        <v>0</v>
      </c>
      <c r="O59" s="159">
        <v>1863750</v>
      </c>
      <c r="P59" s="159">
        <v>0</v>
      </c>
      <c r="Q59" s="159">
        <v>0</v>
      </c>
      <c r="R59" s="160">
        <f>SUM(J59:Q59)</f>
        <v>1863750</v>
      </c>
      <c r="S59" s="161">
        <f>I59-R59</f>
        <v>0</v>
      </c>
      <c r="T59" s="162">
        <f>G59-I59</f>
        <v>-1863750</v>
      </c>
      <c r="U59" s="163"/>
      <c r="V59" s="164" t="e">
        <f t="shared" si="0"/>
        <v>#DIV/0!</v>
      </c>
      <c r="X59" s="222"/>
      <c r="Y59" s="159"/>
      <c r="Z59" s="159"/>
      <c r="AA59" s="159"/>
      <c r="AB59" s="159"/>
      <c r="AC59" s="159"/>
      <c r="AD59" s="159"/>
      <c r="AE59" s="159"/>
    </row>
    <row r="60" spans="1:31" ht="18.95" customHeight="1">
      <c r="A60" s="330"/>
      <c r="B60" s="149" t="s">
        <v>60</v>
      </c>
      <c r="C60" s="150" t="s">
        <v>78</v>
      </c>
      <c r="D60" s="151"/>
      <c r="E60" s="345">
        <v>0</v>
      </c>
      <c r="F60" s="342"/>
      <c r="G60" s="341">
        <v>0</v>
      </c>
      <c r="H60" s="342"/>
      <c r="I60" s="152">
        <v>0</v>
      </c>
      <c r="J60" s="159">
        <v>0</v>
      </c>
      <c r="K60" s="159">
        <v>0</v>
      </c>
      <c r="L60" s="159">
        <v>0</v>
      </c>
      <c r="M60" s="159">
        <v>0</v>
      </c>
      <c r="N60" s="159">
        <v>0</v>
      </c>
      <c r="O60" s="159">
        <v>-33100</v>
      </c>
      <c r="P60" s="159">
        <v>0</v>
      </c>
      <c r="Q60" s="159">
        <v>0</v>
      </c>
      <c r="R60" s="160">
        <f>SUM(J60:Q60)</f>
        <v>-33100</v>
      </c>
      <c r="S60" s="161">
        <f>I60-R60</f>
        <v>33100</v>
      </c>
      <c r="T60" s="162">
        <f>G60-I60</f>
        <v>0</v>
      </c>
      <c r="U60" s="163"/>
      <c r="V60" s="164" t="e">
        <f t="shared" si="0"/>
        <v>#DIV/0!</v>
      </c>
      <c r="X60" s="222"/>
      <c r="Y60" s="159"/>
      <c r="Z60" s="159"/>
      <c r="AA60" s="159"/>
      <c r="AB60" s="159"/>
      <c r="AC60" s="159"/>
      <c r="AD60" s="159"/>
      <c r="AE60" s="159"/>
    </row>
    <row r="61" spans="1:31" ht="18.95" customHeight="1">
      <c r="A61" s="330"/>
      <c r="B61" s="149" t="s">
        <v>60</v>
      </c>
      <c r="C61" s="150" t="s">
        <v>78</v>
      </c>
      <c r="D61" s="151">
        <v>18346</v>
      </c>
      <c r="E61" s="345">
        <v>13081240</v>
      </c>
      <c r="F61" s="342"/>
      <c r="G61" s="341"/>
      <c r="H61" s="342"/>
      <c r="I61" s="152">
        <v>1863750</v>
      </c>
      <c r="J61" s="159">
        <v>0</v>
      </c>
      <c r="K61" s="159">
        <v>0</v>
      </c>
      <c r="L61" s="159">
        <v>0</v>
      </c>
      <c r="M61" s="159">
        <v>4605288</v>
      </c>
      <c r="N61" s="159">
        <v>0</v>
      </c>
      <c r="O61" s="159">
        <v>0</v>
      </c>
      <c r="P61" s="159">
        <v>0</v>
      </c>
      <c r="Q61" s="159">
        <v>0</v>
      </c>
      <c r="R61" s="160">
        <f>SUM(J61:Q61)</f>
        <v>4605288</v>
      </c>
      <c r="S61" s="161">
        <f>I61-R61</f>
        <v>-2741538</v>
      </c>
      <c r="T61" s="162">
        <f>G61-I61</f>
        <v>-1863750</v>
      </c>
      <c r="U61" s="163"/>
      <c r="V61" s="164" t="e">
        <f t="shared" si="0"/>
        <v>#DIV/0!</v>
      </c>
      <c r="X61" s="222"/>
      <c r="Y61" s="159"/>
      <c r="Z61" s="159"/>
      <c r="AA61" s="159"/>
      <c r="AB61" s="159"/>
      <c r="AC61" s="159"/>
      <c r="AD61" s="159"/>
      <c r="AE61" s="159"/>
    </row>
    <row r="62" spans="1:31" ht="18.95" customHeight="1">
      <c r="A62" s="330"/>
      <c r="B62" s="149" t="s">
        <v>60</v>
      </c>
      <c r="C62" s="150" t="s">
        <v>78</v>
      </c>
      <c r="D62" s="151"/>
      <c r="E62" s="345">
        <v>0</v>
      </c>
      <c r="F62" s="342"/>
      <c r="G62" s="341">
        <v>0</v>
      </c>
      <c r="H62" s="342"/>
      <c r="I62" s="152">
        <v>0</v>
      </c>
      <c r="J62" s="159">
        <v>0</v>
      </c>
      <c r="K62" s="159">
        <v>0</v>
      </c>
      <c r="L62" s="159">
        <v>0</v>
      </c>
      <c r="M62" s="159">
        <v>0</v>
      </c>
      <c r="N62" s="159">
        <v>-43800</v>
      </c>
      <c r="O62" s="159">
        <v>0</v>
      </c>
      <c r="P62" s="159">
        <v>0</v>
      </c>
      <c r="Q62" s="159">
        <v>0</v>
      </c>
      <c r="R62" s="160">
        <f>SUM(J62:Q62)</f>
        <v>-43800</v>
      </c>
      <c r="S62" s="161">
        <f>I62-R62</f>
        <v>43800</v>
      </c>
      <c r="T62" s="162">
        <f>G62-I62</f>
        <v>0</v>
      </c>
      <c r="U62" s="163"/>
      <c r="V62" s="164" t="e">
        <f t="shared" si="0"/>
        <v>#DIV/0!</v>
      </c>
      <c r="X62" s="222"/>
      <c r="Y62" s="159"/>
      <c r="Z62" s="159"/>
      <c r="AA62" s="159"/>
      <c r="AB62" s="159"/>
      <c r="AC62" s="159"/>
      <c r="AD62" s="159"/>
      <c r="AE62" s="159"/>
    </row>
    <row r="63" spans="1:31" ht="18.95" customHeight="1">
      <c r="A63" s="330"/>
      <c r="B63" s="149" t="s">
        <v>60</v>
      </c>
      <c r="C63" s="150" t="s">
        <v>78</v>
      </c>
      <c r="D63" s="151">
        <v>18346</v>
      </c>
      <c r="E63" s="345">
        <v>13081240</v>
      </c>
      <c r="F63" s="342"/>
      <c r="G63" s="341"/>
      <c r="H63" s="342"/>
      <c r="I63" s="152">
        <v>1863750</v>
      </c>
      <c r="J63" s="159">
        <v>0</v>
      </c>
      <c r="K63" s="159">
        <v>0</v>
      </c>
      <c r="L63" s="159">
        <v>0</v>
      </c>
      <c r="M63" s="159">
        <v>0</v>
      </c>
      <c r="N63" s="159">
        <v>4605292</v>
      </c>
      <c r="O63" s="159">
        <v>0</v>
      </c>
      <c r="P63" s="159">
        <v>0</v>
      </c>
      <c r="Q63" s="159">
        <v>0</v>
      </c>
      <c r="R63" s="160">
        <f>SUM(J63:Q63)</f>
        <v>4605292</v>
      </c>
      <c r="S63" s="161">
        <f>I63-R63</f>
        <v>-2741542</v>
      </c>
      <c r="T63" s="162">
        <f>G63-I63</f>
        <v>-1863750</v>
      </c>
      <c r="U63" s="163"/>
      <c r="V63" s="164" t="e">
        <f t="shared" si="0"/>
        <v>#DIV/0!</v>
      </c>
      <c r="X63" s="222"/>
      <c r="Y63" s="159"/>
      <c r="Z63" s="159"/>
      <c r="AA63" s="159"/>
      <c r="AB63" s="159"/>
      <c r="AC63" s="159"/>
      <c r="AD63" s="159"/>
      <c r="AE63" s="159"/>
    </row>
    <row r="64" spans="1:31" ht="18.95" customHeight="1">
      <c r="A64" s="330"/>
      <c r="B64" s="149" t="s">
        <v>60</v>
      </c>
      <c r="C64" s="150" t="s">
        <v>78</v>
      </c>
      <c r="D64" s="151"/>
      <c r="E64" s="345">
        <v>0</v>
      </c>
      <c r="F64" s="342"/>
      <c r="G64" s="341">
        <v>0</v>
      </c>
      <c r="H64" s="342"/>
      <c r="I64" s="152">
        <v>0</v>
      </c>
      <c r="J64" s="159">
        <v>0</v>
      </c>
      <c r="K64" s="159">
        <v>0</v>
      </c>
      <c r="L64" s="159">
        <v>0</v>
      </c>
      <c r="M64" s="159">
        <v>0</v>
      </c>
      <c r="N64" s="159">
        <v>0</v>
      </c>
      <c r="O64" s="159">
        <v>0</v>
      </c>
      <c r="P64" s="159">
        <v>-693900</v>
      </c>
      <c r="Q64" s="159">
        <v>0</v>
      </c>
      <c r="R64" s="160">
        <f>SUM(J64:Q64)</f>
        <v>-693900</v>
      </c>
      <c r="S64" s="161">
        <f>I64-R64</f>
        <v>693900</v>
      </c>
      <c r="T64" s="162">
        <f>G64-I64</f>
        <v>0</v>
      </c>
      <c r="U64" s="163"/>
      <c r="V64" s="164" t="e">
        <f t="shared" si="0"/>
        <v>#DIV/0!</v>
      </c>
      <c r="X64" s="222"/>
      <c r="Y64" s="159"/>
      <c r="Z64" s="159"/>
      <c r="AA64" s="159"/>
      <c r="AB64" s="159"/>
      <c r="AC64" s="159"/>
      <c r="AD64" s="159"/>
      <c r="AE64" s="159"/>
    </row>
    <row r="65" spans="1:31" ht="18.95" customHeight="1">
      <c r="A65" s="330"/>
      <c r="B65" s="149" t="s">
        <v>60</v>
      </c>
      <c r="C65" s="150" t="s">
        <v>79</v>
      </c>
      <c r="D65" s="151">
        <v>17870</v>
      </c>
      <c r="E65" s="345">
        <v>3139100</v>
      </c>
      <c r="F65" s="342"/>
      <c r="G65" s="341"/>
      <c r="H65" s="342"/>
      <c r="I65" s="152">
        <v>2601350</v>
      </c>
      <c r="J65" s="159">
        <v>0</v>
      </c>
      <c r="K65" s="159">
        <v>0</v>
      </c>
      <c r="L65" s="159">
        <v>0</v>
      </c>
      <c r="M65" s="159">
        <v>0</v>
      </c>
      <c r="N65" s="159">
        <v>0</v>
      </c>
      <c r="O65" s="159">
        <v>780406</v>
      </c>
      <c r="P65" s="159">
        <v>0</v>
      </c>
      <c r="Q65" s="159">
        <v>0</v>
      </c>
      <c r="R65" s="160">
        <f>SUM(J65:Q65)</f>
        <v>780406</v>
      </c>
      <c r="S65" s="161">
        <f>I65-R65</f>
        <v>1820944</v>
      </c>
      <c r="T65" s="162">
        <f>G65-I65</f>
        <v>-2601350</v>
      </c>
      <c r="U65" s="163"/>
      <c r="V65" s="164" t="e">
        <f t="shared" si="0"/>
        <v>#DIV/0!</v>
      </c>
      <c r="X65" s="222"/>
      <c r="Y65" s="159"/>
      <c r="Z65" s="159"/>
      <c r="AA65" s="159"/>
      <c r="AB65" s="159"/>
      <c r="AC65" s="159"/>
      <c r="AD65" s="159"/>
      <c r="AE65" s="159"/>
    </row>
    <row r="66" spans="1:31" ht="18.95" customHeight="1">
      <c r="A66" s="330"/>
      <c r="B66" s="149" t="s">
        <v>60</v>
      </c>
      <c r="C66" s="150" t="s">
        <v>79</v>
      </c>
      <c r="D66" s="151">
        <v>17870</v>
      </c>
      <c r="E66" s="345">
        <v>3139100</v>
      </c>
      <c r="F66" s="342"/>
      <c r="G66" s="341"/>
      <c r="H66" s="342"/>
      <c r="I66" s="152">
        <v>2601350</v>
      </c>
      <c r="J66" s="159">
        <v>0</v>
      </c>
      <c r="K66" s="159">
        <v>0</v>
      </c>
      <c r="L66" s="159">
        <v>0</v>
      </c>
      <c r="M66" s="159">
        <v>0</v>
      </c>
      <c r="N66" s="159">
        <v>1300674</v>
      </c>
      <c r="O66" s="159">
        <v>0</v>
      </c>
      <c r="P66" s="159">
        <v>0</v>
      </c>
      <c r="Q66" s="159">
        <v>0</v>
      </c>
      <c r="R66" s="160">
        <f>SUM(J66:Q66)</f>
        <v>1300674</v>
      </c>
      <c r="S66" s="161">
        <f>I66-R66</f>
        <v>1300676</v>
      </c>
      <c r="T66" s="162">
        <f>G66-I66</f>
        <v>-2601350</v>
      </c>
      <c r="U66" s="163"/>
      <c r="V66" s="164" t="e">
        <f t="shared" si="0"/>
        <v>#DIV/0!</v>
      </c>
      <c r="X66" s="222"/>
      <c r="Y66" s="159"/>
      <c r="Z66" s="159"/>
      <c r="AA66" s="159"/>
      <c r="AB66" s="159"/>
      <c r="AC66" s="159"/>
      <c r="AD66" s="159"/>
      <c r="AE66" s="159"/>
    </row>
    <row r="67" spans="1:31" ht="18.95" customHeight="1">
      <c r="A67" s="330"/>
      <c r="B67" s="149"/>
      <c r="C67" s="150" t="s">
        <v>77</v>
      </c>
      <c r="D67" s="151"/>
      <c r="E67" s="345">
        <v>0</v>
      </c>
      <c r="F67" s="342"/>
      <c r="G67" s="341"/>
      <c r="H67" s="342"/>
      <c r="I67" s="152">
        <v>0</v>
      </c>
      <c r="J67" s="159">
        <v>0</v>
      </c>
      <c r="K67" s="159">
        <v>0</v>
      </c>
      <c r="L67" s="159">
        <v>0</v>
      </c>
      <c r="M67" s="159">
        <v>0</v>
      </c>
      <c r="N67" s="159">
        <v>0</v>
      </c>
      <c r="O67" s="159">
        <v>0</v>
      </c>
      <c r="P67" s="159">
        <v>0</v>
      </c>
      <c r="Q67" s="159">
        <v>0</v>
      </c>
      <c r="R67" s="160">
        <f>SUM(J67:Q67)</f>
        <v>0</v>
      </c>
      <c r="S67" s="161">
        <f>I67-R67</f>
        <v>0</v>
      </c>
      <c r="T67" s="162">
        <f>G67-I67</f>
        <v>0</v>
      </c>
      <c r="U67" s="163"/>
      <c r="V67" s="164" t="e">
        <f t="shared" si="0"/>
        <v>#DIV/0!</v>
      </c>
      <c r="X67" s="222"/>
      <c r="Y67" s="159"/>
      <c r="Z67" s="159"/>
      <c r="AA67" s="159"/>
      <c r="AB67" s="159"/>
      <c r="AC67" s="159"/>
      <c r="AD67" s="159"/>
      <c r="AE67" s="159"/>
    </row>
    <row r="68" spans="1:31" ht="18.95" customHeight="1">
      <c r="A68" s="330"/>
      <c r="B68" s="149"/>
      <c r="C68" s="150" t="s">
        <v>80</v>
      </c>
      <c r="D68" s="151"/>
      <c r="E68" s="345">
        <v>0</v>
      </c>
      <c r="F68" s="342"/>
      <c r="G68" s="341"/>
      <c r="H68" s="342"/>
      <c r="I68" s="152">
        <v>0</v>
      </c>
      <c r="J68" s="159">
        <v>0</v>
      </c>
      <c r="K68" s="159">
        <v>0</v>
      </c>
      <c r="L68" s="159">
        <v>0</v>
      </c>
      <c r="M68" s="159">
        <v>0</v>
      </c>
      <c r="N68" s="159">
        <v>0</v>
      </c>
      <c r="O68" s="159">
        <v>0</v>
      </c>
      <c r="P68" s="159">
        <v>0</v>
      </c>
      <c r="Q68" s="159">
        <v>0</v>
      </c>
      <c r="R68" s="160">
        <f>SUM(J68:Q68)</f>
        <v>0</v>
      </c>
      <c r="S68" s="161">
        <f>I68-R68</f>
        <v>0</v>
      </c>
      <c r="T68" s="162">
        <f>G68-I68</f>
        <v>0</v>
      </c>
      <c r="U68" s="163"/>
      <c r="V68" s="164" t="e">
        <f t="shared" si="0"/>
        <v>#DIV/0!</v>
      </c>
      <c r="X68" s="222"/>
      <c r="Y68" s="159"/>
      <c r="Z68" s="159"/>
      <c r="AA68" s="159"/>
      <c r="AB68" s="159"/>
      <c r="AC68" s="159"/>
      <c r="AD68" s="159"/>
      <c r="AE68" s="159"/>
    </row>
    <row r="69" spans="1:31" ht="18.95" customHeight="1">
      <c r="A69" s="330"/>
      <c r="B69" s="149"/>
      <c r="C69" s="150" t="s">
        <v>78</v>
      </c>
      <c r="D69" s="151"/>
      <c r="E69" s="345">
        <v>0</v>
      </c>
      <c r="F69" s="342"/>
      <c r="G69" s="341"/>
      <c r="H69" s="342"/>
      <c r="I69" s="152">
        <v>0</v>
      </c>
      <c r="J69" s="159">
        <v>0</v>
      </c>
      <c r="K69" s="159">
        <v>0</v>
      </c>
      <c r="L69" s="159">
        <v>0</v>
      </c>
      <c r="M69" s="159">
        <v>0</v>
      </c>
      <c r="N69" s="159">
        <v>0</v>
      </c>
      <c r="O69" s="159">
        <v>0</v>
      </c>
      <c r="P69" s="159">
        <v>0</v>
      </c>
      <c r="Q69" s="159">
        <v>0</v>
      </c>
      <c r="R69" s="160">
        <f>SUM(J69:Q69)</f>
        <v>0</v>
      </c>
      <c r="S69" s="161">
        <f>I69-R69</f>
        <v>0</v>
      </c>
      <c r="T69" s="162">
        <f>G69-I69</f>
        <v>0</v>
      </c>
      <c r="U69" s="163"/>
      <c r="V69" s="164" t="e">
        <f t="shared" si="0"/>
        <v>#DIV/0!</v>
      </c>
      <c r="X69" s="222"/>
      <c r="Y69" s="159"/>
      <c r="Z69" s="159"/>
      <c r="AA69" s="159"/>
      <c r="AB69" s="159"/>
      <c r="AC69" s="159"/>
      <c r="AD69" s="159"/>
      <c r="AE69" s="159"/>
    </row>
    <row r="70" spans="1:31" ht="18.95" customHeight="1">
      <c r="A70" s="330"/>
      <c r="B70" s="149"/>
      <c r="C70" s="150" t="s">
        <v>81</v>
      </c>
      <c r="D70" s="151"/>
      <c r="E70" s="345">
        <v>0</v>
      </c>
      <c r="F70" s="342"/>
      <c r="G70" s="341"/>
      <c r="H70" s="342"/>
      <c r="I70" s="152">
        <v>1654000</v>
      </c>
      <c r="J70" s="159">
        <v>0</v>
      </c>
      <c r="K70" s="159">
        <v>0</v>
      </c>
      <c r="L70" s="159">
        <v>0</v>
      </c>
      <c r="M70" s="159">
        <v>0</v>
      </c>
      <c r="N70" s="159">
        <v>0</v>
      </c>
      <c r="O70" s="159">
        <v>0</v>
      </c>
      <c r="P70" s="159">
        <v>0</v>
      </c>
      <c r="Q70" s="159">
        <v>0</v>
      </c>
      <c r="R70" s="160">
        <f>SUM(J70:Q70)</f>
        <v>0</v>
      </c>
      <c r="S70" s="161">
        <f>I70-R70</f>
        <v>1654000</v>
      </c>
      <c r="T70" s="162">
        <f>G70-I70</f>
        <v>-1654000</v>
      </c>
      <c r="U70" s="163"/>
      <c r="V70" s="164" t="e">
        <f t="shared" si="0"/>
        <v>#DIV/0!</v>
      </c>
      <c r="X70" s="222"/>
      <c r="Y70" s="159"/>
      <c r="Z70" s="159"/>
      <c r="AA70" s="159"/>
      <c r="AB70" s="159"/>
      <c r="AC70" s="159"/>
      <c r="AD70" s="159"/>
      <c r="AE70" s="159"/>
    </row>
    <row r="71" spans="1:31" ht="18.95" customHeight="1">
      <c r="A71" s="330"/>
      <c r="B71" s="149"/>
      <c r="C71" s="150" t="s">
        <v>79</v>
      </c>
      <c r="D71" s="151"/>
      <c r="E71" s="345">
        <v>0</v>
      </c>
      <c r="F71" s="342"/>
      <c r="G71" s="341"/>
      <c r="H71" s="342"/>
      <c r="I71" s="152">
        <v>0</v>
      </c>
      <c r="J71" s="159">
        <v>0</v>
      </c>
      <c r="K71" s="159">
        <v>0</v>
      </c>
      <c r="L71" s="159">
        <v>0</v>
      </c>
      <c r="M71" s="159">
        <v>0</v>
      </c>
      <c r="N71" s="159">
        <v>0</v>
      </c>
      <c r="O71" s="159">
        <v>0</v>
      </c>
      <c r="P71" s="159">
        <v>0</v>
      </c>
      <c r="Q71" s="159">
        <v>0</v>
      </c>
      <c r="R71" s="160">
        <f>SUM(J71:Q71)</f>
        <v>0</v>
      </c>
      <c r="S71" s="161">
        <f>I71-R71</f>
        <v>0</v>
      </c>
      <c r="T71" s="162">
        <f>G71-I71</f>
        <v>0</v>
      </c>
      <c r="U71" s="163"/>
      <c r="V71" s="164" t="e">
        <f t="shared" si="0"/>
        <v>#DIV/0!</v>
      </c>
      <c r="X71" s="222"/>
      <c r="Y71" s="159"/>
      <c r="Z71" s="159"/>
      <c r="AA71" s="159"/>
      <c r="AB71" s="159"/>
      <c r="AC71" s="159"/>
      <c r="AD71" s="159"/>
      <c r="AE71" s="159"/>
    </row>
    <row r="72" spans="1:31" ht="18.95" customHeight="1">
      <c r="A72" s="328"/>
      <c r="B72" s="149"/>
      <c r="C72" s="150" t="s">
        <v>82</v>
      </c>
      <c r="D72" s="151"/>
      <c r="E72" s="345">
        <v>0</v>
      </c>
      <c r="F72" s="342"/>
      <c r="G72" s="341"/>
      <c r="H72" s="342"/>
      <c r="I72" s="152">
        <v>0</v>
      </c>
      <c r="J72" s="159">
        <v>0</v>
      </c>
      <c r="K72" s="159">
        <v>0</v>
      </c>
      <c r="L72" s="159">
        <v>0</v>
      </c>
      <c r="M72" s="159">
        <v>0</v>
      </c>
      <c r="N72" s="159">
        <v>0</v>
      </c>
      <c r="O72" s="159">
        <v>0</v>
      </c>
      <c r="P72" s="159">
        <v>0</v>
      </c>
      <c r="Q72" s="159">
        <v>0</v>
      </c>
      <c r="R72" s="160">
        <f>SUM(J72:Q72)</f>
        <v>0</v>
      </c>
      <c r="S72" s="161">
        <f>I72-R72</f>
        <v>0</v>
      </c>
      <c r="T72" s="162">
        <f>G72-I72</f>
        <v>0</v>
      </c>
      <c r="U72" s="163"/>
      <c r="V72" s="164" t="e">
        <f t="shared" si="0"/>
        <v>#DIV/0!</v>
      </c>
      <c r="X72" s="222"/>
      <c r="Y72" s="159"/>
      <c r="Z72" s="159"/>
      <c r="AA72" s="159"/>
      <c r="AB72" s="159"/>
      <c r="AC72" s="159"/>
      <c r="AD72" s="159"/>
      <c r="AE72" s="159"/>
    </row>
    <row r="73" spans="1:31" ht="18.95" customHeight="1">
      <c r="A73" s="329" t="s">
        <v>83</v>
      </c>
      <c r="B73" s="153" t="s">
        <v>60</v>
      </c>
      <c r="C73" s="154" t="s">
        <v>84</v>
      </c>
      <c r="D73" s="155">
        <v>17870</v>
      </c>
      <c r="E73" s="346">
        <v>3127790</v>
      </c>
      <c r="F73" s="344"/>
      <c r="G73" s="343"/>
      <c r="H73" s="344"/>
      <c r="I73" s="156">
        <v>2430000</v>
      </c>
      <c r="J73" s="133">
        <v>0</v>
      </c>
      <c r="K73" s="133">
        <v>0</v>
      </c>
      <c r="L73" s="133">
        <v>0</v>
      </c>
      <c r="M73" s="133">
        <v>0</v>
      </c>
      <c r="N73" s="133">
        <v>1215000</v>
      </c>
      <c r="O73" s="133">
        <v>0</v>
      </c>
      <c r="P73" s="133">
        <v>0</v>
      </c>
      <c r="Q73" s="133">
        <v>0</v>
      </c>
      <c r="R73" s="134">
        <f>SUM(J73:Q73)</f>
        <v>1215000</v>
      </c>
      <c r="S73" s="135">
        <f>I73-R73</f>
        <v>1215000</v>
      </c>
      <c r="T73" s="136">
        <f>G73-I73</f>
        <v>-2430000</v>
      </c>
      <c r="U73" s="165"/>
      <c r="V73" s="138" t="e">
        <f t="shared" si="0"/>
        <v>#DIV/0!</v>
      </c>
      <c r="X73" s="221"/>
      <c r="Y73" s="133"/>
      <c r="Z73" s="133"/>
      <c r="AA73" s="133"/>
      <c r="AB73" s="133"/>
      <c r="AC73" s="133"/>
      <c r="AD73" s="133"/>
      <c r="AE73" s="133"/>
    </row>
    <row r="74" spans="1:31" ht="18.95" customHeight="1">
      <c r="A74" s="330"/>
      <c r="B74" s="149" t="s">
        <v>60</v>
      </c>
      <c r="C74" s="150" t="s">
        <v>84</v>
      </c>
      <c r="D74" s="151">
        <v>17870</v>
      </c>
      <c r="E74" s="345">
        <v>3127790</v>
      </c>
      <c r="F74" s="342"/>
      <c r="G74" s="341"/>
      <c r="H74" s="342"/>
      <c r="I74" s="152">
        <v>2430000</v>
      </c>
      <c r="J74" s="159">
        <v>0</v>
      </c>
      <c r="K74" s="159">
        <v>0</v>
      </c>
      <c r="L74" s="159">
        <v>0</v>
      </c>
      <c r="M74" s="159">
        <v>0</v>
      </c>
      <c r="N74" s="159">
        <v>0</v>
      </c>
      <c r="O74" s="159">
        <v>972000</v>
      </c>
      <c r="P74" s="159">
        <v>0</v>
      </c>
      <c r="Q74" s="159">
        <v>0</v>
      </c>
      <c r="R74" s="160">
        <f>SUM(J74:Q74)</f>
        <v>972000</v>
      </c>
      <c r="S74" s="161">
        <f>I74-R74</f>
        <v>1458000</v>
      </c>
      <c r="T74" s="162">
        <f>G74-I74</f>
        <v>-2430000</v>
      </c>
      <c r="U74" s="163"/>
      <c r="V74" s="164" t="e">
        <f t="shared" ref="V74:V133" si="1">R74/U74</f>
        <v>#DIV/0!</v>
      </c>
      <c r="X74" s="222"/>
      <c r="Y74" s="159"/>
      <c r="Z74" s="159"/>
      <c r="AA74" s="159"/>
      <c r="AB74" s="159"/>
      <c r="AC74" s="159"/>
      <c r="AD74" s="159"/>
      <c r="AE74" s="159"/>
    </row>
    <row r="75" spans="1:31" ht="18.95" customHeight="1">
      <c r="A75" s="330"/>
      <c r="B75" s="149"/>
      <c r="C75" s="150" t="s">
        <v>84</v>
      </c>
      <c r="D75" s="151"/>
      <c r="E75" s="345">
        <v>0</v>
      </c>
      <c r="F75" s="342"/>
      <c r="G75" s="341"/>
      <c r="H75" s="342"/>
      <c r="I75" s="152">
        <v>0</v>
      </c>
      <c r="J75" s="159">
        <v>0</v>
      </c>
      <c r="K75" s="159">
        <v>0</v>
      </c>
      <c r="L75" s="159">
        <v>0</v>
      </c>
      <c r="M75" s="159">
        <v>0</v>
      </c>
      <c r="N75" s="159">
        <v>0</v>
      </c>
      <c r="O75" s="159">
        <v>0</v>
      </c>
      <c r="P75" s="159">
        <v>0</v>
      </c>
      <c r="Q75" s="159">
        <v>0</v>
      </c>
      <c r="R75" s="160">
        <f>SUM(J75:Q75)</f>
        <v>0</v>
      </c>
      <c r="S75" s="161">
        <f>I75-R75</f>
        <v>0</v>
      </c>
      <c r="T75" s="162">
        <f>G75-I75</f>
        <v>0</v>
      </c>
      <c r="U75" s="163"/>
      <c r="V75" s="164" t="e">
        <f t="shared" si="1"/>
        <v>#DIV/0!</v>
      </c>
      <c r="X75" s="222"/>
      <c r="Y75" s="159"/>
      <c r="Z75" s="159"/>
      <c r="AA75" s="159"/>
      <c r="AB75" s="159"/>
      <c r="AC75" s="159"/>
      <c r="AD75" s="159"/>
      <c r="AE75" s="159"/>
    </row>
    <row r="76" spans="1:31" ht="18.95" customHeight="1">
      <c r="A76" s="328"/>
      <c r="B76" s="149"/>
      <c r="C76" s="150" t="s">
        <v>85</v>
      </c>
      <c r="D76" s="151"/>
      <c r="E76" s="345">
        <v>0</v>
      </c>
      <c r="F76" s="342"/>
      <c r="G76" s="341"/>
      <c r="H76" s="342"/>
      <c r="I76" s="152">
        <v>695200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60">
        <f>SUM(J76:Q76)</f>
        <v>0</v>
      </c>
      <c r="S76" s="161">
        <f>I76-R76</f>
        <v>695200</v>
      </c>
      <c r="T76" s="162">
        <f>G76-I76</f>
        <v>-695200</v>
      </c>
      <c r="U76" s="163"/>
      <c r="V76" s="164" t="e">
        <f t="shared" si="1"/>
        <v>#DIV/0!</v>
      </c>
      <c r="X76" s="222"/>
      <c r="Y76" s="159"/>
      <c r="Z76" s="159"/>
      <c r="AA76" s="159"/>
      <c r="AB76" s="159"/>
      <c r="AC76" s="159"/>
      <c r="AD76" s="159"/>
      <c r="AE76" s="159"/>
    </row>
    <row r="77" spans="1:31" ht="18.95" customHeight="1">
      <c r="A77" s="329" t="s">
        <v>86</v>
      </c>
      <c r="B77" s="153" t="s">
        <v>60</v>
      </c>
      <c r="C77" s="154" t="s">
        <v>87</v>
      </c>
      <c r="D77" s="155">
        <v>17870</v>
      </c>
      <c r="E77" s="346">
        <v>2530770</v>
      </c>
      <c r="F77" s="344"/>
      <c r="G77" s="343"/>
      <c r="H77" s="344"/>
      <c r="I77" s="156">
        <v>2170000</v>
      </c>
      <c r="J77" s="133">
        <v>0</v>
      </c>
      <c r="K77" s="133">
        <v>0</v>
      </c>
      <c r="L77" s="133">
        <v>0</v>
      </c>
      <c r="M77" s="133">
        <v>0</v>
      </c>
      <c r="N77" s="133">
        <v>0</v>
      </c>
      <c r="O77" s="133">
        <v>868000</v>
      </c>
      <c r="P77" s="133">
        <v>0</v>
      </c>
      <c r="Q77" s="133">
        <v>0</v>
      </c>
      <c r="R77" s="134">
        <f>SUM(J77:Q77)</f>
        <v>868000</v>
      </c>
      <c r="S77" s="135">
        <f>I77-R77</f>
        <v>1302000</v>
      </c>
      <c r="T77" s="136">
        <f>G77-I77</f>
        <v>-2170000</v>
      </c>
      <c r="U77" s="165"/>
      <c r="V77" s="138" t="e">
        <f t="shared" si="1"/>
        <v>#DIV/0!</v>
      </c>
      <c r="X77" s="221"/>
      <c r="Y77" s="133"/>
      <c r="Z77" s="133"/>
      <c r="AA77" s="133"/>
      <c r="AB77" s="133"/>
      <c r="AC77" s="133"/>
      <c r="AD77" s="133"/>
      <c r="AE77" s="133"/>
    </row>
    <row r="78" spans="1:31" ht="18.95" customHeight="1">
      <c r="A78" s="330"/>
      <c r="B78" s="149" t="s">
        <v>60</v>
      </c>
      <c r="C78" s="150" t="s">
        <v>87</v>
      </c>
      <c r="D78" s="151">
        <v>17870</v>
      </c>
      <c r="E78" s="345">
        <v>2530770</v>
      </c>
      <c r="F78" s="342"/>
      <c r="G78" s="341"/>
      <c r="H78" s="342"/>
      <c r="I78" s="152">
        <v>2170000</v>
      </c>
      <c r="J78" s="159">
        <v>0</v>
      </c>
      <c r="K78" s="159">
        <v>0</v>
      </c>
      <c r="L78" s="159">
        <v>0</v>
      </c>
      <c r="M78" s="159">
        <v>0</v>
      </c>
      <c r="N78" s="159">
        <v>1085000</v>
      </c>
      <c r="O78" s="159">
        <v>0</v>
      </c>
      <c r="P78" s="159">
        <v>0</v>
      </c>
      <c r="Q78" s="159">
        <v>0</v>
      </c>
      <c r="R78" s="160">
        <f>SUM(J78:Q78)</f>
        <v>1085000</v>
      </c>
      <c r="S78" s="161">
        <f>I78-R78</f>
        <v>1085000</v>
      </c>
      <c r="T78" s="162">
        <f>G78-I78</f>
        <v>-2170000</v>
      </c>
      <c r="U78" s="163"/>
      <c r="V78" s="164" t="e">
        <f t="shared" si="1"/>
        <v>#DIV/0!</v>
      </c>
      <c r="X78" s="222"/>
      <c r="Y78" s="159"/>
      <c r="Z78" s="159"/>
      <c r="AA78" s="159"/>
      <c r="AB78" s="159"/>
      <c r="AC78" s="159"/>
      <c r="AD78" s="159"/>
      <c r="AE78" s="159"/>
    </row>
    <row r="79" spans="1:31" ht="18.95" customHeight="1">
      <c r="A79" s="330"/>
      <c r="B79" s="149"/>
      <c r="C79" s="150" t="s">
        <v>87</v>
      </c>
      <c r="D79" s="151"/>
      <c r="E79" s="345">
        <v>0</v>
      </c>
      <c r="F79" s="342"/>
      <c r="G79" s="341"/>
      <c r="H79" s="342"/>
      <c r="I79" s="152">
        <v>0</v>
      </c>
      <c r="J79" s="159">
        <v>0</v>
      </c>
      <c r="K79" s="159">
        <v>0</v>
      </c>
      <c r="L79" s="159">
        <v>0</v>
      </c>
      <c r="M79" s="159">
        <v>0</v>
      </c>
      <c r="N79" s="159">
        <v>0</v>
      </c>
      <c r="O79" s="159">
        <v>0</v>
      </c>
      <c r="P79" s="159">
        <v>0</v>
      </c>
      <c r="Q79" s="159">
        <v>0</v>
      </c>
      <c r="R79" s="160">
        <f>SUM(J79:Q79)</f>
        <v>0</v>
      </c>
      <c r="S79" s="161">
        <f>I79-R79</f>
        <v>0</v>
      </c>
      <c r="T79" s="162">
        <f>G79-I79</f>
        <v>0</v>
      </c>
      <c r="U79" s="163"/>
      <c r="V79" s="164" t="e">
        <f t="shared" si="1"/>
        <v>#DIV/0!</v>
      </c>
      <c r="X79" s="222"/>
      <c r="Y79" s="159"/>
      <c r="Z79" s="159"/>
      <c r="AA79" s="159"/>
      <c r="AB79" s="159"/>
      <c r="AC79" s="159"/>
      <c r="AD79" s="159"/>
      <c r="AE79" s="159"/>
    </row>
    <row r="80" spans="1:31" ht="18.95" customHeight="1">
      <c r="A80" s="328"/>
      <c r="B80" s="149"/>
      <c r="C80" s="150" t="s">
        <v>88</v>
      </c>
      <c r="D80" s="151"/>
      <c r="E80" s="345">
        <v>0</v>
      </c>
      <c r="F80" s="342"/>
      <c r="G80" s="341"/>
      <c r="H80" s="342"/>
      <c r="I80" s="152">
        <v>410400</v>
      </c>
      <c r="J80" s="159">
        <v>0</v>
      </c>
      <c r="K80" s="159">
        <v>0</v>
      </c>
      <c r="L80" s="159">
        <v>0</v>
      </c>
      <c r="M80" s="159">
        <v>0</v>
      </c>
      <c r="N80" s="159">
        <v>0</v>
      </c>
      <c r="O80" s="159">
        <v>0</v>
      </c>
      <c r="P80" s="159">
        <v>0</v>
      </c>
      <c r="Q80" s="159">
        <v>0</v>
      </c>
      <c r="R80" s="160">
        <f>SUM(J80:Q80)</f>
        <v>0</v>
      </c>
      <c r="S80" s="161">
        <f>I80-R80</f>
        <v>410400</v>
      </c>
      <c r="T80" s="162">
        <f>G80-I80</f>
        <v>-410400</v>
      </c>
      <c r="U80" s="163"/>
      <c r="V80" s="164" t="e">
        <f t="shared" si="1"/>
        <v>#DIV/0!</v>
      </c>
      <c r="X80" s="222"/>
      <c r="Y80" s="159"/>
      <c r="Z80" s="159"/>
      <c r="AA80" s="159"/>
      <c r="AB80" s="159"/>
      <c r="AC80" s="159"/>
      <c r="AD80" s="159"/>
      <c r="AE80" s="159"/>
    </row>
    <row r="81" spans="1:31" ht="18.95" customHeight="1">
      <c r="A81" s="329" t="s">
        <v>89</v>
      </c>
      <c r="B81" s="153" t="s">
        <v>60</v>
      </c>
      <c r="C81" s="154" t="s">
        <v>90</v>
      </c>
      <c r="D81" s="155">
        <v>17870</v>
      </c>
      <c r="E81" s="346">
        <v>752730</v>
      </c>
      <c r="F81" s="344"/>
      <c r="G81" s="343"/>
      <c r="H81" s="344"/>
      <c r="I81" s="156">
        <v>749020</v>
      </c>
      <c r="J81" s="133">
        <v>0</v>
      </c>
      <c r="K81" s="133">
        <v>0</v>
      </c>
      <c r="L81" s="133">
        <v>0</v>
      </c>
      <c r="M81" s="133">
        <v>0</v>
      </c>
      <c r="N81" s="133">
        <v>0</v>
      </c>
      <c r="O81" s="133">
        <v>226144</v>
      </c>
      <c r="P81" s="133">
        <v>0</v>
      </c>
      <c r="Q81" s="133">
        <v>0</v>
      </c>
      <c r="R81" s="134">
        <f>SUM(J81:Q81)</f>
        <v>226144</v>
      </c>
      <c r="S81" s="135">
        <f>I81-R81</f>
        <v>522876</v>
      </c>
      <c r="T81" s="136">
        <f>G81-I81</f>
        <v>-749020</v>
      </c>
      <c r="U81" s="165"/>
      <c r="V81" s="138" t="e">
        <f t="shared" si="1"/>
        <v>#DIV/0!</v>
      </c>
      <c r="X81" s="221"/>
      <c r="Y81" s="133"/>
      <c r="Z81" s="133"/>
      <c r="AA81" s="133"/>
      <c r="AB81" s="133"/>
      <c r="AC81" s="133"/>
      <c r="AD81" s="133"/>
      <c r="AE81" s="133"/>
    </row>
    <row r="82" spans="1:31" ht="18.95" customHeight="1">
      <c r="A82" s="330"/>
      <c r="B82" s="149" t="s">
        <v>60</v>
      </c>
      <c r="C82" s="150" t="s">
        <v>90</v>
      </c>
      <c r="D82" s="151"/>
      <c r="E82" s="345">
        <v>0</v>
      </c>
      <c r="F82" s="342"/>
      <c r="G82" s="341">
        <v>0</v>
      </c>
      <c r="H82" s="342"/>
      <c r="I82" s="152">
        <v>0</v>
      </c>
      <c r="J82" s="159">
        <v>0</v>
      </c>
      <c r="K82" s="159">
        <v>0</v>
      </c>
      <c r="L82" s="159">
        <v>0</v>
      </c>
      <c r="M82" s="159">
        <v>0</v>
      </c>
      <c r="N82" s="159">
        <v>0</v>
      </c>
      <c r="O82" s="159">
        <v>0</v>
      </c>
      <c r="P82" s="159">
        <v>-231380</v>
      </c>
      <c r="Q82" s="159">
        <v>0</v>
      </c>
      <c r="R82" s="160">
        <f>SUM(J82:Q82)</f>
        <v>-231380</v>
      </c>
      <c r="S82" s="161">
        <f>I82-R82</f>
        <v>231380</v>
      </c>
      <c r="T82" s="162">
        <f>G82-I82</f>
        <v>0</v>
      </c>
      <c r="U82" s="163"/>
      <c r="V82" s="164" t="e">
        <f t="shared" si="1"/>
        <v>#DIV/0!</v>
      </c>
      <c r="X82" s="222"/>
      <c r="Y82" s="159"/>
      <c r="Z82" s="159"/>
      <c r="AA82" s="159"/>
      <c r="AB82" s="159"/>
      <c r="AC82" s="159"/>
      <c r="AD82" s="159"/>
      <c r="AE82" s="159"/>
    </row>
    <row r="83" spans="1:31" ht="18.95" customHeight="1">
      <c r="A83" s="330"/>
      <c r="B83" s="149" t="s">
        <v>60</v>
      </c>
      <c r="C83" s="150" t="s">
        <v>91</v>
      </c>
      <c r="D83" s="151">
        <v>17870</v>
      </c>
      <c r="E83" s="345">
        <v>553920</v>
      </c>
      <c r="F83" s="342"/>
      <c r="G83" s="341"/>
      <c r="H83" s="342"/>
      <c r="I83" s="152">
        <v>539360</v>
      </c>
      <c r="J83" s="159">
        <v>0</v>
      </c>
      <c r="K83" s="159">
        <v>0</v>
      </c>
      <c r="L83" s="159">
        <v>0</v>
      </c>
      <c r="M83" s="159">
        <v>0</v>
      </c>
      <c r="N83" s="159">
        <v>0</v>
      </c>
      <c r="O83" s="159">
        <v>485424</v>
      </c>
      <c r="P83" s="159">
        <v>0</v>
      </c>
      <c r="Q83" s="159">
        <v>0</v>
      </c>
      <c r="R83" s="160">
        <f>SUM(J83:Q83)</f>
        <v>485424</v>
      </c>
      <c r="S83" s="161">
        <f>I83-R83</f>
        <v>53936</v>
      </c>
      <c r="T83" s="162">
        <f>G83-I83</f>
        <v>-539360</v>
      </c>
      <c r="U83" s="163"/>
      <c r="V83" s="164" t="e">
        <f t="shared" si="1"/>
        <v>#DIV/0!</v>
      </c>
      <c r="X83" s="222"/>
      <c r="Y83" s="159"/>
      <c r="Z83" s="159"/>
      <c r="AA83" s="159"/>
      <c r="AB83" s="159"/>
      <c r="AC83" s="159"/>
      <c r="AD83" s="159"/>
      <c r="AE83" s="159"/>
    </row>
    <row r="84" spans="1:31" ht="18.95" customHeight="1">
      <c r="A84" s="330"/>
      <c r="B84" s="149"/>
      <c r="C84" s="150" t="s">
        <v>90</v>
      </c>
      <c r="D84" s="151"/>
      <c r="E84" s="345">
        <v>0</v>
      </c>
      <c r="F84" s="342"/>
      <c r="G84" s="341"/>
      <c r="H84" s="342"/>
      <c r="I84" s="152">
        <v>0</v>
      </c>
      <c r="J84" s="159">
        <v>0</v>
      </c>
      <c r="K84" s="159">
        <v>0</v>
      </c>
      <c r="L84" s="159">
        <v>0</v>
      </c>
      <c r="M84" s="159">
        <v>0</v>
      </c>
      <c r="N84" s="159">
        <v>0</v>
      </c>
      <c r="O84" s="159">
        <v>0</v>
      </c>
      <c r="P84" s="159">
        <v>0</v>
      </c>
      <c r="Q84" s="159">
        <v>0</v>
      </c>
      <c r="R84" s="160">
        <f>SUM(J84:Q84)</f>
        <v>0</v>
      </c>
      <c r="S84" s="161">
        <f>I84-R84</f>
        <v>0</v>
      </c>
      <c r="T84" s="162">
        <f>G84-I84</f>
        <v>0</v>
      </c>
      <c r="U84" s="163"/>
      <c r="V84" s="164" t="e">
        <f t="shared" si="1"/>
        <v>#DIV/0!</v>
      </c>
      <c r="X84" s="222"/>
      <c r="Y84" s="159"/>
      <c r="Z84" s="159"/>
      <c r="AA84" s="159"/>
      <c r="AB84" s="159"/>
      <c r="AC84" s="159"/>
      <c r="AD84" s="159"/>
      <c r="AE84" s="159"/>
    </row>
    <row r="85" spans="1:31" ht="18.95" customHeight="1">
      <c r="A85" s="330"/>
      <c r="B85" s="149"/>
      <c r="C85" s="150" t="s">
        <v>92</v>
      </c>
      <c r="D85" s="151"/>
      <c r="E85" s="345">
        <v>0</v>
      </c>
      <c r="F85" s="342"/>
      <c r="G85" s="341"/>
      <c r="H85" s="342"/>
      <c r="I85" s="152">
        <v>0</v>
      </c>
      <c r="J85" s="159">
        <v>0</v>
      </c>
      <c r="K85" s="159">
        <v>0</v>
      </c>
      <c r="L85" s="159">
        <v>0</v>
      </c>
      <c r="M85" s="159">
        <v>0</v>
      </c>
      <c r="N85" s="159">
        <v>0</v>
      </c>
      <c r="O85" s="159">
        <v>0</v>
      </c>
      <c r="P85" s="159">
        <v>0</v>
      </c>
      <c r="Q85" s="159">
        <v>0</v>
      </c>
      <c r="R85" s="160">
        <f>SUM(J85:Q85)</f>
        <v>0</v>
      </c>
      <c r="S85" s="161">
        <f>I85-R85</f>
        <v>0</v>
      </c>
      <c r="T85" s="162">
        <f>G85-I85</f>
        <v>0</v>
      </c>
      <c r="U85" s="163"/>
      <c r="V85" s="164" t="e">
        <f t="shared" si="1"/>
        <v>#DIV/0!</v>
      </c>
      <c r="X85" s="222"/>
      <c r="Y85" s="159"/>
      <c r="Z85" s="159"/>
      <c r="AA85" s="159"/>
      <c r="AB85" s="159"/>
      <c r="AC85" s="159"/>
      <c r="AD85" s="159"/>
      <c r="AE85" s="159"/>
    </row>
    <row r="86" spans="1:31" ht="18.95" customHeight="1">
      <c r="A86" s="328"/>
      <c r="B86" s="149"/>
      <c r="C86" s="150" t="s">
        <v>93</v>
      </c>
      <c r="D86" s="151"/>
      <c r="E86" s="345">
        <v>0</v>
      </c>
      <c r="F86" s="342"/>
      <c r="G86" s="341"/>
      <c r="H86" s="342"/>
      <c r="I86" s="152">
        <v>0</v>
      </c>
      <c r="J86" s="159">
        <v>0</v>
      </c>
      <c r="K86" s="159">
        <v>0</v>
      </c>
      <c r="L86" s="159">
        <v>0</v>
      </c>
      <c r="M86" s="159">
        <v>0</v>
      </c>
      <c r="N86" s="159">
        <v>0</v>
      </c>
      <c r="O86" s="159">
        <v>0</v>
      </c>
      <c r="P86" s="159">
        <v>0</v>
      </c>
      <c r="Q86" s="159">
        <v>0</v>
      </c>
      <c r="R86" s="160">
        <f>SUM(J86:Q86)</f>
        <v>0</v>
      </c>
      <c r="S86" s="161">
        <f>I86-R86</f>
        <v>0</v>
      </c>
      <c r="T86" s="162">
        <f>G86-I86</f>
        <v>0</v>
      </c>
      <c r="U86" s="163"/>
      <c r="V86" s="164" t="e">
        <f t="shared" si="1"/>
        <v>#DIV/0!</v>
      </c>
      <c r="X86" s="222"/>
      <c r="Y86" s="159"/>
      <c r="Z86" s="159"/>
      <c r="AA86" s="159"/>
      <c r="AB86" s="159"/>
      <c r="AC86" s="159"/>
      <c r="AD86" s="159"/>
      <c r="AE86" s="159"/>
    </row>
    <row r="87" spans="1:31" ht="18.95" customHeight="1">
      <c r="A87" s="329" t="s">
        <v>94</v>
      </c>
      <c r="B87" s="153" t="s">
        <v>60</v>
      </c>
      <c r="C87" s="154" t="s">
        <v>95</v>
      </c>
      <c r="D87" s="155">
        <v>17870</v>
      </c>
      <c r="E87" s="346">
        <v>890500</v>
      </c>
      <c r="F87" s="344"/>
      <c r="G87" s="343"/>
      <c r="H87" s="344"/>
      <c r="I87" s="156">
        <v>812480</v>
      </c>
      <c r="J87" s="133">
        <v>0</v>
      </c>
      <c r="K87" s="133">
        <v>0</v>
      </c>
      <c r="L87" s="133">
        <v>0</v>
      </c>
      <c r="M87" s="133">
        <v>0</v>
      </c>
      <c r="N87" s="133">
        <v>0</v>
      </c>
      <c r="O87" s="133">
        <v>812480</v>
      </c>
      <c r="P87" s="133">
        <v>0</v>
      </c>
      <c r="Q87" s="133">
        <v>0</v>
      </c>
      <c r="R87" s="134">
        <f>SUM(J87:Q87)</f>
        <v>812480</v>
      </c>
      <c r="S87" s="135">
        <f>I87-R87</f>
        <v>0</v>
      </c>
      <c r="T87" s="136">
        <f>G87-I87</f>
        <v>-812480</v>
      </c>
      <c r="U87" s="165"/>
      <c r="V87" s="138" t="e">
        <f t="shared" si="1"/>
        <v>#DIV/0!</v>
      </c>
      <c r="X87" s="221"/>
      <c r="Y87" s="133"/>
      <c r="Z87" s="133"/>
      <c r="AA87" s="133"/>
      <c r="AB87" s="133"/>
      <c r="AC87" s="133"/>
      <c r="AD87" s="133"/>
      <c r="AE87" s="133"/>
    </row>
    <row r="88" spans="1:31" ht="18.95" customHeight="1">
      <c r="A88" s="330"/>
      <c r="B88" s="149"/>
      <c r="C88" s="150" t="s">
        <v>95</v>
      </c>
      <c r="D88" s="151"/>
      <c r="E88" s="345">
        <v>0</v>
      </c>
      <c r="F88" s="342"/>
      <c r="G88" s="341"/>
      <c r="H88" s="342"/>
      <c r="I88" s="152">
        <v>0</v>
      </c>
      <c r="J88" s="159">
        <v>0</v>
      </c>
      <c r="K88" s="159">
        <v>0</v>
      </c>
      <c r="L88" s="159">
        <v>0</v>
      </c>
      <c r="M88" s="159">
        <v>0</v>
      </c>
      <c r="N88" s="159">
        <v>0</v>
      </c>
      <c r="O88" s="159">
        <v>0</v>
      </c>
      <c r="P88" s="159">
        <v>0</v>
      </c>
      <c r="Q88" s="159">
        <v>0</v>
      </c>
      <c r="R88" s="160">
        <f>SUM(J88:Q88)</f>
        <v>0</v>
      </c>
      <c r="S88" s="161">
        <f>I88-R88</f>
        <v>0</v>
      </c>
      <c r="T88" s="162">
        <f>G88-I88</f>
        <v>0</v>
      </c>
      <c r="U88" s="163"/>
      <c r="V88" s="164" t="e">
        <f t="shared" si="1"/>
        <v>#DIV/0!</v>
      </c>
      <c r="X88" s="222"/>
      <c r="Y88" s="159"/>
      <c r="Z88" s="159"/>
      <c r="AA88" s="159"/>
      <c r="AB88" s="159"/>
      <c r="AC88" s="159"/>
      <c r="AD88" s="159"/>
      <c r="AE88" s="159"/>
    </row>
    <row r="89" spans="1:31" ht="18.95" customHeight="1">
      <c r="A89" s="328"/>
      <c r="B89" s="149"/>
      <c r="C89" s="150" t="s">
        <v>96</v>
      </c>
      <c r="D89" s="151"/>
      <c r="E89" s="345">
        <v>0</v>
      </c>
      <c r="F89" s="342"/>
      <c r="G89" s="341"/>
      <c r="H89" s="342"/>
      <c r="I89" s="152">
        <v>0</v>
      </c>
      <c r="J89" s="159">
        <v>0</v>
      </c>
      <c r="K89" s="159">
        <v>0</v>
      </c>
      <c r="L89" s="159">
        <v>0</v>
      </c>
      <c r="M89" s="159">
        <v>0</v>
      </c>
      <c r="N89" s="159">
        <v>0</v>
      </c>
      <c r="O89" s="159">
        <v>0</v>
      </c>
      <c r="P89" s="159">
        <v>0</v>
      </c>
      <c r="Q89" s="159">
        <v>0</v>
      </c>
      <c r="R89" s="160">
        <f>SUM(J89:Q89)</f>
        <v>0</v>
      </c>
      <c r="S89" s="161">
        <f>I89-R89</f>
        <v>0</v>
      </c>
      <c r="T89" s="162">
        <f>G89-I89</f>
        <v>0</v>
      </c>
      <c r="U89" s="163"/>
      <c r="V89" s="164" t="e">
        <f t="shared" si="1"/>
        <v>#DIV/0!</v>
      </c>
      <c r="X89" s="222"/>
      <c r="Y89" s="159"/>
      <c r="Z89" s="159"/>
      <c r="AA89" s="159"/>
      <c r="AB89" s="159"/>
      <c r="AC89" s="159"/>
      <c r="AD89" s="159"/>
      <c r="AE89" s="159"/>
    </row>
    <row r="90" spans="1:31" ht="18.95" customHeight="1">
      <c r="A90" s="329" t="s">
        <v>97</v>
      </c>
      <c r="B90" s="153" t="s">
        <v>60</v>
      </c>
      <c r="C90" s="154" t="s">
        <v>98</v>
      </c>
      <c r="D90" s="155">
        <v>17870</v>
      </c>
      <c r="E90" s="346">
        <v>3178970</v>
      </c>
      <c r="F90" s="344"/>
      <c r="G90" s="343"/>
      <c r="H90" s="344"/>
      <c r="I90" s="156">
        <v>2101690</v>
      </c>
      <c r="J90" s="133">
        <v>0</v>
      </c>
      <c r="K90" s="133">
        <v>0</v>
      </c>
      <c r="L90" s="133">
        <v>0</v>
      </c>
      <c r="M90" s="133">
        <v>0</v>
      </c>
      <c r="N90" s="133">
        <v>1098959</v>
      </c>
      <c r="O90" s="133">
        <v>0</v>
      </c>
      <c r="P90" s="133">
        <v>0</v>
      </c>
      <c r="Q90" s="133">
        <v>0</v>
      </c>
      <c r="R90" s="134">
        <f>SUM(J90:Q90)</f>
        <v>1098959</v>
      </c>
      <c r="S90" s="135">
        <f>I90-R90</f>
        <v>1002731</v>
      </c>
      <c r="T90" s="136">
        <f>G90-I90</f>
        <v>-2101690</v>
      </c>
      <c r="U90" s="165"/>
      <c r="V90" s="138" t="e">
        <f t="shared" si="1"/>
        <v>#DIV/0!</v>
      </c>
      <c r="X90" s="221"/>
      <c r="Y90" s="133"/>
      <c r="Z90" s="133"/>
      <c r="AA90" s="133"/>
      <c r="AB90" s="133"/>
      <c r="AC90" s="133"/>
      <c r="AD90" s="133"/>
      <c r="AE90" s="133"/>
    </row>
    <row r="91" spans="1:31" ht="18.95" customHeight="1">
      <c r="A91" s="330"/>
      <c r="B91" s="149" t="s">
        <v>60</v>
      </c>
      <c r="C91" s="150" t="s">
        <v>98</v>
      </c>
      <c r="D91" s="151">
        <v>17870</v>
      </c>
      <c r="E91" s="345">
        <v>3178970</v>
      </c>
      <c r="F91" s="342"/>
      <c r="G91" s="341"/>
      <c r="H91" s="342"/>
      <c r="I91" s="152">
        <v>2101690</v>
      </c>
      <c r="J91" s="159">
        <v>0</v>
      </c>
      <c r="K91" s="159">
        <v>0</v>
      </c>
      <c r="L91" s="159">
        <v>0</v>
      </c>
      <c r="M91" s="159">
        <v>0</v>
      </c>
      <c r="N91" s="159">
        <v>0</v>
      </c>
      <c r="O91" s="159">
        <v>1002731</v>
      </c>
      <c r="P91" s="159">
        <v>0</v>
      </c>
      <c r="Q91" s="159">
        <v>0</v>
      </c>
      <c r="R91" s="160">
        <f>SUM(J91:Q91)</f>
        <v>1002731</v>
      </c>
      <c r="S91" s="161">
        <f>I91-R91</f>
        <v>1098959</v>
      </c>
      <c r="T91" s="162">
        <f>G91-I91</f>
        <v>-2101690</v>
      </c>
      <c r="U91" s="163"/>
      <c r="V91" s="164" t="e">
        <f t="shared" si="1"/>
        <v>#DIV/0!</v>
      </c>
      <c r="X91" s="222"/>
      <c r="Y91" s="159"/>
      <c r="Z91" s="159"/>
      <c r="AA91" s="159"/>
      <c r="AB91" s="159"/>
      <c r="AC91" s="159"/>
      <c r="AD91" s="159"/>
      <c r="AE91" s="159"/>
    </row>
    <row r="92" spans="1:31" ht="18.95" customHeight="1">
      <c r="A92" s="330"/>
      <c r="B92" s="149" t="s">
        <v>60</v>
      </c>
      <c r="C92" s="150" t="s">
        <v>98</v>
      </c>
      <c r="D92" s="151"/>
      <c r="E92" s="345">
        <v>0</v>
      </c>
      <c r="F92" s="342"/>
      <c r="G92" s="341">
        <v>0</v>
      </c>
      <c r="H92" s="342"/>
      <c r="I92" s="152">
        <v>0</v>
      </c>
      <c r="J92" s="159">
        <v>0</v>
      </c>
      <c r="K92" s="159">
        <v>0</v>
      </c>
      <c r="L92" s="159">
        <v>0</v>
      </c>
      <c r="M92" s="159">
        <v>0</v>
      </c>
      <c r="N92" s="159">
        <v>0</v>
      </c>
      <c r="O92" s="159">
        <v>0</v>
      </c>
      <c r="P92" s="159">
        <v>-1075450</v>
      </c>
      <c r="Q92" s="159">
        <v>0</v>
      </c>
      <c r="R92" s="160">
        <f>SUM(J92:Q92)</f>
        <v>-1075450</v>
      </c>
      <c r="S92" s="161">
        <f>I92-R92</f>
        <v>1075450</v>
      </c>
      <c r="T92" s="162">
        <f>G92-I92</f>
        <v>0</v>
      </c>
      <c r="U92" s="163"/>
      <c r="V92" s="164" t="e">
        <f t="shared" si="1"/>
        <v>#DIV/0!</v>
      </c>
      <c r="X92" s="222"/>
      <c r="Y92" s="159"/>
      <c r="Z92" s="159"/>
      <c r="AA92" s="159"/>
      <c r="AB92" s="159"/>
      <c r="AC92" s="159"/>
      <c r="AD92" s="159"/>
      <c r="AE92" s="159"/>
    </row>
    <row r="93" spans="1:31" ht="18.95" customHeight="1">
      <c r="A93" s="330"/>
      <c r="B93" s="149" t="s">
        <v>60</v>
      </c>
      <c r="C93" s="150" t="s">
        <v>99</v>
      </c>
      <c r="D93" s="151">
        <v>17870</v>
      </c>
      <c r="E93" s="345">
        <v>823750</v>
      </c>
      <c r="F93" s="342"/>
      <c r="G93" s="341"/>
      <c r="H93" s="342"/>
      <c r="I93" s="152">
        <v>1781050</v>
      </c>
      <c r="J93" s="159">
        <v>0</v>
      </c>
      <c r="K93" s="159">
        <v>0</v>
      </c>
      <c r="L93" s="159">
        <v>0</v>
      </c>
      <c r="M93" s="159">
        <v>356210</v>
      </c>
      <c r="N93" s="159">
        <v>0</v>
      </c>
      <c r="O93" s="159">
        <v>0</v>
      </c>
      <c r="P93" s="159">
        <v>0</v>
      </c>
      <c r="Q93" s="159">
        <v>0</v>
      </c>
      <c r="R93" s="160">
        <f>SUM(J93:Q93)</f>
        <v>356210</v>
      </c>
      <c r="S93" s="161">
        <f>I93-R93</f>
        <v>1424840</v>
      </c>
      <c r="T93" s="162">
        <f>G93-I93</f>
        <v>-1781050</v>
      </c>
      <c r="U93" s="163"/>
      <c r="V93" s="164" t="e">
        <f t="shared" si="1"/>
        <v>#DIV/0!</v>
      </c>
      <c r="X93" s="222"/>
      <c r="Y93" s="159"/>
      <c r="Z93" s="159"/>
      <c r="AA93" s="159"/>
      <c r="AB93" s="159"/>
      <c r="AC93" s="159"/>
      <c r="AD93" s="159"/>
      <c r="AE93" s="159"/>
    </row>
    <row r="94" spans="1:31" ht="18.95" customHeight="1">
      <c r="A94" s="330"/>
      <c r="B94" s="149" t="s">
        <v>60</v>
      </c>
      <c r="C94" s="150" t="s">
        <v>99</v>
      </c>
      <c r="D94" s="151">
        <v>17870</v>
      </c>
      <c r="E94" s="345">
        <v>823750</v>
      </c>
      <c r="F94" s="342"/>
      <c r="G94" s="341"/>
      <c r="H94" s="342"/>
      <c r="I94" s="152">
        <v>1781050</v>
      </c>
      <c r="J94" s="159">
        <v>0</v>
      </c>
      <c r="K94" s="159">
        <v>0</v>
      </c>
      <c r="L94" s="159">
        <v>0</v>
      </c>
      <c r="M94" s="159">
        <v>0</v>
      </c>
      <c r="N94" s="159">
        <v>0</v>
      </c>
      <c r="O94" s="159">
        <v>1246736</v>
      </c>
      <c r="P94" s="159">
        <v>0</v>
      </c>
      <c r="Q94" s="159">
        <v>0</v>
      </c>
      <c r="R94" s="160">
        <f>SUM(J94:Q94)</f>
        <v>1246736</v>
      </c>
      <c r="S94" s="161">
        <f>I94-R94</f>
        <v>534314</v>
      </c>
      <c r="T94" s="162">
        <f>G94-I94</f>
        <v>-1781050</v>
      </c>
      <c r="U94" s="163"/>
      <c r="V94" s="164" t="e">
        <f t="shared" si="1"/>
        <v>#DIV/0!</v>
      </c>
      <c r="X94" s="222"/>
      <c r="Y94" s="159"/>
      <c r="Z94" s="159"/>
      <c r="AA94" s="159"/>
      <c r="AB94" s="159"/>
      <c r="AC94" s="159"/>
      <c r="AD94" s="159"/>
      <c r="AE94" s="159"/>
    </row>
    <row r="95" spans="1:31" ht="18.95" customHeight="1">
      <c r="A95" s="330"/>
      <c r="B95" s="149" t="s">
        <v>60</v>
      </c>
      <c r="C95" s="150" t="s">
        <v>99</v>
      </c>
      <c r="D95" s="151">
        <v>17870</v>
      </c>
      <c r="E95" s="345">
        <v>823750</v>
      </c>
      <c r="F95" s="342"/>
      <c r="G95" s="341"/>
      <c r="H95" s="342"/>
      <c r="I95" s="152">
        <v>1781050</v>
      </c>
      <c r="J95" s="159">
        <v>0</v>
      </c>
      <c r="K95" s="159">
        <v>0</v>
      </c>
      <c r="L95" s="159">
        <v>0</v>
      </c>
      <c r="M95" s="159">
        <v>0</v>
      </c>
      <c r="N95" s="159">
        <v>117420</v>
      </c>
      <c r="O95" s="159">
        <v>0</v>
      </c>
      <c r="P95" s="159">
        <v>0</v>
      </c>
      <c r="Q95" s="159">
        <v>0</v>
      </c>
      <c r="R95" s="160">
        <f>SUM(J95:Q95)</f>
        <v>117420</v>
      </c>
      <c r="S95" s="161">
        <f>I95-R95</f>
        <v>1663630</v>
      </c>
      <c r="T95" s="162">
        <f>G95-I95</f>
        <v>-1781050</v>
      </c>
      <c r="U95" s="163"/>
      <c r="V95" s="164" t="e">
        <f t="shared" si="1"/>
        <v>#DIV/0!</v>
      </c>
      <c r="X95" s="222"/>
      <c r="Y95" s="159"/>
      <c r="Z95" s="159"/>
      <c r="AA95" s="159"/>
      <c r="AB95" s="159"/>
      <c r="AC95" s="159"/>
      <c r="AD95" s="159"/>
      <c r="AE95" s="159"/>
    </row>
    <row r="96" spans="1:31" ht="18.95" customHeight="1">
      <c r="A96" s="330"/>
      <c r="B96" s="149"/>
      <c r="C96" s="150" t="s">
        <v>98</v>
      </c>
      <c r="D96" s="151"/>
      <c r="E96" s="345">
        <v>0</v>
      </c>
      <c r="F96" s="342"/>
      <c r="G96" s="341"/>
      <c r="H96" s="342"/>
      <c r="I96" s="152">
        <v>0</v>
      </c>
      <c r="J96" s="159">
        <v>0</v>
      </c>
      <c r="K96" s="159">
        <v>0</v>
      </c>
      <c r="L96" s="159">
        <v>0</v>
      </c>
      <c r="M96" s="159">
        <v>0</v>
      </c>
      <c r="N96" s="159">
        <v>0</v>
      </c>
      <c r="O96" s="159">
        <v>0</v>
      </c>
      <c r="P96" s="159">
        <v>0</v>
      </c>
      <c r="Q96" s="159">
        <v>0</v>
      </c>
      <c r="R96" s="160">
        <f>SUM(J96:Q96)</f>
        <v>0</v>
      </c>
      <c r="S96" s="161">
        <f>I96-R96</f>
        <v>0</v>
      </c>
      <c r="T96" s="162">
        <f>G96-I96</f>
        <v>0</v>
      </c>
      <c r="U96" s="163"/>
      <c r="V96" s="164" t="e">
        <f t="shared" si="1"/>
        <v>#DIV/0!</v>
      </c>
      <c r="X96" s="222"/>
      <c r="Y96" s="159"/>
      <c r="Z96" s="159"/>
      <c r="AA96" s="159"/>
      <c r="AB96" s="159"/>
      <c r="AC96" s="159"/>
      <c r="AD96" s="159"/>
      <c r="AE96" s="159"/>
    </row>
    <row r="97" spans="1:31" ht="18.95" customHeight="1">
      <c r="A97" s="330"/>
      <c r="B97" s="149"/>
      <c r="C97" s="150" t="s">
        <v>100</v>
      </c>
      <c r="D97" s="151"/>
      <c r="E97" s="345">
        <v>0</v>
      </c>
      <c r="F97" s="342"/>
      <c r="G97" s="341"/>
      <c r="H97" s="342"/>
      <c r="I97" s="152">
        <v>0</v>
      </c>
      <c r="J97" s="159">
        <v>0</v>
      </c>
      <c r="K97" s="159">
        <v>0</v>
      </c>
      <c r="L97" s="159">
        <v>0</v>
      </c>
      <c r="M97" s="159">
        <v>0</v>
      </c>
      <c r="N97" s="159">
        <v>0</v>
      </c>
      <c r="O97" s="159">
        <v>0</v>
      </c>
      <c r="P97" s="159">
        <v>0</v>
      </c>
      <c r="Q97" s="159">
        <v>0</v>
      </c>
      <c r="R97" s="160">
        <f>SUM(J97:Q97)</f>
        <v>0</v>
      </c>
      <c r="S97" s="161">
        <f>I97-R97</f>
        <v>0</v>
      </c>
      <c r="T97" s="162">
        <f>G97-I97</f>
        <v>0</v>
      </c>
      <c r="U97" s="163"/>
      <c r="V97" s="164" t="e">
        <f t="shared" si="1"/>
        <v>#DIV/0!</v>
      </c>
      <c r="X97" s="222"/>
      <c r="Y97" s="159"/>
      <c r="Z97" s="159"/>
      <c r="AA97" s="159"/>
      <c r="AB97" s="159"/>
      <c r="AC97" s="159"/>
      <c r="AD97" s="159"/>
      <c r="AE97" s="159"/>
    </row>
    <row r="98" spans="1:31" ht="18.95" customHeight="1">
      <c r="A98" s="330"/>
      <c r="B98" s="149"/>
      <c r="C98" s="150" t="s">
        <v>99</v>
      </c>
      <c r="D98" s="151"/>
      <c r="E98" s="345">
        <v>0</v>
      </c>
      <c r="F98" s="342"/>
      <c r="G98" s="341"/>
      <c r="H98" s="342"/>
      <c r="I98" s="152">
        <v>0</v>
      </c>
      <c r="J98" s="159">
        <v>0</v>
      </c>
      <c r="K98" s="159">
        <v>0</v>
      </c>
      <c r="L98" s="159">
        <v>0</v>
      </c>
      <c r="M98" s="159">
        <v>0</v>
      </c>
      <c r="N98" s="159">
        <v>0</v>
      </c>
      <c r="O98" s="159">
        <v>0</v>
      </c>
      <c r="P98" s="159">
        <v>0</v>
      </c>
      <c r="Q98" s="159">
        <v>0</v>
      </c>
      <c r="R98" s="160">
        <f>SUM(J98:Q98)</f>
        <v>0</v>
      </c>
      <c r="S98" s="161">
        <f>I98-R98</f>
        <v>0</v>
      </c>
      <c r="T98" s="162">
        <f>G98-I98</f>
        <v>0</v>
      </c>
      <c r="U98" s="163"/>
      <c r="V98" s="164" t="e">
        <f t="shared" si="1"/>
        <v>#DIV/0!</v>
      </c>
      <c r="X98" s="222"/>
      <c r="Y98" s="159"/>
      <c r="Z98" s="159"/>
      <c r="AA98" s="159"/>
      <c r="AB98" s="159"/>
      <c r="AC98" s="159"/>
      <c r="AD98" s="159"/>
      <c r="AE98" s="159"/>
    </row>
    <row r="99" spans="1:31" ht="18.95" customHeight="1">
      <c r="A99" s="328"/>
      <c r="B99" s="149"/>
      <c r="C99" s="150" t="s">
        <v>101</v>
      </c>
      <c r="D99" s="151"/>
      <c r="E99" s="345">
        <v>0</v>
      </c>
      <c r="F99" s="342"/>
      <c r="G99" s="341"/>
      <c r="H99" s="342"/>
      <c r="I99" s="152">
        <v>0</v>
      </c>
      <c r="J99" s="159">
        <v>0</v>
      </c>
      <c r="K99" s="159">
        <v>0</v>
      </c>
      <c r="L99" s="159">
        <v>0</v>
      </c>
      <c r="M99" s="159">
        <v>0</v>
      </c>
      <c r="N99" s="159">
        <v>0</v>
      </c>
      <c r="O99" s="159">
        <v>0</v>
      </c>
      <c r="P99" s="159">
        <v>0</v>
      </c>
      <c r="Q99" s="159">
        <v>0</v>
      </c>
      <c r="R99" s="160">
        <f>SUM(J99:Q99)</f>
        <v>0</v>
      </c>
      <c r="S99" s="161">
        <f>I99-R99</f>
        <v>0</v>
      </c>
      <c r="T99" s="162">
        <f>G99-I99</f>
        <v>0</v>
      </c>
      <c r="U99" s="163"/>
      <c r="V99" s="164" t="e">
        <f t="shared" si="1"/>
        <v>#DIV/0!</v>
      </c>
      <c r="X99" s="222"/>
      <c r="Y99" s="159"/>
      <c r="Z99" s="159"/>
      <c r="AA99" s="159"/>
      <c r="AB99" s="159"/>
      <c r="AC99" s="159"/>
      <c r="AD99" s="159"/>
      <c r="AE99" s="159"/>
    </row>
    <row r="100" spans="1:31" ht="18.95" customHeight="1">
      <c r="A100" s="329" t="s">
        <v>102</v>
      </c>
      <c r="B100" s="153"/>
      <c r="C100" s="154" t="s">
        <v>103</v>
      </c>
      <c r="D100" s="155"/>
      <c r="E100" s="346">
        <v>110900</v>
      </c>
      <c r="F100" s="344"/>
      <c r="G100" s="343"/>
      <c r="H100" s="344"/>
      <c r="I100" s="156">
        <v>0</v>
      </c>
      <c r="J100" s="133">
        <v>0</v>
      </c>
      <c r="K100" s="133">
        <v>0</v>
      </c>
      <c r="L100" s="133">
        <v>0</v>
      </c>
      <c r="M100" s="133">
        <v>0</v>
      </c>
      <c r="N100" s="133">
        <v>0</v>
      </c>
      <c r="O100" s="133">
        <v>0</v>
      </c>
      <c r="P100" s="133">
        <v>0</v>
      </c>
      <c r="Q100" s="133">
        <v>0</v>
      </c>
      <c r="R100" s="134">
        <f>SUM(J100:Q100)</f>
        <v>0</v>
      </c>
      <c r="S100" s="135">
        <f>I100-R100</f>
        <v>0</v>
      </c>
      <c r="T100" s="136">
        <f>G100-I100</f>
        <v>0</v>
      </c>
      <c r="U100" s="165"/>
      <c r="V100" s="138" t="e">
        <f t="shared" si="1"/>
        <v>#DIV/0!</v>
      </c>
      <c r="X100" s="221"/>
      <c r="Y100" s="133"/>
      <c r="Z100" s="133"/>
      <c r="AA100" s="133"/>
      <c r="AB100" s="133"/>
      <c r="AC100" s="133"/>
      <c r="AD100" s="133"/>
      <c r="AE100" s="133"/>
    </row>
    <row r="101" spans="1:31" ht="18.95" customHeight="1">
      <c r="A101" s="330"/>
      <c r="B101" s="149"/>
      <c r="C101" s="150" t="s">
        <v>104</v>
      </c>
      <c r="D101" s="151"/>
      <c r="E101" s="345">
        <v>0</v>
      </c>
      <c r="F101" s="342"/>
      <c r="G101" s="341"/>
      <c r="H101" s="342"/>
      <c r="I101" s="152">
        <v>0</v>
      </c>
      <c r="J101" s="159">
        <v>0</v>
      </c>
      <c r="K101" s="159">
        <v>0</v>
      </c>
      <c r="L101" s="159">
        <v>0</v>
      </c>
      <c r="M101" s="159">
        <v>0</v>
      </c>
      <c r="N101" s="159">
        <v>0</v>
      </c>
      <c r="O101" s="159">
        <v>0</v>
      </c>
      <c r="P101" s="159">
        <v>0</v>
      </c>
      <c r="Q101" s="159">
        <v>0</v>
      </c>
      <c r="R101" s="160">
        <f>SUM(J101:Q101)</f>
        <v>0</v>
      </c>
      <c r="S101" s="161">
        <f>I101-R101</f>
        <v>0</v>
      </c>
      <c r="T101" s="162">
        <f>G101-I101</f>
        <v>0</v>
      </c>
      <c r="U101" s="163"/>
      <c r="V101" s="164" t="e">
        <f t="shared" si="1"/>
        <v>#DIV/0!</v>
      </c>
      <c r="X101" s="222"/>
      <c r="Y101" s="159"/>
      <c r="Z101" s="159"/>
      <c r="AA101" s="159"/>
      <c r="AB101" s="159"/>
      <c r="AC101" s="159"/>
      <c r="AD101" s="159"/>
      <c r="AE101" s="159"/>
    </row>
    <row r="102" spans="1:31" ht="18.95" customHeight="1">
      <c r="A102" s="330"/>
      <c r="B102" s="149"/>
      <c r="C102" s="150" t="s">
        <v>105</v>
      </c>
      <c r="D102" s="151"/>
      <c r="E102" s="345">
        <v>0</v>
      </c>
      <c r="F102" s="342"/>
      <c r="G102" s="341"/>
      <c r="H102" s="342"/>
      <c r="I102" s="152">
        <v>0</v>
      </c>
      <c r="J102" s="159">
        <v>0</v>
      </c>
      <c r="K102" s="159">
        <v>0</v>
      </c>
      <c r="L102" s="159">
        <v>0</v>
      </c>
      <c r="M102" s="159">
        <v>0</v>
      </c>
      <c r="N102" s="159">
        <v>0</v>
      </c>
      <c r="O102" s="159">
        <v>0</v>
      </c>
      <c r="P102" s="159">
        <v>0</v>
      </c>
      <c r="Q102" s="159">
        <v>0</v>
      </c>
      <c r="R102" s="160">
        <f>SUM(J102:Q102)</f>
        <v>0</v>
      </c>
      <c r="S102" s="161">
        <f>I102-R102</f>
        <v>0</v>
      </c>
      <c r="T102" s="162">
        <f>G102-I102</f>
        <v>0</v>
      </c>
      <c r="U102" s="163"/>
      <c r="V102" s="164" t="e">
        <f t="shared" si="1"/>
        <v>#DIV/0!</v>
      </c>
      <c r="X102" s="222"/>
      <c r="Y102" s="159"/>
      <c r="Z102" s="159"/>
      <c r="AA102" s="159"/>
      <c r="AB102" s="159"/>
      <c r="AC102" s="159"/>
      <c r="AD102" s="159"/>
      <c r="AE102" s="159"/>
    </row>
    <row r="103" spans="1:31" ht="18.95" customHeight="1">
      <c r="A103" s="328"/>
      <c r="B103" s="149"/>
      <c r="C103" s="150" t="s">
        <v>106</v>
      </c>
      <c r="D103" s="151"/>
      <c r="E103" s="345">
        <v>0</v>
      </c>
      <c r="F103" s="342"/>
      <c r="G103" s="341"/>
      <c r="H103" s="342"/>
      <c r="I103" s="152">
        <v>0</v>
      </c>
      <c r="J103" s="159">
        <v>0</v>
      </c>
      <c r="K103" s="159">
        <v>0</v>
      </c>
      <c r="L103" s="159">
        <v>0</v>
      </c>
      <c r="M103" s="159">
        <v>0</v>
      </c>
      <c r="N103" s="159">
        <v>0</v>
      </c>
      <c r="O103" s="159">
        <v>0</v>
      </c>
      <c r="P103" s="159">
        <v>0</v>
      </c>
      <c r="Q103" s="159">
        <v>0</v>
      </c>
      <c r="R103" s="160">
        <f>SUM(J103:Q103)</f>
        <v>0</v>
      </c>
      <c r="S103" s="161">
        <f>I103-R103</f>
        <v>0</v>
      </c>
      <c r="T103" s="162">
        <f>G103-I103</f>
        <v>0</v>
      </c>
      <c r="U103" s="163"/>
      <c r="V103" s="164" t="e">
        <f t="shared" si="1"/>
        <v>#DIV/0!</v>
      </c>
      <c r="X103" s="222"/>
      <c r="Y103" s="159"/>
      <c r="Z103" s="159"/>
      <c r="AA103" s="159"/>
      <c r="AB103" s="159"/>
      <c r="AC103" s="159"/>
      <c r="AD103" s="159"/>
      <c r="AE103" s="159"/>
    </row>
    <row r="104" spans="1:31" ht="18.95" customHeight="1">
      <c r="A104" s="329" t="s">
        <v>107</v>
      </c>
      <c r="B104" s="153" t="s">
        <v>60</v>
      </c>
      <c r="C104" s="154" t="s">
        <v>108</v>
      </c>
      <c r="D104" s="155">
        <v>17870</v>
      </c>
      <c r="E104" s="346">
        <v>393650</v>
      </c>
      <c r="F104" s="344"/>
      <c r="G104" s="343"/>
      <c r="H104" s="344"/>
      <c r="I104" s="156">
        <v>391400</v>
      </c>
      <c r="J104" s="133">
        <v>0</v>
      </c>
      <c r="K104" s="133">
        <v>0</v>
      </c>
      <c r="L104" s="133">
        <v>0</v>
      </c>
      <c r="M104" s="133">
        <v>0</v>
      </c>
      <c r="N104" s="133">
        <v>0</v>
      </c>
      <c r="O104" s="133">
        <v>391400</v>
      </c>
      <c r="P104" s="133">
        <v>0</v>
      </c>
      <c r="Q104" s="133">
        <v>0</v>
      </c>
      <c r="R104" s="134">
        <f>SUM(J104:Q104)</f>
        <v>391400</v>
      </c>
      <c r="S104" s="135">
        <f>I104-R104</f>
        <v>0</v>
      </c>
      <c r="T104" s="136">
        <f>G104-I104</f>
        <v>-391400</v>
      </c>
      <c r="U104" s="165"/>
      <c r="V104" s="138" t="e">
        <f t="shared" si="1"/>
        <v>#DIV/0!</v>
      </c>
      <c r="X104" s="221"/>
      <c r="Y104" s="133"/>
      <c r="Z104" s="133"/>
      <c r="AA104" s="133"/>
      <c r="AB104" s="133"/>
      <c r="AC104" s="133"/>
      <c r="AD104" s="133"/>
      <c r="AE104" s="133"/>
    </row>
    <row r="105" spans="1:31" ht="18.95" customHeight="1">
      <c r="A105" s="330"/>
      <c r="B105" s="149"/>
      <c r="C105" s="150" t="s">
        <v>108</v>
      </c>
      <c r="D105" s="151"/>
      <c r="E105" s="345">
        <v>0</v>
      </c>
      <c r="F105" s="342"/>
      <c r="G105" s="341"/>
      <c r="H105" s="342"/>
      <c r="I105" s="152">
        <v>0</v>
      </c>
      <c r="J105" s="159">
        <v>0</v>
      </c>
      <c r="K105" s="159">
        <v>0</v>
      </c>
      <c r="L105" s="159">
        <v>0</v>
      </c>
      <c r="M105" s="159">
        <v>0</v>
      </c>
      <c r="N105" s="159">
        <v>0</v>
      </c>
      <c r="O105" s="159">
        <v>0</v>
      </c>
      <c r="P105" s="159">
        <v>0</v>
      </c>
      <c r="Q105" s="159">
        <v>0</v>
      </c>
      <c r="R105" s="160">
        <f>SUM(J105:Q105)</f>
        <v>0</v>
      </c>
      <c r="S105" s="161">
        <f>I105-R105</f>
        <v>0</v>
      </c>
      <c r="T105" s="162">
        <f>G105-I105</f>
        <v>0</v>
      </c>
      <c r="U105" s="163"/>
      <c r="V105" s="164" t="e">
        <f t="shared" si="1"/>
        <v>#DIV/0!</v>
      </c>
      <c r="X105" s="222"/>
      <c r="Y105" s="159"/>
      <c r="Z105" s="159"/>
      <c r="AA105" s="159"/>
      <c r="AB105" s="159"/>
      <c r="AC105" s="159"/>
      <c r="AD105" s="159"/>
      <c r="AE105" s="159"/>
    </row>
    <row r="106" spans="1:31" ht="18.95" customHeight="1">
      <c r="A106" s="328"/>
      <c r="B106" s="149"/>
      <c r="C106" s="150" t="s">
        <v>109</v>
      </c>
      <c r="D106" s="151"/>
      <c r="E106" s="345">
        <v>0</v>
      </c>
      <c r="F106" s="342"/>
      <c r="G106" s="341"/>
      <c r="H106" s="342"/>
      <c r="I106" s="152">
        <v>0</v>
      </c>
      <c r="J106" s="159">
        <v>0</v>
      </c>
      <c r="K106" s="159">
        <v>0</v>
      </c>
      <c r="L106" s="159">
        <v>0</v>
      </c>
      <c r="M106" s="159">
        <v>0</v>
      </c>
      <c r="N106" s="159">
        <v>0</v>
      </c>
      <c r="O106" s="159">
        <v>0</v>
      </c>
      <c r="P106" s="159">
        <v>0</v>
      </c>
      <c r="Q106" s="159">
        <v>0</v>
      </c>
      <c r="R106" s="160">
        <f>SUM(J106:Q106)</f>
        <v>0</v>
      </c>
      <c r="S106" s="161">
        <f>I106-R106</f>
        <v>0</v>
      </c>
      <c r="T106" s="162">
        <f>G106-I106</f>
        <v>0</v>
      </c>
      <c r="U106" s="163"/>
      <c r="V106" s="164" t="e">
        <f t="shared" si="1"/>
        <v>#DIV/0!</v>
      </c>
      <c r="X106" s="222"/>
      <c r="Y106" s="159"/>
      <c r="Z106" s="159"/>
      <c r="AA106" s="159"/>
      <c r="AB106" s="159"/>
      <c r="AC106" s="159"/>
      <c r="AD106" s="159"/>
      <c r="AE106" s="159"/>
    </row>
    <row r="107" spans="1:31" ht="18.95" customHeight="1">
      <c r="A107" s="329" t="s">
        <v>51</v>
      </c>
      <c r="B107" s="153" t="s">
        <v>60</v>
      </c>
      <c r="C107" s="154" t="s">
        <v>43</v>
      </c>
      <c r="D107" s="155">
        <v>17870</v>
      </c>
      <c r="E107" s="346">
        <v>700500</v>
      </c>
      <c r="F107" s="344"/>
      <c r="G107" s="343"/>
      <c r="H107" s="344"/>
      <c r="I107" s="156">
        <v>760000</v>
      </c>
      <c r="J107" s="133">
        <v>0</v>
      </c>
      <c r="K107" s="133">
        <v>0</v>
      </c>
      <c r="L107" s="133">
        <v>0</v>
      </c>
      <c r="M107" s="133">
        <v>0</v>
      </c>
      <c r="N107" s="133">
        <v>380000</v>
      </c>
      <c r="O107" s="133">
        <v>0</v>
      </c>
      <c r="P107" s="133">
        <v>0</v>
      </c>
      <c r="Q107" s="133">
        <v>0</v>
      </c>
      <c r="R107" s="134">
        <f>SUM(J107:Q107)</f>
        <v>380000</v>
      </c>
      <c r="S107" s="135">
        <f>I107-R107</f>
        <v>380000</v>
      </c>
      <c r="T107" s="136">
        <f>G107-I107</f>
        <v>-760000</v>
      </c>
      <c r="U107" s="165"/>
      <c r="V107" s="138" t="e">
        <f t="shared" si="1"/>
        <v>#DIV/0!</v>
      </c>
      <c r="X107" s="221"/>
      <c r="Y107" s="133"/>
      <c r="Z107" s="133"/>
      <c r="AA107" s="133"/>
      <c r="AB107" s="133"/>
      <c r="AC107" s="133"/>
      <c r="AD107" s="133"/>
      <c r="AE107" s="133"/>
    </row>
    <row r="108" spans="1:31" ht="18.95" customHeight="1">
      <c r="A108" s="330"/>
      <c r="B108" s="149" t="s">
        <v>60</v>
      </c>
      <c r="C108" s="150" t="s">
        <v>43</v>
      </c>
      <c r="D108" s="151"/>
      <c r="E108" s="345">
        <v>0</v>
      </c>
      <c r="F108" s="342"/>
      <c r="G108" s="341">
        <v>0</v>
      </c>
      <c r="H108" s="342"/>
      <c r="I108" s="152">
        <v>0</v>
      </c>
      <c r="J108" s="159">
        <v>0</v>
      </c>
      <c r="K108" s="159">
        <v>0</v>
      </c>
      <c r="L108" s="159">
        <v>0</v>
      </c>
      <c r="M108" s="159">
        <v>0</v>
      </c>
      <c r="N108" s="159">
        <v>-650</v>
      </c>
      <c r="O108" s="159">
        <v>0</v>
      </c>
      <c r="P108" s="159">
        <v>0</v>
      </c>
      <c r="Q108" s="159">
        <v>0</v>
      </c>
      <c r="R108" s="160">
        <f>SUM(J108:Q108)</f>
        <v>-650</v>
      </c>
      <c r="S108" s="161">
        <f>I108-R108</f>
        <v>650</v>
      </c>
      <c r="T108" s="162">
        <f>G108-I108</f>
        <v>0</v>
      </c>
      <c r="U108" s="163"/>
      <c r="V108" s="164" t="e">
        <f t="shared" si="1"/>
        <v>#DIV/0!</v>
      </c>
      <c r="X108" s="222"/>
      <c r="Y108" s="159"/>
      <c r="Z108" s="159"/>
      <c r="AA108" s="159"/>
      <c r="AB108" s="159"/>
      <c r="AC108" s="159"/>
      <c r="AD108" s="159"/>
      <c r="AE108" s="159"/>
    </row>
    <row r="109" spans="1:31" ht="18.95" customHeight="1">
      <c r="A109" s="330"/>
      <c r="B109" s="149" t="s">
        <v>60</v>
      </c>
      <c r="C109" s="150" t="s">
        <v>43</v>
      </c>
      <c r="D109" s="151">
        <v>17870</v>
      </c>
      <c r="E109" s="345">
        <v>700500</v>
      </c>
      <c r="F109" s="342"/>
      <c r="G109" s="341"/>
      <c r="H109" s="342"/>
      <c r="I109" s="152">
        <v>760000</v>
      </c>
      <c r="J109" s="159">
        <v>0</v>
      </c>
      <c r="K109" s="159">
        <v>0</v>
      </c>
      <c r="L109" s="159">
        <v>0</v>
      </c>
      <c r="M109" s="159">
        <v>0</v>
      </c>
      <c r="N109" s="159">
        <v>0</v>
      </c>
      <c r="O109" s="159">
        <v>304000</v>
      </c>
      <c r="P109" s="159">
        <v>0</v>
      </c>
      <c r="Q109" s="159">
        <v>0</v>
      </c>
      <c r="R109" s="160">
        <f>SUM(J109:Q109)</f>
        <v>304000</v>
      </c>
      <c r="S109" s="161">
        <f>I109-R109</f>
        <v>456000</v>
      </c>
      <c r="T109" s="162">
        <f>G109-I109</f>
        <v>-760000</v>
      </c>
      <c r="U109" s="163"/>
      <c r="V109" s="164" t="e">
        <f t="shared" si="1"/>
        <v>#DIV/0!</v>
      </c>
      <c r="X109" s="222"/>
      <c r="Y109" s="159"/>
      <c r="Z109" s="159"/>
      <c r="AA109" s="159"/>
      <c r="AB109" s="159"/>
      <c r="AC109" s="159"/>
      <c r="AD109" s="159"/>
      <c r="AE109" s="159"/>
    </row>
    <row r="110" spans="1:31" ht="18.95" customHeight="1">
      <c r="A110" s="330"/>
      <c r="B110" s="149" t="s">
        <v>60</v>
      </c>
      <c r="C110" s="150" t="s">
        <v>43</v>
      </c>
      <c r="D110" s="151">
        <v>17870</v>
      </c>
      <c r="E110" s="345">
        <v>700500</v>
      </c>
      <c r="F110" s="342"/>
      <c r="G110" s="341"/>
      <c r="H110" s="342"/>
      <c r="I110" s="152">
        <v>760000</v>
      </c>
      <c r="J110" s="159">
        <v>0</v>
      </c>
      <c r="K110" s="159">
        <v>0</v>
      </c>
      <c r="L110" s="159">
        <v>0</v>
      </c>
      <c r="M110" s="159">
        <v>0</v>
      </c>
      <c r="N110" s="159">
        <v>0</v>
      </c>
      <c r="O110" s="159">
        <v>147820</v>
      </c>
      <c r="P110" s="159">
        <v>0</v>
      </c>
      <c r="Q110" s="159">
        <v>0</v>
      </c>
      <c r="R110" s="160">
        <f>SUM(J110:Q110)</f>
        <v>147820</v>
      </c>
      <c r="S110" s="161">
        <f>I110-R110</f>
        <v>612180</v>
      </c>
      <c r="T110" s="162">
        <f>G110-I110</f>
        <v>-760000</v>
      </c>
      <c r="U110" s="163"/>
      <c r="V110" s="164" t="e">
        <f t="shared" si="1"/>
        <v>#DIV/0!</v>
      </c>
      <c r="X110" s="222"/>
      <c r="Y110" s="159"/>
      <c r="Z110" s="159"/>
      <c r="AA110" s="159"/>
      <c r="AB110" s="159"/>
      <c r="AC110" s="159"/>
      <c r="AD110" s="159"/>
      <c r="AE110" s="159"/>
    </row>
    <row r="111" spans="1:31" ht="18.95" customHeight="1">
      <c r="A111" s="330"/>
      <c r="B111" s="149" t="s">
        <v>60</v>
      </c>
      <c r="C111" s="150" t="s">
        <v>43</v>
      </c>
      <c r="D111" s="151"/>
      <c r="E111" s="345">
        <v>0</v>
      </c>
      <c r="F111" s="342"/>
      <c r="G111" s="341">
        <v>0</v>
      </c>
      <c r="H111" s="342"/>
      <c r="I111" s="152">
        <v>0</v>
      </c>
      <c r="J111" s="159">
        <v>0</v>
      </c>
      <c r="K111" s="159">
        <v>0</v>
      </c>
      <c r="L111" s="159">
        <v>0</v>
      </c>
      <c r="M111" s="159">
        <v>0</v>
      </c>
      <c r="N111" s="159">
        <v>0</v>
      </c>
      <c r="O111" s="159">
        <v>215140</v>
      </c>
      <c r="P111" s="159">
        <v>0</v>
      </c>
      <c r="Q111" s="159">
        <v>0</v>
      </c>
      <c r="R111" s="160">
        <f>SUM(J111:Q111)</f>
        <v>215140</v>
      </c>
      <c r="S111" s="161">
        <f>I111-R111</f>
        <v>-215140</v>
      </c>
      <c r="T111" s="162">
        <f>G111-I111</f>
        <v>0</v>
      </c>
      <c r="U111" s="163"/>
      <c r="V111" s="164" t="e">
        <f t="shared" si="1"/>
        <v>#DIV/0!</v>
      </c>
      <c r="X111" s="222"/>
      <c r="Y111" s="159"/>
      <c r="Z111" s="159"/>
      <c r="AA111" s="159"/>
      <c r="AB111" s="159"/>
      <c r="AC111" s="159"/>
      <c r="AD111" s="159"/>
      <c r="AE111" s="159"/>
    </row>
    <row r="112" spans="1:31" ht="18.95" customHeight="1">
      <c r="A112" s="330"/>
      <c r="B112" s="149" t="s">
        <v>60</v>
      </c>
      <c r="C112" s="150" t="s">
        <v>43</v>
      </c>
      <c r="D112" s="151">
        <v>18346</v>
      </c>
      <c r="E112" s="345">
        <v>700500</v>
      </c>
      <c r="F112" s="342"/>
      <c r="G112" s="341"/>
      <c r="H112" s="342"/>
      <c r="I112" s="152">
        <v>147820</v>
      </c>
      <c r="J112" s="159">
        <v>0</v>
      </c>
      <c r="K112" s="159">
        <v>0</v>
      </c>
      <c r="L112" s="159">
        <v>0</v>
      </c>
      <c r="M112" s="159">
        <v>0</v>
      </c>
      <c r="N112" s="159">
        <v>0</v>
      </c>
      <c r="O112" s="159">
        <v>147820</v>
      </c>
      <c r="P112" s="159">
        <v>0</v>
      </c>
      <c r="Q112" s="159">
        <v>0</v>
      </c>
      <c r="R112" s="160">
        <f>SUM(J112:Q112)</f>
        <v>147820</v>
      </c>
      <c r="S112" s="161">
        <f>I112-R112</f>
        <v>0</v>
      </c>
      <c r="T112" s="162">
        <f>G112-I112</f>
        <v>-147820</v>
      </c>
      <c r="U112" s="163"/>
      <c r="V112" s="164" t="e">
        <f t="shared" si="1"/>
        <v>#DIV/0!</v>
      </c>
      <c r="X112" s="222"/>
      <c r="Y112" s="159"/>
      <c r="Z112" s="159"/>
      <c r="AA112" s="159"/>
      <c r="AB112" s="159"/>
      <c r="AC112" s="159"/>
      <c r="AD112" s="159"/>
      <c r="AE112" s="159"/>
    </row>
    <row r="113" spans="1:31" ht="18.95" customHeight="1">
      <c r="A113" s="330"/>
      <c r="B113" s="149" t="s">
        <v>60</v>
      </c>
      <c r="C113" s="150" t="s">
        <v>43</v>
      </c>
      <c r="D113" s="151"/>
      <c r="E113" s="345">
        <v>0</v>
      </c>
      <c r="F113" s="342"/>
      <c r="G113" s="341">
        <v>0</v>
      </c>
      <c r="H113" s="342"/>
      <c r="I113" s="152">
        <v>0</v>
      </c>
      <c r="J113" s="159">
        <v>0</v>
      </c>
      <c r="K113" s="159">
        <v>0</v>
      </c>
      <c r="L113" s="159">
        <v>0</v>
      </c>
      <c r="M113" s="159">
        <v>0</v>
      </c>
      <c r="N113" s="159">
        <v>0</v>
      </c>
      <c r="O113" s="159">
        <v>215140</v>
      </c>
      <c r="P113" s="159">
        <v>0</v>
      </c>
      <c r="Q113" s="159">
        <v>0</v>
      </c>
      <c r="R113" s="160">
        <f>SUM(J113:Q113)</f>
        <v>215140</v>
      </c>
      <c r="S113" s="161">
        <f>I113-R113</f>
        <v>-215140</v>
      </c>
      <c r="T113" s="162">
        <f>G113-I113</f>
        <v>0</v>
      </c>
      <c r="U113" s="163"/>
      <c r="V113" s="164" t="e">
        <f t="shared" si="1"/>
        <v>#DIV/0!</v>
      </c>
      <c r="X113" s="222"/>
      <c r="Y113" s="159"/>
      <c r="Z113" s="159"/>
      <c r="AA113" s="159"/>
      <c r="AB113" s="159"/>
      <c r="AC113" s="159"/>
      <c r="AD113" s="159"/>
      <c r="AE113" s="159"/>
    </row>
    <row r="114" spans="1:31" ht="18.95" customHeight="1">
      <c r="A114" s="330"/>
      <c r="B114" s="149" t="s">
        <v>60</v>
      </c>
      <c r="C114" s="150" t="s">
        <v>43</v>
      </c>
      <c r="D114" s="151"/>
      <c r="E114" s="345">
        <v>0</v>
      </c>
      <c r="F114" s="342"/>
      <c r="G114" s="341">
        <v>0</v>
      </c>
      <c r="H114" s="342"/>
      <c r="I114" s="152">
        <v>0</v>
      </c>
      <c r="J114" s="159">
        <v>0</v>
      </c>
      <c r="K114" s="159">
        <v>0</v>
      </c>
      <c r="L114" s="159">
        <v>0</v>
      </c>
      <c r="M114" s="159">
        <v>0</v>
      </c>
      <c r="N114" s="159">
        <v>-650</v>
      </c>
      <c r="O114" s="159">
        <v>0</v>
      </c>
      <c r="P114" s="159">
        <v>0</v>
      </c>
      <c r="Q114" s="159">
        <v>0</v>
      </c>
      <c r="R114" s="160">
        <f>SUM(J114:Q114)</f>
        <v>-650</v>
      </c>
      <c r="S114" s="161">
        <f>I114-R114</f>
        <v>650</v>
      </c>
      <c r="T114" s="162">
        <f>G114-I114</f>
        <v>0</v>
      </c>
      <c r="U114" s="163"/>
      <c r="V114" s="164" t="e">
        <f t="shared" si="1"/>
        <v>#DIV/0!</v>
      </c>
      <c r="X114" s="222"/>
      <c r="Y114" s="159"/>
      <c r="Z114" s="159"/>
      <c r="AA114" s="159"/>
      <c r="AB114" s="159"/>
      <c r="AC114" s="159"/>
      <c r="AD114" s="159"/>
      <c r="AE114" s="159"/>
    </row>
    <row r="115" spans="1:31" ht="18.95" customHeight="1">
      <c r="A115" s="330"/>
      <c r="B115" s="149" t="s">
        <v>60</v>
      </c>
      <c r="C115" s="150" t="s">
        <v>43</v>
      </c>
      <c r="D115" s="151">
        <v>18346</v>
      </c>
      <c r="E115" s="345">
        <v>700500</v>
      </c>
      <c r="F115" s="342"/>
      <c r="G115" s="341"/>
      <c r="H115" s="342"/>
      <c r="I115" s="152">
        <v>147820</v>
      </c>
      <c r="J115" s="159">
        <v>0</v>
      </c>
      <c r="K115" s="159">
        <v>0</v>
      </c>
      <c r="L115" s="159">
        <v>0</v>
      </c>
      <c r="M115" s="159">
        <v>0</v>
      </c>
      <c r="N115" s="159">
        <v>0</v>
      </c>
      <c r="O115" s="159">
        <v>304000</v>
      </c>
      <c r="P115" s="159">
        <v>0</v>
      </c>
      <c r="Q115" s="159">
        <v>0</v>
      </c>
      <c r="R115" s="160">
        <f>SUM(J115:Q115)</f>
        <v>304000</v>
      </c>
      <c r="S115" s="161">
        <f>I115-R115</f>
        <v>-156180</v>
      </c>
      <c r="T115" s="162">
        <f>G115-I115</f>
        <v>-147820</v>
      </c>
      <c r="U115" s="163"/>
      <c r="V115" s="164" t="e">
        <f t="shared" si="1"/>
        <v>#DIV/0!</v>
      </c>
      <c r="X115" s="222"/>
      <c r="Y115" s="159"/>
      <c r="Z115" s="159"/>
      <c r="AA115" s="159"/>
      <c r="AB115" s="159"/>
      <c r="AC115" s="159"/>
      <c r="AD115" s="159"/>
      <c r="AE115" s="159"/>
    </row>
    <row r="116" spans="1:31" ht="18.95" customHeight="1">
      <c r="A116" s="330"/>
      <c r="B116" s="149" t="s">
        <v>60</v>
      </c>
      <c r="C116" s="150" t="s">
        <v>43</v>
      </c>
      <c r="D116" s="151">
        <v>18346</v>
      </c>
      <c r="E116" s="345">
        <v>700500</v>
      </c>
      <c r="F116" s="342"/>
      <c r="G116" s="341"/>
      <c r="H116" s="342"/>
      <c r="I116" s="152">
        <v>147820</v>
      </c>
      <c r="J116" s="159">
        <v>0</v>
      </c>
      <c r="K116" s="159">
        <v>0</v>
      </c>
      <c r="L116" s="159">
        <v>0</v>
      </c>
      <c r="M116" s="159">
        <v>0</v>
      </c>
      <c r="N116" s="159">
        <v>380000</v>
      </c>
      <c r="O116" s="159">
        <v>0</v>
      </c>
      <c r="P116" s="159">
        <v>0</v>
      </c>
      <c r="Q116" s="159">
        <v>0</v>
      </c>
      <c r="R116" s="160">
        <f>SUM(J116:Q116)</f>
        <v>380000</v>
      </c>
      <c r="S116" s="161">
        <f>I116-R116</f>
        <v>-232180</v>
      </c>
      <c r="T116" s="162">
        <f>G116-I116</f>
        <v>-147820</v>
      </c>
      <c r="U116" s="163"/>
      <c r="V116" s="164" t="e">
        <f t="shared" si="1"/>
        <v>#DIV/0!</v>
      </c>
      <c r="X116" s="222"/>
      <c r="Y116" s="159"/>
      <c r="Z116" s="159"/>
      <c r="AA116" s="159"/>
      <c r="AB116" s="159"/>
      <c r="AC116" s="159"/>
      <c r="AD116" s="159"/>
      <c r="AE116" s="159"/>
    </row>
    <row r="117" spans="1:31" ht="18.95" customHeight="1">
      <c r="A117" s="330"/>
      <c r="B117" s="149"/>
      <c r="C117" s="150" t="s">
        <v>110</v>
      </c>
      <c r="D117" s="151"/>
      <c r="E117" s="345">
        <v>0</v>
      </c>
      <c r="F117" s="342"/>
      <c r="G117" s="341"/>
      <c r="H117" s="342"/>
      <c r="I117" s="152">
        <v>0</v>
      </c>
      <c r="J117" s="159">
        <v>0</v>
      </c>
      <c r="K117" s="159">
        <v>0</v>
      </c>
      <c r="L117" s="159">
        <v>0</v>
      </c>
      <c r="M117" s="159">
        <v>0</v>
      </c>
      <c r="N117" s="159">
        <v>0</v>
      </c>
      <c r="O117" s="159">
        <v>0</v>
      </c>
      <c r="P117" s="159">
        <v>0</v>
      </c>
      <c r="Q117" s="159">
        <v>0</v>
      </c>
      <c r="R117" s="160">
        <f>SUM(J117:Q117)</f>
        <v>0</v>
      </c>
      <c r="S117" s="161">
        <f>I117-R117</f>
        <v>0</v>
      </c>
      <c r="T117" s="162">
        <f>G117-I117</f>
        <v>0</v>
      </c>
      <c r="U117" s="163"/>
      <c r="V117" s="164" t="e">
        <f t="shared" si="1"/>
        <v>#DIV/0!</v>
      </c>
      <c r="X117" s="222"/>
      <c r="Y117" s="159"/>
      <c r="Z117" s="159"/>
      <c r="AA117" s="159"/>
      <c r="AB117" s="159"/>
      <c r="AC117" s="159"/>
      <c r="AD117" s="159"/>
      <c r="AE117" s="159"/>
    </row>
    <row r="118" spans="1:31" ht="18.95" customHeight="1">
      <c r="A118" s="330"/>
      <c r="B118" s="149"/>
      <c r="C118" s="150" t="s">
        <v>111</v>
      </c>
      <c r="D118" s="151"/>
      <c r="E118" s="345">
        <v>0</v>
      </c>
      <c r="F118" s="342"/>
      <c r="G118" s="341"/>
      <c r="H118" s="342"/>
      <c r="I118" s="152">
        <v>0</v>
      </c>
      <c r="J118" s="159">
        <v>0</v>
      </c>
      <c r="K118" s="159">
        <v>0</v>
      </c>
      <c r="L118" s="159">
        <v>0</v>
      </c>
      <c r="M118" s="159">
        <v>0</v>
      </c>
      <c r="N118" s="159">
        <v>0</v>
      </c>
      <c r="O118" s="159">
        <v>0</v>
      </c>
      <c r="P118" s="159">
        <v>0</v>
      </c>
      <c r="Q118" s="159">
        <v>0</v>
      </c>
      <c r="R118" s="160">
        <f>SUM(J118:Q118)</f>
        <v>0</v>
      </c>
      <c r="S118" s="161">
        <f>I118-R118</f>
        <v>0</v>
      </c>
      <c r="T118" s="162">
        <f>G118-I118</f>
        <v>0</v>
      </c>
      <c r="U118" s="163"/>
      <c r="V118" s="164" t="e">
        <f t="shared" si="1"/>
        <v>#DIV/0!</v>
      </c>
      <c r="X118" s="222"/>
      <c r="Y118" s="159"/>
      <c r="Z118" s="159"/>
      <c r="AA118" s="159"/>
      <c r="AB118" s="159"/>
      <c r="AC118" s="159"/>
      <c r="AD118" s="159"/>
      <c r="AE118" s="159"/>
    </row>
    <row r="119" spans="1:31" ht="18.95" customHeight="1">
      <c r="A119" s="330"/>
      <c r="B119" s="149"/>
      <c r="C119" s="150" t="s">
        <v>43</v>
      </c>
      <c r="D119" s="151"/>
      <c r="E119" s="345">
        <v>90000</v>
      </c>
      <c r="F119" s="342"/>
      <c r="G119" s="341"/>
      <c r="H119" s="342"/>
      <c r="I119" s="152">
        <v>427600</v>
      </c>
      <c r="J119" s="159">
        <v>0</v>
      </c>
      <c r="K119" s="159">
        <v>0</v>
      </c>
      <c r="L119" s="159">
        <v>0</v>
      </c>
      <c r="M119" s="159">
        <v>0</v>
      </c>
      <c r="N119" s="159">
        <v>0</v>
      </c>
      <c r="O119" s="159">
        <v>0</v>
      </c>
      <c r="P119" s="159">
        <v>0</v>
      </c>
      <c r="Q119" s="159">
        <v>0</v>
      </c>
      <c r="R119" s="160">
        <f>SUM(J119:Q119)</f>
        <v>0</v>
      </c>
      <c r="S119" s="161">
        <f>I119-R119</f>
        <v>427600</v>
      </c>
      <c r="T119" s="162">
        <f>G119-I119</f>
        <v>-427600</v>
      </c>
      <c r="U119" s="163"/>
      <c r="V119" s="164" t="e">
        <f t="shared" si="1"/>
        <v>#DIV/0!</v>
      </c>
      <c r="X119" s="222"/>
      <c r="Y119" s="159"/>
      <c r="Z119" s="159"/>
      <c r="AA119" s="159"/>
      <c r="AB119" s="159"/>
      <c r="AC119" s="159"/>
      <c r="AD119" s="159"/>
      <c r="AE119" s="159"/>
    </row>
    <row r="120" spans="1:31" ht="18.95" customHeight="1">
      <c r="A120" s="328"/>
      <c r="B120" s="149"/>
      <c r="C120" s="150" t="s">
        <v>44</v>
      </c>
      <c r="D120" s="151"/>
      <c r="E120" s="345">
        <v>0</v>
      </c>
      <c r="F120" s="342"/>
      <c r="G120" s="341"/>
      <c r="H120" s="342"/>
      <c r="I120" s="152">
        <v>0</v>
      </c>
      <c r="J120" s="159">
        <v>0</v>
      </c>
      <c r="K120" s="159">
        <v>0</v>
      </c>
      <c r="L120" s="159">
        <v>0</v>
      </c>
      <c r="M120" s="159">
        <v>0</v>
      </c>
      <c r="N120" s="159">
        <v>0</v>
      </c>
      <c r="O120" s="159">
        <v>0</v>
      </c>
      <c r="P120" s="159">
        <v>0</v>
      </c>
      <c r="Q120" s="159">
        <v>0</v>
      </c>
      <c r="R120" s="160">
        <f>SUM(J120:Q120)</f>
        <v>0</v>
      </c>
      <c r="S120" s="161">
        <f>I120-R120</f>
        <v>0</v>
      </c>
      <c r="T120" s="162">
        <f>G120-I120</f>
        <v>0</v>
      </c>
      <c r="U120" s="163"/>
      <c r="V120" s="164" t="e">
        <f t="shared" si="1"/>
        <v>#DIV/0!</v>
      </c>
      <c r="X120" s="222"/>
      <c r="Y120" s="159"/>
      <c r="Z120" s="159"/>
      <c r="AA120" s="159"/>
      <c r="AB120" s="159"/>
      <c r="AC120" s="159"/>
      <c r="AD120" s="159"/>
      <c r="AE120" s="159"/>
    </row>
    <row r="121" spans="1:31" ht="18.95" customHeight="1">
      <c r="A121" s="329" t="s">
        <v>112</v>
      </c>
      <c r="B121" s="153" t="s">
        <v>60</v>
      </c>
      <c r="C121" s="154" t="s">
        <v>113</v>
      </c>
      <c r="D121" s="155">
        <v>17870</v>
      </c>
      <c r="E121" s="346">
        <v>0</v>
      </c>
      <c r="F121" s="344"/>
      <c r="G121" s="343"/>
      <c r="H121" s="344"/>
      <c r="I121" s="156">
        <v>300000</v>
      </c>
      <c r="J121" s="133">
        <v>0</v>
      </c>
      <c r="K121" s="133">
        <v>0</v>
      </c>
      <c r="L121" s="133">
        <v>0</v>
      </c>
      <c r="M121" s="133">
        <v>0</v>
      </c>
      <c r="N121" s="133">
        <v>0</v>
      </c>
      <c r="O121" s="133">
        <v>0</v>
      </c>
      <c r="P121" s="133">
        <v>0</v>
      </c>
      <c r="Q121" s="133">
        <v>0</v>
      </c>
      <c r="R121" s="134">
        <f>SUM(J121:Q121)</f>
        <v>0</v>
      </c>
      <c r="S121" s="135">
        <f>I121-R121</f>
        <v>300000</v>
      </c>
      <c r="T121" s="136">
        <f>G121-I121</f>
        <v>-300000</v>
      </c>
      <c r="U121" s="165"/>
      <c r="V121" s="138" t="e">
        <f t="shared" si="1"/>
        <v>#DIV/0!</v>
      </c>
      <c r="X121" s="221"/>
      <c r="Y121" s="133"/>
      <c r="Z121" s="133"/>
      <c r="AA121" s="133"/>
      <c r="AB121" s="133"/>
      <c r="AC121" s="133"/>
      <c r="AD121" s="133"/>
      <c r="AE121" s="133"/>
    </row>
    <row r="122" spans="1:31" ht="18.95" customHeight="1">
      <c r="A122" s="330"/>
      <c r="B122" s="149"/>
      <c r="C122" s="150" t="s">
        <v>113</v>
      </c>
      <c r="D122" s="151"/>
      <c r="E122" s="345">
        <v>306000</v>
      </c>
      <c r="F122" s="342"/>
      <c r="G122" s="341"/>
      <c r="H122" s="342"/>
      <c r="I122" s="152">
        <v>75000</v>
      </c>
      <c r="J122" s="159">
        <v>0</v>
      </c>
      <c r="K122" s="159">
        <v>0</v>
      </c>
      <c r="L122" s="159">
        <v>0</v>
      </c>
      <c r="M122" s="159">
        <v>0</v>
      </c>
      <c r="N122" s="159">
        <v>0</v>
      </c>
      <c r="O122" s="159">
        <v>0</v>
      </c>
      <c r="P122" s="159">
        <v>0</v>
      </c>
      <c r="Q122" s="159">
        <v>0</v>
      </c>
      <c r="R122" s="160">
        <f>SUM(J122:Q122)</f>
        <v>0</v>
      </c>
      <c r="S122" s="161">
        <f>I122-R122</f>
        <v>75000</v>
      </c>
      <c r="T122" s="162">
        <f>G122-I122</f>
        <v>-75000</v>
      </c>
      <c r="U122" s="163"/>
      <c r="V122" s="164" t="e">
        <f t="shared" si="1"/>
        <v>#DIV/0!</v>
      </c>
      <c r="X122" s="222"/>
      <c r="Y122" s="159"/>
      <c r="Z122" s="159"/>
      <c r="AA122" s="159"/>
      <c r="AB122" s="159"/>
      <c r="AC122" s="159"/>
      <c r="AD122" s="159"/>
      <c r="AE122" s="159"/>
    </row>
    <row r="123" spans="1:31" ht="18.95" customHeight="1">
      <c r="A123" s="328"/>
      <c r="B123" s="149"/>
      <c r="C123" s="150" t="s">
        <v>114</v>
      </c>
      <c r="D123" s="151"/>
      <c r="E123" s="345">
        <v>0</v>
      </c>
      <c r="F123" s="342"/>
      <c r="G123" s="341"/>
      <c r="H123" s="342"/>
      <c r="I123" s="152">
        <v>0</v>
      </c>
      <c r="J123" s="159">
        <v>0</v>
      </c>
      <c r="K123" s="159">
        <v>0</v>
      </c>
      <c r="L123" s="159">
        <v>0</v>
      </c>
      <c r="M123" s="159">
        <v>0</v>
      </c>
      <c r="N123" s="159">
        <v>0</v>
      </c>
      <c r="O123" s="159">
        <v>0</v>
      </c>
      <c r="P123" s="159">
        <v>0</v>
      </c>
      <c r="Q123" s="159">
        <v>0</v>
      </c>
      <c r="R123" s="160">
        <f>SUM(J123:Q123)</f>
        <v>0</v>
      </c>
      <c r="S123" s="161">
        <f>I123-R123</f>
        <v>0</v>
      </c>
      <c r="T123" s="162">
        <f>G123-I123</f>
        <v>0</v>
      </c>
      <c r="U123" s="163"/>
      <c r="V123" s="164" t="e">
        <f t="shared" si="1"/>
        <v>#DIV/0!</v>
      </c>
      <c r="X123" s="222"/>
      <c r="Y123" s="159"/>
      <c r="Z123" s="159"/>
      <c r="AA123" s="159"/>
      <c r="AB123" s="159"/>
      <c r="AC123" s="159"/>
      <c r="AD123" s="159"/>
      <c r="AE123" s="159"/>
    </row>
    <row r="124" spans="1:31" ht="18.95" customHeight="1">
      <c r="A124" s="329" t="s">
        <v>115</v>
      </c>
      <c r="B124" s="153" t="s">
        <v>60</v>
      </c>
      <c r="C124" s="154"/>
      <c r="D124" s="155">
        <v>17870</v>
      </c>
      <c r="E124" s="346">
        <v>0</v>
      </c>
      <c r="F124" s="344"/>
      <c r="G124" s="343"/>
      <c r="H124" s="344"/>
      <c r="I124" s="156">
        <v>4200000</v>
      </c>
      <c r="J124" s="133">
        <v>0</v>
      </c>
      <c r="K124" s="133">
        <v>0</v>
      </c>
      <c r="L124" s="133">
        <v>0</v>
      </c>
      <c r="M124" s="133">
        <v>1260000</v>
      </c>
      <c r="N124" s="133">
        <v>0</v>
      </c>
      <c r="O124" s="133">
        <v>0</v>
      </c>
      <c r="P124" s="133">
        <v>0</v>
      </c>
      <c r="Q124" s="133">
        <v>0</v>
      </c>
      <c r="R124" s="134">
        <f>SUM(J124:Q124)</f>
        <v>1260000</v>
      </c>
      <c r="S124" s="135">
        <f>I124-R124</f>
        <v>2940000</v>
      </c>
      <c r="T124" s="136">
        <f>G124-I124</f>
        <v>-4200000</v>
      </c>
      <c r="U124" s="165"/>
      <c r="V124" s="138" t="e">
        <f t="shared" si="1"/>
        <v>#DIV/0!</v>
      </c>
      <c r="X124" s="221"/>
      <c r="Y124" s="133"/>
      <c r="Z124" s="133"/>
      <c r="AA124" s="133"/>
      <c r="AB124" s="133"/>
      <c r="AC124" s="133"/>
      <c r="AD124" s="133"/>
      <c r="AE124" s="133"/>
    </row>
    <row r="125" spans="1:31" ht="18.95" customHeight="1">
      <c r="A125" s="330"/>
      <c r="B125" s="149" t="s">
        <v>60</v>
      </c>
      <c r="C125" s="150"/>
      <c r="D125" s="151">
        <v>17870</v>
      </c>
      <c r="E125" s="345">
        <v>0</v>
      </c>
      <c r="F125" s="342"/>
      <c r="G125" s="341"/>
      <c r="H125" s="342"/>
      <c r="I125" s="152">
        <v>4200000</v>
      </c>
      <c r="J125" s="159">
        <v>0</v>
      </c>
      <c r="K125" s="159">
        <v>0</v>
      </c>
      <c r="L125" s="159">
        <v>0</v>
      </c>
      <c r="M125" s="159">
        <v>0</v>
      </c>
      <c r="N125" s="159">
        <v>630000</v>
      </c>
      <c r="O125" s="159">
        <v>0</v>
      </c>
      <c r="P125" s="159">
        <v>0</v>
      </c>
      <c r="Q125" s="159">
        <v>0</v>
      </c>
      <c r="R125" s="160">
        <f>SUM(J125:Q125)</f>
        <v>630000</v>
      </c>
      <c r="S125" s="161">
        <f>I125-R125</f>
        <v>3570000</v>
      </c>
      <c r="T125" s="162">
        <f>G125-I125</f>
        <v>-4200000</v>
      </c>
      <c r="U125" s="163"/>
      <c r="V125" s="164" t="e">
        <f t="shared" si="1"/>
        <v>#DIV/0!</v>
      </c>
      <c r="X125" s="222"/>
      <c r="Y125" s="159"/>
      <c r="Z125" s="159"/>
      <c r="AA125" s="159"/>
      <c r="AB125" s="159"/>
      <c r="AC125" s="159"/>
      <c r="AD125" s="159"/>
      <c r="AE125" s="159"/>
    </row>
    <row r="126" spans="1:31" ht="18.95" customHeight="1">
      <c r="A126" s="330"/>
      <c r="B126" s="149" t="s">
        <v>60</v>
      </c>
      <c r="C126" s="150"/>
      <c r="D126" s="151">
        <v>17870</v>
      </c>
      <c r="E126" s="345">
        <v>0</v>
      </c>
      <c r="F126" s="342"/>
      <c r="G126" s="341"/>
      <c r="H126" s="342"/>
      <c r="I126" s="152">
        <v>4200000</v>
      </c>
      <c r="J126" s="159">
        <v>0</v>
      </c>
      <c r="K126" s="159">
        <v>0</v>
      </c>
      <c r="L126" s="159">
        <v>0</v>
      </c>
      <c r="M126" s="159">
        <v>0</v>
      </c>
      <c r="N126" s="159">
        <v>0</v>
      </c>
      <c r="O126" s="159">
        <v>40540</v>
      </c>
      <c r="P126" s="159">
        <v>0</v>
      </c>
      <c r="Q126" s="159">
        <v>0</v>
      </c>
      <c r="R126" s="160">
        <f>SUM(J126:Q126)</f>
        <v>40540</v>
      </c>
      <c r="S126" s="161">
        <f>I126-R126</f>
        <v>4159460</v>
      </c>
      <c r="T126" s="162">
        <f>G126-I126</f>
        <v>-4200000</v>
      </c>
      <c r="U126" s="163"/>
      <c r="V126" s="164" t="e">
        <f t="shared" si="1"/>
        <v>#DIV/0!</v>
      </c>
      <c r="X126" s="222"/>
      <c r="Y126" s="159"/>
      <c r="Z126" s="159"/>
      <c r="AA126" s="159"/>
      <c r="AB126" s="159"/>
      <c r="AC126" s="159"/>
      <c r="AD126" s="159"/>
      <c r="AE126" s="159"/>
    </row>
    <row r="127" spans="1:31" ht="18.95" customHeight="1">
      <c r="A127" s="330"/>
      <c r="B127" s="149" t="s">
        <v>60</v>
      </c>
      <c r="C127" s="150"/>
      <c r="D127" s="151">
        <v>17870</v>
      </c>
      <c r="E127" s="345">
        <v>0</v>
      </c>
      <c r="F127" s="342"/>
      <c r="G127" s="341"/>
      <c r="H127" s="342"/>
      <c r="I127" s="152">
        <v>4200000</v>
      </c>
      <c r="J127" s="159">
        <v>0</v>
      </c>
      <c r="K127" s="159">
        <v>0</v>
      </c>
      <c r="L127" s="159">
        <v>0</v>
      </c>
      <c r="M127" s="159">
        <v>0</v>
      </c>
      <c r="N127" s="159">
        <v>0</v>
      </c>
      <c r="O127" s="159">
        <v>1260000</v>
      </c>
      <c r="P127" s="159">
        <v>0</v>
      </c>
      <c r="Q127" s="159">
        <v>0</v>
      </c>
      <c r="R127" s="160">
        <f>SUM(J127:Q127)</f>
        <v>1260000</v>
      </c>
      <c r="S127" s="161">
        <f>I127-R127</f>
        <v>2940000</v>
      </c>
      <c r="T127" s="162">
        <f>G127-I127</f>
        <v>-4200000</v>
      </c>
      <c r="U127" s="163"/>
      <c r="V127" s="164" t="e">
        <f t="shared" si="1"/>
        <v>#DIV/0!</v>
      </c>
      <c r="X127" s="222"/>
      <c r="Y127" s="159"/>
      <c r="Z127" s="159"/>
      <c r="AA127" s="159"/>
      <c r="AB127" s="159"/>
      <c r="AC127" s="159"/>
      <c r="AD127" s="159"/>
      <c r="AE127" s="159"/>
    </row>
    <row r="128" spans="1:31" ht="18.95" customHeight="1">
      <c r="A128" s="330"/>
      <c r="B128" s="149" t="s">
        <v>60</v>
      </c>
      <c r="C128" s="150"/>
      <c r="D128" s="151">
        <v>18346</v>
      </c>
      <c r="E128" s="345">
        <v>0</v>
      </c>
      <c r="F128" s="342"/>
      <c r="G128" s="341"/>
      <c r="H128" s="342"/>
      <c r="I128" s="152">
        <v>40540</v>
      </c>
      <c r="J128" s="159">
        <v>0</v>
      </c>
      <c r="K128" s="159">
        <v>0</v>
      </c>
      <c r="L128" s="159">
        <v>0</v>
      </c>
      <c r="M128" s="159">
        <v>0</v>
      </c>
      <c r="N128" s="159">
        <v>0</v>
      </c>
      <c r="O128" s="159">
        <v>40540</v>
      </c>
      <c r="P128" s="159">
        <v>0</v>
      </c>
      <c r="Q128" s="159">
        <v>0</v>
      </c>
      <c r="R128" s="160">
        <f>SUM(J128:Q128)</f>
        <v>40540</v>
      </c>
      <c r="S128" s="161">
        <f>I128-R128</f>
        <v>0</v>
      </c>
      <c r="T128" s="162">
        <f>G128-I128</f>
        <v>-40540</v>
      </c>
      <c r="U128" s="163"/>
      <c r="V128" s="164" t="e">
        <f t="shared" si="1"/>
        <v>#DIV/0!</v>
      </c>
      <c r="X128" s="222"/>
      <c r="Y128" s="159"/>
      <c r="Z128" s="159"/>
      <c r="AA128" s="159"/>
      <c r="AB128" s="159"/>
      <c r="AC128" s="159"/>
      <c r="AD128" s="159"/>
      <c r="AE128" s="159"/>
    </row>
    <row r="129" spans="1:31" ht="18.95" customHeight="1">
      <c r="A129" s="330"/>
      <c r="B129" s="149" t="s">
        <v>60</v>
      </c>
      <c r="C129" s="150"/>
      <c r="D129" s="151">
        <v>18346</v>
      </c>
      <c r="E129" s="345">
        <v>0</v>
      </c>
      <c r="F129" s="342"/>
      <c r="G129" s="341"/>
      <c r="H129" s="342"/>
      <c r="I129" s="152">
        <v>40540</v>
      </c>
      <c r="J129" s="159">
        <v>0</v>
      </c>
      <c r="K129" s="159">
        <v>0</v>
      </c>
      <c r="L129" s="159">
        <v>0</v>
      </c>
      <c r="M129" s="159">
        <v>0</v>
      </c>
      <c r="N129" s="159">
        <v>630000</v>
      </c>
      <c r="O129" s="159">
        <v>0</v>
      </c>
      <c r="P129" s="159">
        <v>0</v>
      </c>
      <c r="Q129" s="159">
        <v>0</v>
      </c>
      <c r="R129" s="160">
        <f>SUM(J129:Q129)</f>
        <v>630000</v>
      </c>
      <c r="S129" s="161">
        <f>I129-R129</f>
        <v>-589460</v>
      </c>
      <c r="T129" s="162">
        <f>G129-I129</f>
        <v>-40540</v>
      </c>
      <c r="U129" s="163"/>
      <c r="V129" s="164" t="e">
        <f t="shared" si="1"/>
        <v>#DIV/0!</v>
      </c>
      <c r="X129" s="222"/>
      <c r="Y129" s="159"/>
      <c r="Z129" s="159"/>
      <c r="AA129" s="159"/>
      <c r="AB129" s="159"/>
      <c r="AC129" s="159"/>
      <c r="AD129" s="159"/>
      <c r="AE129" s="159"/>
    </row>
    <row r="130" spans="1:31" ht="18.95" customHeight="1">
      <c r="A130" s="330"/>
      <c r="B130" s="149" t="s">
        <v>60</v>
      </c>
      <c r="C130" s="150"/>
      <c r="D130" s="151">
        <v>18346</v>
      </c>
      <c r="E130" s="345">
        <v>0</v>
      </c>
      <c r="F130" s="342"/>
      <c r="G130" s="341"/>
      <c r="H130" s="342"/>
      <c r="I130" s="152">
        <v>40540</v>
      </c>
      <c r="J130" s="159">
        <v>0</v>
      </c>
      <c r="K130" s="159">
        <v>0</v>
      </c>
      <c r="L130" s="159">
        <v>0</v>
      </c>
      <c r="M130" s="159">
        <v>0</v>
      </c>
      <c r="N130" s="159">
        <v>0</v>
      </c>
      <c r="O130" s="159">
        <v>1260000</v>
      </c>
      <c r="P130" s="159">
        <v>0</v>
      </c>
      <c r="Q130" s="159">
        <v>0</v>
      </c>
      <c r="R130" s="160">
        <f>SUM(J130:Q130)</f>
        <v>1260000</v>
      </c>
      <c r="S130" s="161">
        <f>I130-R130</f>
        <v>-1219460</v>
      </c>
      <c r="T130" s="162">
        <f>G130-I130</f>
        <v>-40540</v>
      </c>
      <c r="U130" s="163"/>
      <c r="V130" s="164" t="e">
        <f t="shared" si="1"/>
        <v>#DIV/0!</v>
      </c>
      <c r="X130" s="222"/>
      <c r="Y130" s="159"/>
      <c r="Z130" s="159"/>
      <c r="AA130" s="159"/>
      <c r="AB130" s="159"/>
      <c r="AC130" s="159"/>
      <c r="AD130" s="159"/>
      <c r="AE130" s="159"/>
    </row>
    <row r="131" spans="1:31" ht="18.95" customHeight="1">
      <c r="A131" s="330"/>
      <c r="B131" s="149" t="s">
        <v>60</v>
      </c>
      <c r="C131" s="150"/>
      <c r="D131" s="151">
        <v>18346</v>
      </c>
      <c r="E131" s="345">
        <v>0</v>
      </c>
      <c r="F131" s="342"/>
      <c r="G131" s="341"/>
      <c r="H131" s="342"/>
      <c r="I131" s="152">
        <v>40540</v>
      </c>
      <c r="J131" s="159">
        <v>0</v>
      </c>
      <c r="K131" s="159">
        <v>0</v>
      </c>
      <c r="L131" s="159">
        <v>0</v>
      </c>
      <c r="M131" s="159">
        <v>1260000</v>
      </c>
      <c r="N131" s="159">
        <v>0</v>
      </c>
      <c r="O131" s="159">
        <v>0</v>
      </c>
      <c r="P131" s="159">
        <v>0</v>
      </c>
      <c r="Q131" s="159">
        <v>0</v>
      </c>
      <c r="R131" s="160">
        <f>SUM(J131:Q131)</f>
        <v>1260000</v>
      </c>
      <c r="S131" s="161">
        <f>I131-R131</f>
        <v>-1219460</v>
      </c>
      <c r="T131" s="162">
        <f>G131-I131</f>
        <v>-40540</v>
      </c>
      <c r="U131" s="163"/>
      <c r="V131" s="164" t="e">
        <f t="shared" si="1"/>
        <v>#DIV/0!</v>
      </c>
      <c r="X131" s="222"/>
      <c r="Y131" s="159"/>
      <c r="Z131" s="159"/>
      <c r="AA131" s="159"/>
      <c r="AB131" s="159"/>
      <c r="AC131" s="159"/>
      <c r="AD131" s="159"/>
      <c r="AE131" s="159"/>
    </row>
    <row r="132" spans="1:31" ht="18.95" customHeight="1">
      <c r="A132" s="330"/>
      <c r="B132" s="149"/>
      <c r="C132" s="150"/>
      <c r="D132" s="151"/>
      <c r="E132" s="345">
        <v>350000</v>
      </c>
      <c r="F132" s="342"/>
      <c r="G132" s="341"/>
      <c r="H132" s="342"/>
      <c r="I132" s="152">
        <v>350000</v>
      </c>
      <c r="J132" s="159">
        <v>0</v>
      </c>
      <c r="K132" s="159">
        <v>0</v>
      </c>
      <c r="L132" s="159">
        <v>0</v>
      </c>
      <c r="M132" s="159">
        <v>0</v>
      </c>
      <c r="N132" s="159">
        <v>0</v>
      </c>
      <c r="O132" s="159">
        <v>0</v>
      </c>
      <c r="P132" s="159">
        <v>0</v>
      </c>
      <c r="Q132" s="159">
        <v>0</v>
      </c>
      <c r="R132" s="160">
        <f>SUM(J132:Q132)</f>
        <v>0</v>
      </c>
      <c r="S132" s="161">
        <f>I132-R132</f>
        <v>350000</v>
      </c>
      <c r="T132" s="162">
        <f>G132-I132</f>
        <v>-350000</v>
      </c>
      <c r="U132" s="163"/>
      <c r="V132" s="164" t="e">
        <f t="shared" si="1"/>
        <v>#DIV/0!</v>
      </c>
      <c r="X132" s="222"/>
      <c r="Y132" s="159"/>
      <c r="Z132" s="159"/>
      <c r="AA132" s="159"/>
      <c r="AB132" s="159"/>
      <c r="AC132" s="159"/>
      <c r="AD132" s="159"/>
      <c r="AE132" s="159"/>
    </row>
    <row r="133" spans="1:31" ht="18.95" customHeight="1" thickBot="1">
      <c r="A133" s="331"/>
      <c r="B133" s="177"/>
      <c r="C133" s="178"/>
      <c r="D133" s="179"/>
      <c r="E133" s="336">
        <v>0</v>
      </c>
      <c r="F133" s="337"/>
      <c r="G133" s="338"/>
      <c r="H133" s="337"/>
      <c r="I133" s="180">
        <v>0</v>
      </c>
      <c r="J133" s="181">
        <v>0</v>
      </c>
      <c r="K133" s="181">
        <v>0</v>
      </c>
      <c r="L133" s="181">
        <v>0</v>
      </c>
      <c r="M133" s="181">
        <v>0</v>
      </c>
      <c r="N133" s="181">
        <v>0</v>
      </c>
      <c r="O133" s="181">
        <v>0</v>
      </c>
      <c r="P133" s="181">
        <v>0</v>
      </c>
      <c r="Q133" s="181">
        <v>0</v>
      </c>
      <c r="R133" s="182">
        <f>SUM(J133:Q133)</f>
        <v>0</v>
      </c>
      <c r="S133" s="183">
        <f>I133-R133</f>
        <v>0</v>
      </c>
      <c r="T133" s="184">
        <f>G133-I133</f>
        <v>0</v>
      </c>
      <c r="U133" s="185"/>
      <c r="V133" s="186" t="e">
        <f t="shared" si="1"/>
        <v>#DIV/0!</v>
      </c>
      <c r="X133" s="219"/>
      <c r="Y133" s="181"/>
      <c r="Z133" s="181"/>
      <c r="AA133" s="181"/>
      <c r="AB133" s="181"/>
      <c r="AC133" s="181"/>
      <c r="AD133" s="181"/>
      <c r="AE133" s="181"/>
    </row>
    <row r="134" spans="1:31" ht="18.95" customHeight="1" thickTop="1" thickBot="1">
      <c r="A134" s="31"/>
      <c r="B134" s="32" t="s">
        <v>13</v>
      </c>
      <c r="C134" s="33"/>
      <c r="D134" s="33"/>
      <c r="E134" s="303">
        <f>SUM(E9:F133)</f>
        <v>200598770</v>
      </c>
      <c r="F134" s="304"/>
      <c r="G134" s="305">
        <f>SUM(G9:H133)</f>
        <v>0</v>
      </c>
      <c r="H134" s="304"/>
      <c r="I134" s="34">
        <f>SUM(I9:I133)</f>
        <v>144347629</v>
      </c>
      <c r="J134" s="35"/>
      <c r="K134" s="35"/>
      <c r="L134" s="35"/>
      <c r="M134" s="35"/>
      <c r="N134" s="35"/>
      <c r="O134" s="35"/>
      <c r="P134" s="35"/>
      <c r="Q134" s="35"/>
      <c r="R134" s="37">
        <f>SUM(R9:R133)</f>
        <v>62421713</v>
      </c>
      <c r="S134" s="37">
        <f>SUM(S9:S133)</f>
        <v>81925916</v>
      </c>
      <c r="T134" s="38">
        <f>SUM(T9:T133)</f>
        <v>-144347629</v>
      </c>
      <c r="U134" s="39">
        <f>SUM(U9:U133)</f>
        <v>0</v>
      </c>
      <c r="V134" s="40"/>
    </row>
    <row r="135" spans="1:31" ht="15" customHeight="1" thickTop="1" thickBot="1">
      <c r="A135" s="306"/>
      <c r="B135" s="307"/>
      <c r="C135" s="307"/>
      <c r="D135" s="307"/>
      <c r="E135" s="308"/>
      <c r="F135" s="308"/>
      <c r="G135" s="308"/>
      <c r="H135" s="308"/>
      <c r="I135" s="308"/>
      <c r="J135" s="307"/>
      <c r="K135" s="307"/>
      <c r="L135" s="307"/>
      <c r="M135" s="307"/>
      <c r="N135" s="307"/>
      <c r="O135" s="307"/>
      <c r="P135" s="307"/>
      <c r="Q135" s="307"/>
      <c r="R135" s="307"/>
      <c r="S135" s="307"/>
      <c r="T135" s="307"/>
      <c r="U135" s="308"/>
      <c r="V135" s="309"/>
    </row>
    <row r="136" spans="1:31" ht="18.95" customHeight="1" thickBot="1">
      <c r="A136" s="41"/>
      <c r="B136" s="42" t="s">
        <v>14</v>
      </c>
      <c r="C136" s="42"/>
      <c r="D136" s="43"/>
      <c r="E136" s="310" t="s">
        <v>35</v>
      </c>
      <c r="F136" s="311"/>
      <c r="G136" s="310" t="s">
        <v>15</v>
      </c>
      <c r="H136" s="311"/>
      <c r="I136" s="44" t="s">
        <v>16</v>
      </c>
      <c r="J136" s="45"/>
      <c r="K136" s="45"/>
      <c r="L136" s="45"/>
      <c r="M136" s="45"/>
      <c r="N136" s="45"/>
      <c r="O136" s="45"/>
      <c r="P136" s="45"/>
      <c r="Q136" s="45"/>
      <c r="R136" s="45"/>
      <c r="S136" s="46"/>
      <c r="T136" s="47"/>
      <c r="U136" s="47"/>
      <c r="V136" s="48"/>
    </row>
    <row r="137" spans="1:31" ht="18.95" customHeight="1">
      <c r="A137" s="332" t="s">
        <v>102</v>
      </c>
      <c r="B137" s="199"/>
      <c r="C137" s="189" t="s">
        <v>103</v>
      </c>
      <c r="D137" s="190"/>
      <c r="E137" s="339">
        <v>110900</v>
      </c>
      <c r="F137" s="340"/>
      <c r="G137" s="339"/>
      <c r="H137" s="340"/>
      <c r="I137" s="191">
        <v>0</v>
      </c>
      <c r="J137" s="192">
        <v>0</v>
      </c>
      <c r="K137" s="192">
        <v>0</v>
      </c>
      <c r="L137" s="192">
        <v>0</v>
      </c>
      <c r="M137" s="192">
        <v>0</v>
      </c>
      <c r="N137" s="192">
        <v>0</v>
      </c>
      <c r="O137" s="192">
        <v>0</v>
      </c>
      <c r="P137" s="201">
        <v>0</v>
      </c>
      <c r="Q137" s="206">
        <v>0</v>
      </c>
      <c r="R137" s="187">
        <f>SUM(J137:Q137)</f>
        <v>0</v>
      </c>
      <c r="S137" s="135">
        <f>I137-R137</f>
        <v>0</v>
      </c>
      <c r="T137" s="136">
        <f>G137-I137</f>
        <v>0</v>
      </c>
      <c r="U137" s="129"/>
      <c r="V137" s="168" t="e">
        <f t="shared" ref="V137:V157" si="2">R137/U137</f>
        <v>#DIV/0!</v>
      </c>
      <c r="X137" s="383"/>
      <c r="Y137" s="192"/>
      <c r="Z137" s="192"/>
      <c r="AA137" s="192"/>
      <c r="AB137" s="192"/>
      <c r="AC137" s="192"/>
      <c r="AD137" s="201"/>
      <c r="AE137" s="206"/>
    </row>
    <row r="138" spans="1:31" ht="18.95" customHeight="1">
      <c r="A138" s="379"/>
      <c r="B138" s="149"/>
      <c r="C138" s="150" t="s">
        <v>104</v>
      </c>
      <c r="D138" s="151"/>
      <c r="E138" s="341">
        <v>0</v>
      </c>
      <c r="F138" s="342"/>
      <c r="G138" s="341"/>
      <c r="H138" s="342"/>
      <c r="I138" s="171">
        <v>0</v>
      </c>
      <c r="J138" s="159">
        <v>0</v>
      </c>
      <c r="K138" s="159">
        <v>0</v>
      </c>
      <c r="L138" s="159">
        <v>0</v>
      </c>
      <c r="M138" s="159">
        <v>0</v>
      </c>
      <c r="N138" s="159">
        <v>0</v>
      </c>
      <c r="O138" s="159">
        <v>0</v>
      </c>
      <c r="P138" s="202">
        <v>0</v>
      </c>
      <c r="Q138" s="207">
        <v>0</v>
      </c>
      <c r="R138" s="160">
        <f>SUM(J138:Q138)</f>
        <v>0</v>
      </c>
      <c r="S138" s="161">
        <f>I138-R138</f>
        <v>0</v>
      </c>
      <c r="T138" s="162">
        <f>G138-I138</f>
        <v>0</v>
      </c>
      <c r="U138" s="172"/>
      <c r="V138" s="173" t="e">
        <f t="shared" si="2"/>
        <v>#DIV/0!</v>
      </c>
      <c r="X138" s="384"/>
      <c r="Y138" s="159"/>
      <c r="Z138" s="159"/>
      <c r="AA138" s="159"/>
      <c r="AB138" s="159"/>
      <c r="AC138" s="159"/>
      <c r="AD138" s="202"/>
      <c r="AE138" s="207"/>
    </row>
    <row r="139" spans="1:31" ht="18.95" customHeight="1">
      <c r="A139" s="379"/>
      <c r="B139" s="149"/>
      <c r="C139" s="150" t="s">
        <v>105</v>
      </c>
      <c r="D139" s="151"/>
      <c r="E139" s="341">
        <v>0</v>
      </c>
      <c r="F139" s="342"/>
      <c r="G139" s="341"/>
      <c r="H139" s="342"/>
      <c r="I139" s="171">
        <v>0</v>
      </c>
      <c r="J139" s="159">
        <v>0</v>
      </c>
      <c r="K139" s="159">
        <v>0</v>
      </c>
      <c r="L139" s="159">
        <v>0</v>
      </c>
      <c r="M139" s="159">
        <v>0</v>
      </c>
      <c r="N139" s="159">
        <v>0</v>
      </c>
      <c r="O139" s="159">
        <v>0</v>
      </c>
      <c r="P139" s="202">
        <v>0</v>
      </c>
      <c r="Q139" s="207">
        <v>0</v>
      </c>
      <c r="R139" s="160">
        <f>SUM(J139:Q139)</f>
        <v>0</v>
      </c>
      <c r="S139" s="161">
        <f>I139-R139</f>
        <v>0</v>
      </c>
      <c r="T139" s="162">
        <f>G139-I139</f>
        <v>0</v>
      </c>
      <c r="U139" s="172"/>
      <c r="V139" s="173" t="e">
        <f t="shared" si="2"/>
        <v>#DIV/0!</v>
      </c>
      <c r="X139" s="384"/>
      <c r="Y139" s="159"/>
      <c r="Z139" s="159"/>
      <c r="AA139" s="159"/>
      <c r="AB139" s="159"/>
      <c r="AC139" s="159"/>
      <c r="AD139" s="202"/>
      <c r="AE139" s="207"/>
    </row>
    <row r="140" spans="1:31" ht="18.95" customHeight="1">
      <c r="A140" s="333"/>
      <c r="B140" s="149"/>
      <c r="C140" s="150" t="s">
        <v>106</v>
      </c>
      <c r="D140" s="151"/>
      <c r="E140" s="341">
        <v>0</v>
      </c>
      <c r="F140" s="342"/>
      <c r="G140" s="341"/>
      <c r="H140" s="342"/>
      <c r="I140" s="171">
        <v>0</v>
      </c>
      <c r="J140" s="159">
        <v>0</v>
      </c>
      <c r="K140" s="159">
        <v>0</v>
      </c>
      <c r="L140" s="159">
        <v>0</v>
      </c>
      <c r="M140" s="159">
        <v>0</v>
      </c>
      <c r="N140" s="159">
        <v>0</v>
      </c>
      <c r="O140" s="159">
        <v>0</v>
      </c>
      <c r="P140" s="202">
        <v>0</v>
      </c>
      <c r="Q140" s="207">
        <v>0</v>
      </c>
      <c r="R140" s="160">
        <f>SUM(J140:Q140)</f>
        <v>0</v>
      </c>
      <c r="S140" s="161">
        <f>I140-R140</f>
        <v>0</v>
      </c>
      <c r="T140" s="162">
        <f>G140-I140</f>
        <v>0</v>
      </c>
      <c r="U140" s="172"/>
      <c r="V140" s="173" t="e">
        <f t="shared" si="2"/>
        <v>#DIV/0!</v>
      </c>
      <c r="X140" s="384"/>
      <c r="Y140" s="159"/>
      <c r="Z140" s="159"/>
      <c r="AA140" s="159"/>
      <c r="AB140" s="159"/>
      <c r="AC140" s="159"/>
      <c r="AD140" s="202"/>
      <c r="AE140" s="207"/>
    </row>
    <row r="141" spans="1:31" ht="18.95" customHeight="1">
      <c r="A141" s="334" t="s">
        <v>107</v>
      </c>
      <c r="B141" s="153" t="s">
        <v>60</v>
      </c>
      <c r="C141" s="154" t="s">
        <v>108</v>
      </c>
      <c r="D141" s="155">
        <v>17870</v>
      </c>
      <c r="E141" s="343">
        <v>393650</v>
      </c>
      <c r="F141" s="344"/>
      <c r="G141" s="343"/>
      <c r="H141" s="344"/>
      <c r="I141" s="174">
        <v>391400</v>
      </c>
      <c r="J141" s="133">
        <v>0</v>
      </c>
      <c r="K141" s="133">
        <v>0</v>
      </c>
      <c r="L141" s="133">
        <v>0</v>
      </c>
      <c r="M141" s="133">
        <v>0</v>
      </c>
      <c r="N141" s="133">
        <v>0</v>
      </c>
      <c r="O141" s="133">
        <v>391400</v>
      </c>
      <c r="P141" s="203">
        <v>0</v>
      </c>
      <c r="Q141" s="209">
        <v>0</v>
      </c>
      <c r="R141" s="134">
        <f>SUM(J141:Q141)</f>
        <v>391400</v>
      </c>
      <c r="S141" s="135">
        <f>I141-R141</f>
        <v>0</v>
      </c>
      <c r="T141" s="136">
        <f>G141-I141</f>
        <v>-391400</v>
      </c>
      <c r="U141" s="175"/>
      <c r="V141" s="176" t="e">
        <f t="shared" si="2"/>
        <v>#DIV/0!</v>
      </c>
      <c r="X141" s="385"/>
      <c r="Y141" s="133"/>
      <c r="Z141" s="133"/>
      <c r="AA141" s="133"/>
      <c r="AB141" s="133"/>
      <c r="AC141" s="133"/>
      <c r="AD141" s="203"/>
      <c r="AE141" s="209"/>
    </row>
    <row r="142" spans="1:31" ht="18.95" customHeight="1">
      <c r="A142" s="379"/>
      <c r="B142" s="149"/>
      <c r="C142" s="150" t="s">
        <v>108</v>
      </c>
      <c r="D142" s="151"/>
      <c r="E142" s="341">
        <v>0</v>
      </c>
      <c r="F142" s="342"/>
      <c r="G142" s="341"/>
      <c r="H142" s="342"/>
      <c r="I142" s="171">
        <v>0</v>
      </c>
      <c r="J142" s="159">
        <v>0</v>
      </c>
      <c r="K142" s="159">
        <v>0</v>
      </c>
      <c r="L142" s="159">
        <v>0</v>
      </c>
      <c r="M142" s="159">
        <v>0</v>
      </c>
      <c r="N142" s="159">
        <v>0</v>
      </c>
      <c r="O142" s="159">
        <v>0</v>
      </c>
      <c r="P142" s="202">
        <v>0</v>
      </c>
      <c r="Q142" s="207">
        <v>0</v>
      </c>
      <c r="R142" s="160">
        <f>SUM(J142:Q142)</f>
        <v>0</v>
      </c>
      <c r="S142" s="161">
        <f>I142-R142</f>
        <v>0</v>
      </c>
      <c r="T142" s="162">
        <f>G142-I142</f>
        <v>0</v>
      </c>
      <c r="U142" s="172"/>
      <c r="V142" s="173" t="e">
        <f t="shared" si="2"/>
        <v>#DIV/0!</v>
      </c>
      <c r="X142" s="384"/>
      <c r="Y142" s="159"/>
      <c r="Z142" s="159"/>
      <c r="AA142" s="159"/>
      <c r="AB142" s="159"/>
      <c r="AC142" s="159"/>
      <c r="AD142" s="202"/>
      <c r="AE142" s="207"/>
    </row>
    <row r="143" spans="1:31" ht="18.95" customHeight="1">
      <c r="A143" s="333"/>
      <c r="B143" s="149"/>
      <c r="C143" s="150" t="s">
        <v>109</v>
      </c>
      <c r="D143" s="151"/>
      <c r="E143" s="341">
        <v>0</v>
      </c>
      <c r="F143" s="342"/>
      <c r="G143" s="341"/>
      <c r="H143" s="342"/>
      <c r="I143" s="171">
        <v>0</v>
      </c>
      <c r="J143" s="159">
        <v>0</v>
      </c>
      <c r="K143" s="159">
        <v>0</v>
      </c>
      <c r="L143" s="159">
        <v>0</v>
      </c>
      <c r="M143" s="159">
        <v>0</v>
      </c>
      <c r="N143" s="159">
        <v>0</v>
      </c>
      <c r="O143" s="159">
        <v>0</v>
      </c>
      <c r="P143" s="202">
        <v>0</v>
      </c>
      <c r="Q143" s="207">
        <v>0</v>
      </c>
      <c r="R143" s="160">
        <f>SUM(J143:Q143)</f>
        <v>0</v>
      </c>
      <c r="S143" s="161">
        <f>I143-R143</f>
        <v>0</v>
      </c>
      <c r="T143" s="162">
        <f>G143-I143</f>
        <v>0</v>
      </c>
      <c r="U143" s="172"/>
      <c r="V143" s="173" t="e">
        <f t="shared" si="2"/>
        <v>#DIV/0!</v>
      </c>
      <c r="X143" s="384"/>
      <c r="Y143" s="159"/>
      <c r="Z143" s="159"/>
      <c r="AA143" s="159"/>
      <c r="AB143" s="159"/>
      <c r="AC143" s="159"/>
      <c r="AD143" s="202"/>
      <c r="AE143" s="207"/>
    </row>
    <row r="144" spans="1:31" ht="18.95" customHeight="1">
      <c r="A144" s="334" t="s">
        <v>51</v>
      </c>
      <c r="B144" s="153" t="s">
        <v>60</v>
      </c>
      <c r="C144" s="154" t="s">
        <v>43</v>
      </c>
      <c r="D144" s="155">
        <v>17870</v>
      </c>
      <c r="E144" s="343">
        <v>700500</v>
      </c>
      <c r="F144" s="344"/>
      <c r="G144" s="343"/>
      <c r="H144" s="344"/>
      <c r="I144" s="174">
        <v>760000</v>
      </c>
      <c r="J144" s="133">
        <v>0</v>
      </c>
      <c r="K144" s="133">
        <v>0</v>
      </c>
      <c r="L144" s="133">
        <v>0</v>
      </c>
      <c r="M144" s="133">
        <v>0</v>
      </c>
      <c r="N144" s="133">
        <v>380000</v>
      </c>
      <c r="O144" s="133">
        <v>0</v>
      </c>
      <c r="P144" s="203">
        <v>0</v>
      </c>
      <c r="Q144" s="209">
        <v>0</v>
      </c>
      <c r="R144" s="134">
        <f>SUM(J144:Q144)</f>
        <v>380000</v>
      </c>
      <c r="S144" s="135">
        <f>I144-R144</f>
        <v>380000</v>
      </c>
      <c r="T144" s="136">
        <f>G144-I144</f>
        <v>-760000</v>
      </c>
      <c r="U144" s="175"/>
      <c r="V144" s="176" t="e">
        <f t="shared" si="2"/>
        <v>#DIV/0!</v>
      </c>
      <c r="X144" s="385"/>
      <c r="Y144" s="133"/>
      <c r="Z144" s="133"/>
      <c r="AA144" s="133"/>
      <c r="AB144" s="133"/>
      <c r="AC144" s="133"/>
      <c r="AD144" s="203"/>
      <c r="AE144" s="209"/>
    </row>
    <row r="145" spans="1:31" ht="18.95" customHeight="1">
      <c r="A145" s="379"/>
      <c r="B145" s="149" t="s">
        <v>60</v>
      </c>
      <c r="C145" s="150" t="s">
        <v>43</v>
      </c>
      <c r="D145" s="151"/>
      <c r="E145" s="341">
        <v>0</v>
      </c>
      <c r="F145" s="342"/>
      <c r="G145" s="341">
        <v>0</v>
      </c>
      <c r="H145" s="342"/>
      <c r="I145" s="171">
        <v>0</v>
      </c>
      <c r="J145" s="159">
        <v>0</v>
      </c>
      <c r="K145" s="159">
        <v>0</v>
      </c>
      <c r="L145" s="159">
        <v>0</v>
      </c>
      <c r="M145" s="159">
        <v>0</v>
      </c>
      <c r="N145" s="159">
        <v>-650</v>
      </c>
      <c r="O145" s="159">
        <v>0</v>
      </c>
      <c r="P145" s="202">
        <v>0</v>
      </c>
      <c r="Q145" s="207">
        <v>0</v>
      </c>
      <c r="R145" s="160">
        <f>SUM(J145:Q145)</f>
        <v>-650</v>
      </c>
      <c r="S145" s="161">
        <f>I145-R145</f>
        <v>650</v>
      </c>
      <c r="T145" s="162">
        <f>G145-I145</f>
        <v>0</v>
      </c>
      <c r="U145" s="172"/>
      <c r="V145" s="173" t="e">
        <f t="shared" si="2"/>
        <v>#DIV/0!</v>
      </c>
      <c r="X145" s="384"/>
      <c r="Y145" s="159"/>
      <c r="Z145" s="159"/>
      <c r="AA145" s="159"/>
      <c r="AB145" s="159"/>
      <c r="AC145" s="159"/>
      <c r="AD145" s="202"/>
      <c r="AE145" s="207"/>
    </row>
    <row r="146" spans="1:31" ht="18.95" customHeight="1">
      <c r="A146" s="379"/>
      <c r="B146" s="149" t="s">
        <v>60</v>
      </c>
      <c r="C146" s="150" t="s">
        <v>43</v>
      </c>
      <c r="D146" s="151">
        <v>17870</v>
      </c>
      <c r="E146" s="341">
        <v>700500</v>
      </c>
      <c r="F146" s="342"/>
      <c r="G146" s="341"/>
      <c r="H146" s="342"/>
      <c r="I146" s="171">
        <v>760000</v>
      </c>
      <c r="J146" s="159">
        <v>0</v>
      </c>
      <c r="K146" s="159">
        <v>0</v>
      </c>
      <c r="L146" s="159">
        <v>0</v>
      </c>
      <c r="M146" s="159">
        <v>0</v>
      </c>
      <c r="N146" s="159">
        <v>0</v>
      </c>
      <c r="O146" s="159">
        <v>304000</v>
      </c>
      <c r="P146" s="202">
        <v>0</v>
      </c>
      <c r="Q146" s="207">
        <v>0</v>
      </c>
      <c r="R146" s="160">
        <f>SUM(J146:Q146)</f>
        <v>304000</v>
      </c>
      <c r="S146" s="161">
        <f>I146-R146</f>
        <v>456000</v>
      </c>
      <c r="T146" s="162">
        <f>G146-I146</f>
        <v>-760000</v>
      </c>
      <c r="U146" s="172"/>
      <c r="V146" s="173" t="e">
        <f t="shared" si="2"/>
        <v>#DIV/0!</v>
      </c>
      <c r="X146" s="384"/>
      <c r="Y146" s="159"/>
      <c r="Z146" s="159"/>
      <c r="AA146" s="159"/>
      <c r="AB146" s="159"/>
      <c r="AC146" s="159"/>
      <c r="AD146" s="202"/>
      <c r="AE146" s="207"/>
    </row>
    <row r="147" spans="1:31" ht="18.95" customHeight="1">
      <c r="A147" s="379"/>
      <c r="B147" s="149" t="s">
        <v>60</v>
      </c>
      <c r="C147" s="150" t="s">
        <v>43</v>
      </c>
      <c r="D147" s="151">
        <v>17870</v>
      </c>
      <c r="E147" s="341">
        <v>700500</v>
      </c>
      <c r="F147" s="342"/>
      <c r="G147" s="341"/>
      <c r="H147" s="342"/>
      <c r="I147" s="171">
        <v>760000</v>
      </c>
      <c r="J147" s="159">
        <v>0</v>
      </c>
      <c r="K147" s="159">
        <v>0</v>
      </c>
      <c r="L147" s="159">
        <v>0</v>
      </c>
      <c r="M147" s="159">
        <v>0</v>
      </c>
      <c r="N147" s="159">
        <v>0</v>
      </c>
      <c r="O147" s="159">
        <v>147820</v>
      </c>
      <c r="P147" s="202">
        <v>0</v>
      </c>
      <c r="Q147" s="207">
        <v>0</v>
      </c>
      <c r="R147" s="160">
        <f>SUM(J147:Q147)</f>
        <v>147820</v>
      </c>
      <c r="S147" s="161">
        <f>I147-R147</f>
        <v>612180</v>
      </c>
      <c r="T147" s="162">
        <f>G147-I147</f>
        <v>-760000</v>
      </c>
      <c r="U147" s="172"/>
      <c r="V147" s="173" t="e">
        <f t="shared" si="2"/>
        <v>#DIV/0!</v>
      </c>
      <c r="X147" s="384"/>
      <c r="Y147" s="159"/>
      <c r="Z147" s="159"/>
      <c r="AA147" s="159"/>
      <c r="AB147" s="159"/>
      <c r="AC147" s="159"/>
      <c r="AD147" s="202"/>
      <c r="AE147" s="207"/>
    </row>
    <row r="148" spans="1:31" ht="18.95" customHeight="1">
      <c r="A148" s="379"/>
      <c r="B148" s="149" t="s">
        <v>60</v>
      </c>
      <c r="C148" s="150" t="s">
        <v>43</v>
      </c>
      <c r="D148" s="151"/>
      <c r="E148" s="341">
        <v>0</v>
      </c>
      <c r="F148" s="342"/>
      <c r="G148" s="341">
        <v>0</v>
      </c>
      <c r="H148" s="342"/>
      <c r="I148" s="171">
        <v>0</v>
      </c>
      <c r="J148" s="159">
        <v>0</v>
      </c>
      <c r="K148" s="159">
        <v>0</v>
      </c>
      <c r="L148" s="159">
        <v>0</v>
      </c>
      <c r="M148" s="159">
        <v>0</v>
      </c>
      <c r="N148" s="159">
        <v>0</v>
      </c>
      <c r="O148" s="159">
        <v>215140</v>
      </c>
      <c r="P148" s="202">
        <v>0</v>
      </c>
      <c r="Q148" s="207">
        <v>0</v>
      </c>
      <c r="R148" s="160">
        <f>SUM(J148:Q148)</f>
        <v>215140</v>
      </c>
      <c r="S148" s="161">
        <f>I148-R148</f>
        <v>-215140</v>
      </c>
      <c r="T148" s="162">
        <f>G148-I148</f>
        <v>0</v>
      </c>
      <c r="U148" s="172"/>
      <c r="V148" s="173" t="e">
        <f t="shared" si="2"/>
        <v>#DIV/0!</v>
      </c>
      <c r="X148" s="384"/>
      <c r="Y148" s="159"/>
      <c r="Z148" s="159"/>
      <c r="AA148" s="159"/>
      <c r="AB148" s="159"/>
      <c r="AC148" s="159"/>
      <c r="AD148" s="202"/>
      <c r="AE148" s="207"/>
    </row>
    <row r="149" spans="1:31" ht="18.95" customHeight="1">
      <c r="A149" s="379"/>
      <c r="B149" s="149" t="s">
        <v>60</v>
      </c>
      <c r="C149" s="150" t="s">
        <v>43</v>
      </c>
      <c r="D149" s="151">
        <v>18346</v>
      </c>
      <c r="E149" s="341">
        <v>700500</v>
      </c>
      <c r="F149" s="342"/>
      <c r="G149" s="341"/>
      <c r="H149" s="342"/>
      <c r="I149" s="171">
        <v>147820</v>
      </c>
      <c r="J149" s="159">
        <v>0</v>
      </c>
      <c r="K149" s="159">
        <v>0</v>
      </c>
      <c r="L149" s="159">
        <v>0</v>
      </c>
      <c r="M149" s="159">
        <v>0</v>
      </c>
      <c r="N149" s="159">
        <v>0</v>
      </c>
      <c r="O149" s="159">
        <v>147820</v>
      </c>
      <c r="P149" s="202">
        <v>0</v>
      </c>
      <c r="Q149" s="207">
        <v>0</v>
      </c>
      <c r="R149" s="160">
        <f>SUM(J149:Q149)</f>
        <v>147820</v>
      </c>
      <c r="S149" s="161">
        <f>I149-R149</f>
        <v>0</v>
      </c>
      <c r="T149" s="162">
        <f>G149-I149</f>
        <v>-147820</v>
      </c>
      <c r="U149" s="172"/>
      <c r="V149" s="173" t="e">
        <f t="shared" si="2"/>
        <v>#DIV/0!</v>
      </c>
      <c r="X149" s="384"/>
      <c r="Y149" s="159"/>
      <c r="Z149" s="159"/>
      <c r="AA149" s="159"/>
      <c r="AB149" s="159"/>
      <c r="AC149" s="159"/>
      <c r="AD149" s="202"/>
      <c r="AE149" s="207"/>
    </row>
    <row r="150" spans="1:31" ht="18.95" customHeight="1">
      <c r="A150" s="379"/>
      <c r="B150" s="149" t="s">
        <v>60</v>
      </c>
      <c r="C150" s="150" t="s">
        <v>43</v>
      </c>
      <c r="D150" s="151"/>
      <c r="E150" s="341">
        <v>0</v>
      </c>
      <c r="F150" s="342"/>
      <c r="G150" s="341">
        <v>0</v>
      </c>
      <c r="H150" s="342"/>
      <c r="I150" s="171">
        <v>0</v>
      </c>
      <c r="J150" s="159">
        <v>0</v>
      </c>
      <c r="K150" s="159">
        <v>0</v>
      </c>
      <c r="L150" s="159">
        <v>0</v>
      </c>
      <c r="M150" s="159">
        <v>0</v>
      </c>
      <c r="N150" s="159">
        <v>0</v>
      </c>
      <c r="O150" s="159">
        <v>215140</v>
      </c>
      <c r="P150" s="202">
        <v>0</v>
      </c>
      <c r="Q150" s="207">
        <v>0</v>
      </c>
      <c r="R150" s="160">
        <f>SUM(J150:Q150)</f>
        <v>215140</v>
      </c>
      <c r="S150" s="161">
        <f>I150-R150</f>
        <v>-215140</v>
      </c>
      <c r="T150" s="162">
        <f>G150-I150</f>
        <v>0</v>
      </c>
      <c r="U150" s="172"/>
      <c r="V150" s="173" t="e">
        <f t="shared" si="2"/>
        <v>#DIV/0!</v>
      </c>
      <c r="X150" s="384"/>
      <c r="Y150" s="159"/>
      <c r="Z150" s="159"/>
      <c r="AA150" s="159"/>
      <c r="AB150" s="159"/>
      <c r="AC150" s="159"/>
      <c r="AD150" s="202"/>
      <c r="AE150" s="207"/>
    </row>
    <row r="151" spans="1:31" ht="18.95" customHeight="1">
      <c r="A151" s="379"/>
      <c r="B151" s="149" t="s">
        <v>60</v>
      </c>
      <c r="C151" s="150" t="s">
        <v>43</v>
      </c>
      <c r="D151" s="151"/>
      <c r="E151" s="341">
        <v>0</v>
      </c>
      <c r="F151" s="342"/>
      <c r="G151" s="341">
        <v>0</v>
      </c>
      <c r="H151" s="342"/>
      <c r="I151" s="171">
        <v>0</v>
      </c>
      <c r="J151" s="159">
        <v>0</v>
      </c>
      <c r="K151" s="159">
        <v>0</v>
      </c>
      <c r="L151" s="159">
        <v>0</v>
      </c>
      <c r="M151" s="159">
        <v>0</v>
      </c>
      <c r="N151" s="159">
        <v>-650</v>
      </c>
      <c r="O151" s="159">
        <v>0</v>
      </c>
      <c r="P151" s="202">
        <v>0</v>
      </c>
      <c r="Q151" s="207">
        <v>0</v>
      </c>
      <c r="R151" s="160">
        <f>SUM(J151:Q151)</f>
        <v>-650</v>
      </c>
      <c r="S151" s="161">
        <f>I151-R151</f>
        <v>650</v>
      </c>
      <c r="T151" s="162">
        <f>G151-I151</f>
        <v>0</v>
      </c>
      <c r="U151" s="172"/>
      <c r="V151" s="173" t="e">
        <f t="shared" si="2"/>
        <v>#DIV/0!</v>
      </c>
      <c r="X151" s="384"/>
      <c r="Y151" s="159"/>
      <c r="Z151" s="159"/>
      <c r="AA151" s="159"/>
      <c r="AB151" s="159"/>
      <c r="AC151" s="159"/>
      <c r="AD151" s="202"/>
      <c r="AE151" s="207"/>
    </row>
    <row r="152" spans="1:31" ht="18.95" customHeight="1">
      <c r="A152" s="379"/>
      <c r="B152" s="149" t="s">
        <v>60</v>
      </c>
      <c r="C152" s="150" t="s">
        <v>43</v>
      </c>
      <c r="D152" s="151">
        <v>18346</v>
      </c>
      <c r="E152" s="341">
        <v>700500</v>
      </c>
      <c r="F152" s="342"/>
      <c r="G152" s="341"/>
      <c r="H152" s="342"/>
      <c r="I152" s="171">
        <v>147820</v>
      </c>
      <c r="J152" s="159">
        <v>0</v>
      </c>
      <c r="K152" s="159">
        <v>0</v>
      </c>
      <c r="L152" s="159">
        <v>0</v>
      </c>
      <c r="M152" s="159">
        <v>0</v>
      </c>
      <c r="N152" s="159">
        <v>0</v>
      </c>
      <c r="O152" s="159">
        <v>304000</v>
      </c>
      <c r="P152" s="202">
        <v>0</v>
      </c>
      <c r="Q152" s="207">
        <v>0</v>
      </c>
      <c r="R152" s="160">
        <f>SUM(J152:Q152)</f>
        <v>304000</v>
      </c>
      <c r="S152" s="161">
        <f>I152-R152</f>
        <v>-156180</v>
      </c>
      <c r="T152" s="162">
        <f>G152-I152</f>
        <v>-147820</v>
      </c>
      <c r="U152" s="172"/>
      <c r="V152" s="173" t="e">
        <f t="shared" si="2"/>
        <v>#DIV/0!</v>
      </c>
      <c r="X152" s="384"/>
      <c r="Y152" s="159"/>
      <c r="Z152" s="159"/>
      <c r="AA152" s="159"/>
      <c r="AB152" s="159"/>
      <c r="AC152" s="159"/>
      <c r="AD152" s="202"/>
      <c r="AE152" s="207"/>
    </row>
    <row r="153" spans="1:31" ht="18.95" customHeight="1">
      <c r="A153" s="379"/>
      <c r="B153" s="149" t="s">
        <v>60</v>
      </c>
      <c r="C153" s="150" t="s">
        <v>43</v>
      </c>
      <c r="D153" s="151">
        <v>18346</v>
      </c>
      <c r="E153" s="341">
        <v>700500</v>
      </c>
      <c r="F153" s="342"/>
      <c r="G153" s="341"/>
      <c r="H153" s="342"/>
      <c r="I153" s="171">
        <v>147820</v>
      </c>
      <c r="J153" s="159">
        <v>0</v>
      </c>
      <c r="K153" s="159">
        <v>0</v>
      </c>
      <c r="L153" s="159">
        <v>0</v>
      </c>
      <c r="M153" s="159">
        <v>0</v>
      </c>
      <c r="N153" s="159">
        <v>380000</v>
      </c>
      <c r="O153" s="159">
        <v>0</v>
      </c>
      <c r="P153" s="202">
        <v>0</v>
      </c>
      <c r="Q153" s="207">
        <v>0</v>
      </c>
      <c r="R153" s="160">
        <f>SUM(J153:Q153)</f>
        <v>380000</v>
      </c>
      <c r="S153" s="161">
        <f>I153-R153</f>
        <v>-232180</v>
      </c>
      <c r="T153" s="162">
        <f>G153-I153</f>
        <v>-147820</v>
      </c>
      <c r="U153" s="172"/>
      <c r="V153" s="173" t="e">
        <f t="shared" si="2"/>
        <v>#DIV/0!</v>
      </c>
      <c r="X153" s="384"/>
      <c r="Y153" s="159"/>
      <c r="Z153" s="159"/>
      <c r="AA153" s="159"/>
      <c r="AB153" s="159"/>
      <c r="AC153" s="159"/>
      <c r="AD153" s="202"/>
      <c r="AE153" s="207"/>
    </row>
    <row r="154" spans="1:31" ht="18.95" customHeight="1">
      <c r="A154" s="379"/>
      <c r="B154" s="149"/>
      <c r="C154" s="150" t="s">
        <v>110</v>
      </c>
      <c r="D154" s="151"/>
      <c r="E154" s="341">
        <v>0</v>
      </c>
      <c r="F154" s="342"/>
      <c r="G154" s="341"/>
      <c r="H154" s="342"/>
      <c r="I154" s="171">
        <v>0</v>
      </c>
      <c r="J154" s="159">
        <v>0</v>
      </c>
      <c r="K154" s="159">
        <v>0</v>
      </c>
      <c r="L154" s="159">
        <v>0</v>
      </c>
      <c r="M154" s="159">
        <v>0</v>
      </c>
      <c r="N154" s="159">
        <v>0</v>
      </c>
      <c r="O154" s="159">
        <v>0</v>
      </c>
      <c r="P154" s="202">
        <v>0</v>
      </c>
      <c r="Q154" s="207">
        <v>0</v>
      </c>
      <c r="R154" s="160">
        <f>SUM(J154:Q154)</f>
        <v>0</v>
      </c>
      <c r="S154" s="161">
        <f>I154-R154</f>
        <v>0</v>
      </c>
      <c r="T154" s="162">
        <f>G154-I154</f>
        <v>0</v>
      </c>
      <c r="U154" s="172"/>
      <c r="V154" s="173" t="e">
        <f t="shared" si="2"/>
        <v>#DIV/0!</v>
      </c>
      <c r="X154" s="384"/>
      <c r="Y154" s="159"/>
      <c r="Z154" s="159"/>
      <c r="AA154" s="159"/>
      <c r="AB154" s="159"/>
      <c r="AC154" s="159"/>
      <c r="AD154" s="202"/>
      <c r="AE154" s="207"/>
    </row>
    <row r="155" spans="1:31" ht="18.95" customHeight="1">
      <c r="A155" s="379"/>
      <c r="B155" s="149"/>
      <c r="C155" s="150" t="s">
        <v>111</v>
      </c>
      <c r="D155" s="151"/>
      <c r="E155" s="341">
        <v>0</v>
      </c>
      <c r="F155" s="342"/>
      <c r="G155" s="341"/>
      <c r="H155" s="342"/>
      <c r="I155" s="171">
        <v>0</v>
      </c>
      <c r="J155" s="159">
        <v>0</v>
      </c>
      <c r="K155" s="159">
        <v>0</v>
      </c>
      <c r="L155" s="159">
        <v>0</v>
      </c>
      <c r="M155" s="159">
        <v>0</v>
      </c>
      <c r="N155" s="159">
        <v>0</v>
      </c>
      <c r="O155" s="159">
        <v>0</v>
      </c>
      <c r="P155" s="202">
        <v>0</v>
      </c>
      <c r="Q155" s="207">
        <v>0</v>
      </c>
      <c r="R155" s="160">
        <f>SUM(J155:Q155)</f>
        <v>0</v>
      </c>
      <c r="S155" s="161">
        <f>I155-R155</f>
        <v>0</v>
      </c>
      <c r="T155" s="162">
        <f>G155-I155</f>
        <v>0</v>
      </c>
      <c r="U155" s="172"/>
      <c r="V155" s="173" t="e">
        <f t="shared" si="2"/>
        <v>#DIV/0!</v>
      </c>
      <c r="X155" s="384"/>
      <c r="Y155" s="159"/>
      <c r="Z155" s="159"/>
      <c r="AA155" s="159"/>
      <c r="AB155" s="159"/>
      <c r="AC155" s="159"/>
      <c r="AD155" s="202"/>
      <c r="AE155" s="207"/>
    </row>
    <row r="156" spans="1:31" ht="18.95" customHeight="1">
      <c r="A156" s="379"/>
      <c r="B156" s="149"/>
      <c r="C156" s="150" t="s">
        <v>43</v>
      </c>
      <c r="D156" s="151"/>
      <c r="E156" s="341">
        <v>90000</v>
      </c>
      <c r="F156" s="342"/>
      <c r="G156" s="341"/>
      <c r="H156" s="342"/>
      <c r="I156" s="171">
        <v>427600</v>
      </c>
      <c r="J156" s="159">
        <v>0</v>
      </c>
      <c r="K156" s="159">
        <v>0</v>
      </c>
      <c r="L156" s="159">
        <v>0</v>
      </c>
      <c r="M156" s="159">
        <v>0</v>
      </c>
      <c r="N156" s="159">
        <v>0</v>
      </c>
      <c r="O156" s="159">
        <v>0</v>
      </c>
      <c r="P156" s="202">
        <v>0</v>
      </c>
      <c r="Q156" s="207">
        <v>0</v>
      </c>
      <c r="R156" s="160">
        <f>SUM(J156:Q156)</f>
        <v>0</v>
      </c>
      <c r="S156" s="161">
        <f>I156-R156</f>
        <v>427600</v>
      </c>
      <c r="T156" s="162">
        <f>G156-I156</f>
        <v>-427600</v>
      </c>
      <c r="U156" s="172"/>
      <c r="V156" s="173" t="e">
        <f t="shared" si="2"/>
        <v>#DIV/0!</v>
      </c>
      <c r="X156" s="384"/>
      <c r="Y156" s="159"/>
      <c r="Z156" s="159"/>
      <c r="AA156" s="159"/>
      <c r="AB156" s="159"/>
      <c r="AC156" s="159"/>
      <c r="AD156" s="202"/>
      <c r="AE156" s="207"/>
    </row>
    <row r="157" spans="1:31" ht="18.95" customHeight="1" thickBot="1">
      <c r="A157" s="335"/>
      <c r="B157" s="200"/>
      <c r="C157" s="193" t="s">
        <v>44</v>
      </c>
      <c r="D157" s="194"/>
      <c r="E157" s="347">
        <v>0</v>
      </c>
      <c r="F157" s="348"/>
      <c r="G157" s="347"/>
      <c r="H157" s="348"/>
      <c r="I157" s="195">
        <v>0</v>
      </c>
      <c r="J157" s="196">
        <v>0</v>
      </c>
      <c r="K157" s="196">
        <v>0</v>
      </c>
      <c r="L157" s="196">
        <v>0</v>
      </c>
      <c r="M157" s="196">
        <v>0</v>
      </c>
      <c r="N157" s="196">
        <v>0</v>
      </c>
      <c r="O157" s="196">
        <v>0</v>
      </c>
      <c r="P157" s="205">
        <v>0</v>
      </c>
      <c r="Q157" s="208">
        <v>0</v>
      </c>
      <c r="R157" s="188">
        <f>SUM(J157:Q157)</f>
        <v>0</v>
      </c>
      <c r="S157" s="157">
        <f>I157-R157</f>
        <v>0</v>
      </c>
      <c r="T157" s="158">
        <f>G157-I157</f>
        <v>0</v>
      </c>
      <c r="U157" s="169"/>
      <c r="V157" s="170" t="e">
        <f t="shared" si="2"/>
        <v>#DIV/0!</v>
      </c>
      <c r="X157" s="386"/>
      <c r="Y157" s="196"/>
      <c r="Z157" s="196"/>
      <c r="AA157" s="196"/>
      <c r="AB157" s="196"/>
      <c r="AC157" s="196"/>
      <c r="AD157" s="205"/>
      <c r="AE157" s="208"/>
    </row>
    <row r="158" spans="1:31" ht="18.95" customHeight="1" thickTop="1" thickBot="1">
      <c r="A158" s="54"/>
      <c r="B158" s="55" t="s">
        <v>17</v>
      </c>
      <c r="C158" s="55"/>
      <c r="D158" s="56"/>
      <c r="E158" s="313">
        <f>SUM(E137:E157)</f>
        <v>4797550</v>
      </c>
      <c r="F158" s="314"/>
      <c r="G158" s="313">
        <f>SUM(G137:G157)</f>
        <v>0</v>
      </c>
      <c r="H158" s="314"/>
      <c r="I158" s="57">
        <f>SUM(I137:I157)</f>
        <v>3542460</v>
      </c>
      <c r="J158" s="58"/>
      <c r="K158" s="58"/>
      <c r="L158" s="58"/>
      <c r="M158" s="58"/>
      <c r="N158" s="58"/>
      <c r="O158" s="58"/>
      <c r="P158" s="58"/>
      <c r="Q158" s="58"/>
      <c r="R158" s="59">
        <f>SUM(R137:R157)</f>
        <v>2484020</v>
      </c>
      <c r="S158" s="60">
        <f>SUM(S137:S157)</f>
        <v>1058440</v>
      </c>
      <c r="T158" s="61">
        <f>SUM(T137:T157)</f>
        <v>-3542460</v>
      </c>
      <c r="U158" s="62">
        <f>SUM(U137:U157)</f>
        <v>0</v>
      </c>
      <c r="V158" s="63"/>
    </row>
    <row r="159" spans="1:31" ht="2.25" customHeight="1" thickTop="1" thickBot="1">
      <c r="A159" s="64"/>
      <c r="B159" s="65"/>
      <c r="C159" s="65"/>
      <c r="D159" s="65"/>
      <c r="E159" s="65"/>
      <c r="F159" s="66"/>
      <c r="G159" s="65"/>
      <c r="H159" s="66"/>
      <c r="I159" s="67"/>
      <c r="J159" s="66"/>
      <c r="K159" s="66"/>
      <c r="L159" s="66"/>
      <c r="M159" s="66"/>
      <c r="N159" s="66"/>
      <c r="O159" s="66"/>
      <c r="P159" s="66"/>
      <c r="Q159" s="66"/>
      <c r="R159" s="66"/>
      <c r="S159" s="68"/>
      <c r="T159" s="69"/>
      <c r="U159" s="70"/>
      <c r="V159" s="71"/>
    </row>
    <row r="160" spans="1:31" ht="26.25" customHeight="1" thickTop="1" thickBot="1">
      <c r="A160" s="72"/>
      <c r="B160" s="73" t="s">
        <v>18</v>
      </c>
      <c r="C160" s="73"/>
      <c r="D160" s="73"/>
      <c r="E160" s="315"/>
      <c r="F160" s="316"/>
      <c r="G160" s="315"/>
      <c r="H160" s="316"/>
      <c r="I160" s="74"/>
      <c r="J160" s="74"/>
      <c r="K160" s="74"/>
      <c r="L160" s="74"/>
      <c r="M160" s="74"/>
      <c r="N160" s="74"/>
      <c r="O160" s="74"/>
      <c r="P160" s="74"/>
      <c r="Q160" s="74"/>
      <c r="R160" s="75">
        <f>SUM(R158,R134)</f>
        <v>64905733</v>
      </c>
      <c r="S160" s="76">
        <f>SUM(S158,S134)</f>
        <v>82984356</v>
      </c>
      <c r="T160" s="77">
        <f>T134+T158</f>
        <v>-147890089</v>
      </c>
      <c r="U160" s="78">
        <f>SUM(U158,U134)</f>
        <v>0</v>
      </c>
      <c r="V160" s="79"/>
    </row>
    <row r="161" spans="1:22" ht="2.25" customHeight="1" thickTop="1" thickBot="1">
      <c r="A161" s="80"/>
      <c r="B161" s="81"/>
      <c r="C161" s="81"/>
      <c r="D161" s="81"/>
      <c r="E161" s="81"/>
      <c r="F161" s="82"/>
      <c r="G161" s="81"/>
      <c r="H161" s="82"/>
      <c r="I161" s="83"/>
      <c r="J161" s="82"/>
      <c r="K161" s="82"/>
      <c r="L161" s="82"/>
      <c r="M161" s="82"/>
      <c r="N161" s="82"/>
      <c r="O161" s="82"/>
      <c r="P161" s="82"/>
      <c r="Q161" s="82"/>
      <c r="R161" s="82"/>
      <c r="S161" s="84"/>
      <c r="T161" s="85"/>
      <c r="U161" s="86"/>
      <c r="V161" s="87"/>
    </row>
    <row r="162" spans="1:22" ht="18.2" customHeight="1" thickBot="1">
      <c r="A162" s="88"/>
      <c r="B162" s="73"/>
      <c r="C162" s="73"/>
      <c r="D162" s="73"/>
      <c r="E162" s="73"/>
      <c r="F162" s="29"/>
      <c r="G162" s="73"/>
      <c r="H162" s="29"/>
      <c r="I162" s="89"/>
      <c r="J162" s="29"/>
      <c r="K162" s="29"/>
      <c r="L162" s="29"/>
      <c r="M162" s="29"/>
      <c r="N162" s="29"/>
      <c r="O162" s="29"/>
      <c r="P162" s="29"/>
      <c r="Q162" s="29"/>
      <c r="R162" s="29"/>
      <c r="S162" s="90"/>
      <c r="T162" s="91"/>
      <c r="U162" s="92"/>
      <c r="V162" s="91"/>
    </row>
    <row r="163" spans="1:22" ht="18.2" customHeight="1" thickBot="1">
      <c r="A163" s="93" t="s">
        <v>19</v>
      </c>
      <c r="B163" s="317" t="s">
        <v>20</v>
      </c>
      <c r="C163" s="318"/>
      <c r="D163" s="94"/>
      <c r="E163" s="319">
        <v>10629000</v>
      </c>
      <c r="F163" s="320"/>
      <c r="G163" s="321">
        <v>0</v>
      </c>
      <c r="H163" s="322"/>
      <c r="I163" s="95">
        <v>2400000</v>
      </c>
      <c r="J163" s="132">
        <v>0</v>
      </c>
      <c r="K163" s="132">
        <v>0</v>
      </c>
      <c r="L163" s="132">
        <v>0</v>
      </c>
      <c r="M163" s="132">
        <v>0</v>
      </c>
      <c r="N163" s="132">
        <v>0</v>
      </c>
      <c r="O163" s="132">
        <v>0</v>
      </c>
      <c r="P163" s="132">
        <v>0</v>
      </c>
      <c r="Q163" s="132">
        <v>0</v>
      </c>
      <c r="R163" s="97">
        <f>SUM(J163:Q163)</f>
        <v>0</v>
      </c>
      <c r="S163" s="98">
        <f>I163-R163</f>
        <v>2400000</v>
      </c>
      <c r="T163" s="99">
        <f>G163-I163</f>
        <v>-2400000</v>
      </c>
      <c r="U163" s="100"/>
      <c r="V163" s="101" t="e">
        <f>R163/U163</f>
        <v>#DIV/0!</v>
      </c>
    </row>
    <row r="164" spans="1:22" ht="18.2" customHeight="1">
      <c r="A164" s="102"/>
      <c r="B164" s="323" t="s">
        <v>21</v>
      </c>
      <c r="C164" s="324"/>
      <c r="D164" s="103"/>
      <c r="E164" s="325">
        <f>SUM(E134,F158,E163)</f>
        <v>211227770</v>
      </c>
      <c r="F164" s="326"/>
      <c r="G164" s="325">
        <f>SUM(G134,H158,G163)</f>
        <v>0</v>
      </c>
      <c r="H164" s="326"/>
      <c r="I164" s="104">
        <f>SUM(I163,I158,I134)</f>
        <v>150290089</v>
      </c>
      <c r="J164" s="105">
        <f>SUM(J9:J163)</f>
        <v>0</v>
      </c>
      <c r="K164" s="105">
        <f>SUM(K9:K163)</f>
        <v>0</v>
      </c>
      <c r="L164" s="105">
        <f>SUM(L9:L163)</f>
        <v>5968000</v>
      </c>
      <c r="M164" s="105">
        <f>SUM(M9:M163)</f>
        <v>27426436</v>
      </c>
      <c r="N164" s="105">
        <f>SUM(N9:N163)</f>
        <v>17711036</v>
      </c>
      <c r="O164" s="105">
        <f>SUM(O9:O163)</f>
        <v>16502531</v>
      </c>
      <c r="P164" s="105">
        <f>SUM(P9:P163)</f>
        <v>-2702270</v>
      </c>
      <c r="Q164" s="105">
        <f>SUM(Q9:Q163)</f>
        <v>0</v>
      </c>
      <c r="R164" s="105">
        <f>SUM(J164:Q164)</f>
        <v>64905733</v>
      </c>
      <c r="S164" s="106">
        <f>I164-R164</f>
        <v>85384356</v>
      </c>
      <c r="T164" s="107">
        <f>SUM(T163,T160)</f>
        <v>-150290089</v>
      </c>
      <c r="U164" s="108">
        <f>SUM(U163,U160)</f>
        <v>0</v>
      </c>
      <c r="V164" s="109"/>
    </row>
    <row r="165" spans="1:22" ht="25.5" customHeight="1">
      <c r="A165" s="110"/>
      <c r="B165" s="110"/>
      <c r="C165" s="110"/>
      <c r="D165" s="110"/>
      <c r="E165" s="110"/>
      <c r="F165" s="111"/>
      <c r="G165" s="110"/>
      <c r="H165" s="111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3"/>
      <c r="T165" s="110"/>
      <c r="U165" s="110"/>
    </row>
    <row r="166" spans="1:22" ht="6" customHeight="1"/>
    <row r="167" spans="1:22" ht="18" customHeight="1">
      <c r="A167" s="13" t="s">
        <v>22</v>
      </c>
    </row>
    <row r="168" spans="1:22" ht="18" customHeight="1">
      <c r="A168" s="312" t="s">
        <v>23</v>
      </c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</row>
    <row r="169" spans="1:22" ht="18" customHeight="1">
      <c r="A169" s="312" t="s">
        <v>24</v>
      </c>
      <c r="B169" s="312"/>
      <c r="C169" s="312"/>
      <c r="D169" s="312"/>
      <c r="E169" s="312"/>
      <c r="F169" s="312"/>
    </row>
    <row r="170" spans="1:22" ht="18" customHeight="1">
      <c r="A170" s="312" t="s">
        <v>25</v>
      </c>
      <c r="B170" s="312"/>
      <c r="C170" s="312"/>
      <c r="D170" s="312"/>
      <c r="E170" s="312"/>
      <c r="F170" s="312"/>
    </row>
  </sheetData>
  <mergeCells count="355">
    <mergeCell ref="A121:A123"/>
    <mergeCell ref="A124:A133"/>
    <mergeCell ref="A137:A140"/>
    <mergeCell ref="A141:A143"/>
    <mergeCell ref="A144:A157"/>
    <mergeCell ref="A81:A86"/>
    <mergeCell ref="A87:A89"/>
    <mergeCell ref="A90:A99"/>
    <mergeCell ref="A100:A103"/>
    <mergeCell ref="A104:A106"/>
    <mergeCell ref="A107:A120"/>
    <mergeCell ref="E156:F156"/>
    <mergeCell ref="G156:H156"/>
    <mergeCell ref="E157:F157"/>
    <mergeCell ref="G157:H157"/>
    <mergeCell ref="A9:A26"/>
    <mergeCell ref="A27:A34"/>
    <mergeCell ref="A35:A42"/>
    <mergeCell ref="A43:A72"/>
    <mergeCell ref="A73:A76"/>
    <mergeCell ref="A77:A80"/>
    <mergeCell ref="E153:F153"/>
    <mergeCell ref="G153:H153"/>
    <mergeCell ref="E154:F154"/>
    <mergeCell ref="G154:H154"/>
    <mergeCell ref="E155:F155"/>
    <mergeCell ref="G155:H155"/>
    <mergeCell ref="E150:F150"/>
    <mergeCell ref="G150:H150"/>
    <mergeCell ref="E151:F151"/>
    <mergeCell ref="G151:H151"/>
    <mergeCell ref="E152:F152"/>
    <mergeCell ref="G152:H152"/>
    <mergeCell ref="E147:F147"/>
    <mergeCell ref="G147:H147"/>
    <mergeCell ref="E148:F148"/>
    <mergeCell ref="G148:H148"/>
    <mergeCell ref="E149:F149"/>
    <mergeCell ref="G149:H149"/>
    <mergeCell ref="E144:F144"/>
    <mergeCell ref="G144:H144"/>
    <mergeCell ref="E145:F145"/>
    <mergeCell ref="G145:H145"/>
    <mergeCell ref="E146:F146"/>
    <mergeCell ref="G146:H146"/>
    <mergeCell ref="E141:F141"/>
    <mergeCell ref="G141:H141"/>
    <mergeCell ref="E142:F142"/>
    <mergeCell ref="G142:H142"/>
    <mergeCell ref="E143:F143"/>
    <mergeCell ref="G143:H143"/>
    <mergeCell ref="J3:N3"/>
    <mergeCell ref="J4:N4"/>
    <mergeCell ref="J5:N5"/>
    <mergeCell ref="E137:F137"/>
    <mergeCell ref="G137:H137"/>
    <mergeCell ref="E138:F138"/>
    <mergeCell ref="G138:H138"/>
    <mergeCell ref="E131:F131"/>
    <mergeCell ref="G131:H131"/>
    <mergeCell ref="E132:F132"/>
    <mergeCell ref="G132:H132"/>
    <mergeCell ref="E133:F133"/>
    <mergeCell ref="G133:H133"/>
    <mergeCell ref="E128:F128"/>
    <mergeCell ref="G128:H128"/>
    <mergeCell ref="E129:F129"/>
    <mergeCell ref="G129:H129"/>
    <mergeCell ref="E130:F130"/>
    <mergeCell ref="G130:H130"/>
    <mergeCell ref="E125:F125"/>
    <mergeCell ref="G125:H125"/>
    <mergeCell ref="E126:F126"/>
    <mergeCell ref="G126:H126"/>
    <mergeCell ref="E127:F127"/>
    <mergeCell ref="G127:H127"/>
    <mergeCell ref="E122:F122"/>
    <mergeCell ref="G122:H122"/>
    <mergeCell ref="E123:F123"/>
    <mergeCell ref="G123:H123"/>
    <mergeCell ref="E124:F124"/>
    <mergeCell ref="G124:H124"/>
    <mergeCell ref="E119:F119"/>
    <mergeCell ref="G119:H119"/>
    <mergeCell ref="E120:F120"/>
    <mergeCell ref="G120:H120"/>
    <mergeCell ref="E121:F121"/>
    <mergeCell ref="G121:H121"/>
    <mergeCell ref="E116:F116"/>
    <mergeCell ref="G116:H116"/>
    <mergeCell ref="E117:F117"/>
    <mergeCell ref="G117:H117"/>
    <mergeCell ref="E118:F118"/>
    <mergeCell ref="G118:H118"/>
    <mergeCell ref="E113:F113"/>
    <mergeCell ref="G113:H113"/>
    <mergeCell ref="E114:F114"/>
    <mergeCell ref="G114:H114"/>
    <mergeCell ref="E115:F115"/>
    <mergeCell ref="G115:H115"/>
    <mergeCell ref="E110:F110"/>
    <mergeCell ref="G110:H110"/>
    <mergeCell ref="E111:F111"/>
    <mergeCell ref="G111:H111"/>
    <mergeCell ref="E112:F112"/>
    <mergeCell ref="G112:H112"/>
    <mergeCell ref="E107:F107"/>
    <mergeCell ref="G107:H107"/>
    <mergeCell ref="E108:F108"/>
    <mergeCell ref="G108:H108"/>
    <mergeCell ref="E109:F109"/>
    <mergeCell ref="G109:H109"/>
    <mergeCell ref="E104:F104"/>
    <mergeCell ref="G104:H104"/>
    <mergeCell ref="E105:F105"/>
    <mergeCell ref="G105:H105"/>
    <mergeCell ref="E106:F106"/>
    <mergeCell ref="G106:H106"/>
    <mergeCell ref="E101:F101"/>
    <mergeCell ref="G101:H101"/>
    <mergeCell ref="E102:F102"/>
    <mergeCell ref="G102:H102"/>
    <mergeCell ref="E103:F103"/>
    <mergeCell ref="G103:H103"/>
    <mergeCell ref="E98:F98"/>
    <mergeCell ref="G98:H98"/>
    <mergeCell ref="E99:F99"/>
    <mergeCell ref="G99:H99"/>
    <mergeCell ref="E100:F100"/>
    <mergeCell ref="G100:H100"/>
    <mergeCell ref="E95:F95"/>
    <mergeCell ref="G95:H95"/>
    <mergeCell ref="E96:F96"/>
    <mergeCell ref="G96:H96"/>
    <mergeCell ref="E97:F97"/>
    <mergeCell ref="G97:H97"/>
    <mergeCell ref="E92:F92"/>
    <mergeCell ref="G92:H92"/>
    <mergeCell ref="E93:F93"/>
    <mergeCell ref="G93:H93"/>
    <mergeCell ref="E94:F94"/>
    <mergeCell ref="G94:H94"/>
    <mergeCell ref="E89:F89"/>
    <mergeCell ref="G89:H89"/>
    <mergeCell ref="E90:F90"/>
    <mergeCell ref="G90:H90"/>
    <mergeCell ref="E91:F91"/>
    <mergeCell ref="G91:H91"/>
    <mergeCell ref="E86:F86"/>
    <mergeCell ref="G86:H86"/>
    <mergeCell ref="E87:F87"/>
    <mergeCell ref="G87:H87"/>
    <mergeCell ref="E88:F88"/>
    <mergeCell ref="G88:H88"/>
    <mergeCell ref="E83:F83"/>
    <mergeCell ref="G83:H83"/>
    <mergeCell ref="E84:F84"/>
    <mergeCell ref="G84:H84"/>
    <mergeCell ref="E85:F85"/>
    <mergeCell ref="G85:H85"/>
    <mergeCell ref="E80:F80"/>
    <mergeCell ref="G80:H80"/>
    <mergeCell ref="E81:F81"/>
    <mergeCell ref="G81:H81"/>
    <mergeCell ref="E82:F82"/>
    <mergeCell ref="G82:H82"/>
    <mergeCell ref="E77:F77"/>
    <mergeCell ref="G77:H77"/>
    <mergeCell ref="E78:F78"/>
    <mergeCell ref="G78:H78"/>
    <mergeCell ref="E79:F79"/>
    <mergeCell ref="G79:H79"/>
    <mergeCell ref="E74:F74"/>
    <mergeCell ref="G74:H74"/>
    <mergeCell ref="E75:F75"/>
    <mergeCell ref="G75:H75"/>
    <mergeCell ref="E76:F76"/>
    <mergeCell ref="G76:H76"/>
    <mergeCell ref="E71:F71"/>
    <mergeCell ref="G71:H71"/>
    <mergeCell ref="E72:F72"/>
    <mergeCell ref="G72:H72"/>
    <mergeCell ref="E73:F73"/>
    <mergeCell ref="G73:H73"/>
    <mergeCell ref="E68:F68"/>
    <mergeCell ref="G68:H68"/>
    <mergeCell ref="E69:F69"/>
    <mergeCell ref="G69:H69"/>
    <mergeCell ref="E70:F70"/>
    <mergeCell ref="G70:H70"/>
    <mergeCell ref="E65:F65"/>
    <mergeCell ref="G65:H65"/>
    <mergeCell ref="E66:F66"/>
    <mergeCell ref="G66:H66"/>
    <mergeCell ref="E67:F67"/>
    <mergeCell ref="G67:H67"/>
    <mergeCell ref="E62:F62"/>
    <mergeCell ref="G62:H62"/>
    <mergeCell ref="E63:F63"/>
    <mergeCell ref="G63:H63"/>
    <mergeCell ref="E64:F64"/>
    <mergeCell ref="G64:H64"/>
    <mergeCell ref="E59:F59"/>
    <mergeCell ref="G59:H59"/>
    <mergeCell ref="E60:F60"/>
    <mergeCell ref="G60:H60"/>
    <mergeCell ref="E61:F61"/>
    <mergeCell ref="G61:H61"/>
    <mergeCell ref="E56:F56"/>
    <mergeCell ref="G56:H56"/>
    <mergeCell ref="E57:F57"/>
    <mergeCell ref="G57:H57"/>
    <mergeCell ref="E58:F58"/>
    <mergeCell ref="G58:H58"/>
    <mergeCell ref="E53:F53"/>
    <mergeCell ref="G53:H53"/>
    <mergeCell ref="E54:F54"/>
    <mergeCell ref="G54:H54"/>
    <mergeCell ref="E55:F55"/>
    <mergeCell ref="G55:H55"/>
    <mergeCell ref="E50:F50"/>
    <mergeCell ref="G50:H50"/>
    <mergeCell ref="E51:F51"/>
    <mergeCell ref="G51:H51"/>
    <mergeCell ref="E52:F52"/>
    <mergeCell ref="G52:H52"/>
    <mergeCell ref="E47:F47"/>
    <mergeCell ref="G47:H47"/>
    <mergeCell ref="E48:F48"/>
    <mergeCell ref="G48:H48"/>
    <mergeCell ref="E49:F49"/>
    <mergeCell ref="G49:H49"/>
    <mergeCell ref="E44:F44"/>
    <mergeCell ref="G44:H44"/>
    <mergeCell ref="E45:F45"/>
    <mergeCell ref="G45:H45"/>
    <mergeCell ref="E46:F46"/>
    <mergeCell ref="G46:H46"/>
    <mergeCell ref="E41:F41"/>
    <mergeCell ref="G41:H41"/>
    <mergeCell ref="E42:F42"/>
    <mergeCell ref="G42:H42"/>
    <mergeCell ref="E43:F43"/>
    <mergeCell ref="G43:H43"/>
    <mergeCell ref="E38:F38"/>
    <mergeCell ref="G38:H38"/>
    <mergeCell ref="E39:F39"/>
    <mergeCell ref="G39:H39"/>
    <mergeCell ref="E40:F40"/>
    <mergeCell ref="G40:H40"/>
    <mergeCell ref="E35:F35"/>
    <mergeCell ref="G35:H35"/>
    <mergeCell ref="E36:F36"/>
    <mergeCell ref="G36:H36"/>
    <mergeCell ref="E37:F37"/>
    <mergeCell ref="G37:H37"/>
    <mergeCell ref="E32:F32"/>
    <mergeCell ref="G32:H32"/>
    <mergeCell ref="E33:F33"/>
    <mergeCell ref="G33:H33"/>
    <mergeCell ref="E34:F34"/>
    <mergeCell ref="G34:H34"/>
    <mergeCell ref="E29:F29"/>
    <mergeCell ref="G29:H29"/>
    <mergeCell ref="E30:F30"/>
    <mergeCell ref="G30:H30"/>
    <mergeCell ref="E31:F31"/>
    <mergeCell ref="G31:H31"/>
    <mergeCell ref="E26:F26"/>
    <mergeCell ref="G26:H26"/>
    <mergeCell ref="E27:F27"/>
    <mergeCell ref="G27:H27"/>
    <mergeCell ref="E28:F28"/>
    <mergeCell ref="G28:H28"/>
    <mergeCell ref="E23:F23"/>
    <mergeCell ref="G23:H23"/>
    <mergeCell ref="E24:F24"/>
    <mergeCell ref="G24:H24"/>
    <mergeCell ref="E25:F25"/>
    <mergeCell ref="G25:H25"/>
    <mergeCell ref="E20:F20"/>
    <mergeCell ref="G20:H20"/>
    <mergeCell ref="E21:F21"/>
    <mergeCell ref="G21:H21"/>
    <mergeCell ref="E22:F22"/>
    <mergeCell ref="G22:H22"/>
    <mergeCell ref="E17:F17"/>
    <mergeCell ref="G17:H17"/>
    <mergeCell ref="E18:F18"/>
    <mergeCell ref="G18:H18"/>
    <mergeCell ref="E19:F19"/>
    <mergeCell ref="G19:H19"/>
    <mergeCell ref="G13:H13"/>
    <mergeCell ref="E14:F14"/>
    <mergeCell ref="G14:H14"/>
    <mergeCell ref="E15:F15"/>
    <mergeCell ref="G15:H15"/>
    <mergeCell ref="E16:F16"/>
    <mergeCell ref="G16:H16"/>
    <mergeCell ref="A168:Q168"/>
    <mergeCell ref="A169:F169"/>
    <mergeCell ref="A170:F170"/>
    <mergeCell ref="E10:F10"/>
    <mergeCell ref="G10:H10"/>
    <mergeCell ref="E11:F11"/>
    <mergeCell ref="G11:H11"/>
    <mergeCell ref="E12:F12"/>
    <mergeCell ref="G12:H12"/>
    <mergeCell ref="E13:F13"/>
    <mergeCell ref="E160:F160"/>
    <mergeCell ref="G160:H160"/>
    <mergeCell ref="B163:C163"/>
    <mergeCell ref="E163:F163"/>
    <mergeCell ref="G163:H163"/>
    <mergeCell ref="B164:C164"/>
    <mergeCell ref="E164:F164"/>
    <mergeCell ref="G164:H164"/>
    <mergeCell ref="E158:F158"/>
    <mergeCell ref="G158:H158"/>
    <mergeCell ref="E139:F139"/>
    <mergeCell ref="G139:H139"/>
    <mergeCell ref="E140:F140"/>
    <mergeCell ref="G140:H140"/>
    <mergeCell ref="E134:F134"/>
    <mergeCell ref="G134:H134"/>
    <mergeCell ref="A135:V135"/>
    <mergeCell ref="E136:F136"/>
    <mergeCell ref="G136:H136"/>
    <mergeCell ref="R7:R8"/>
    <mergeCell ref="S7:S8"/>
    <mergeCell ref="T7:T8"/>
    <mergeCell ref="U7:U8"/>
    <mergeCell ref="V7:V8"/>
    <mergeCell ref="E9:F9"/>
    <mergeCell ref="G9:H9"/>
    <mergeCell ref="A7:B8"/>
    <mergeCell ref="C7:C8"/>
    <mergeCell ref="D7:D8"/>
    <mergeCell ref="E7:F8"/>
    <mergeCell ref="G7:H8"/>
    <mergeCell ref="I7:I8"/>
    <mergeCell ref="A5:B5"/>
    <mergeCell ref="C5:H5"/>
    <mergeCell ref="A6:B6"/>
    <mergeCell ref="C6:F6"/>
    <mergeCell ref="G6:H6"/>
    <mergeCell ref="J6:Q6"/>
    <mergeCell ref="R2:T2"/>
    <mergeCell ref="A3:B3"/>
    <mergeCell ref="C3:H3"/>
    <mergeCell ref="R3:S6"/>
    <mergeCell ref="T3:V3"/>
    <mergeCell ref="A4:B4"/>
    <mergeCell ref="C4:H4"/>
    <mergeCell ref="T4:V6"/>
  </mergeCells>
  <phoneticPr fontId="2"/>
  <pageMargins left="0.7" right="0.7" top="0.75" bottom="0.75" header="0.3" footer="0.3"/>
  <pageSetup paperSize="9" scale="4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F771-9760-4F51-BC3C-8C29D4C5740C}">
  <sheetPr codeName="Sheet9"/>
  <dimension ref="A1:W37"/>
  <sheetViews>
    <sheetView tabSelected="1"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114" customWidth="1"/>
    <col min="7" max="7" width="7.625" style="13" customWidth="1"/>
    <col min="8" max="8" width="7.625" style="114" customWidth="1"/>
    <col min="9" max="9" width="15.375" style="115" customWidth="1"/>
    <col min="10" max="14" width="8.625" style="115" customWidth="1"/>
    <col min="15" max="15" width="8.625" style="116" customWidth="1"/>
    <col min="16" max="16" width="11.125" style="13" customWidth="1"/>
    <col min="17" max="17" width="8.625" style="13" customWidth="1"/>
    <col min="18" max="18" width="8.625" style="7" customWidth="1"/>
    <col min="19" max="256" width="9" style="7"/>
    <col min="257" max="257" width="8.625" style="7" customWidth="1"/>
    <col min="258" max="258" width="19.625" style="7" customWidth="1"/>
    <col min="259" max="259" width="8.625" style="7" customWidth="1"/>
    <col min="260" max="261" width="7.625" style="7" customWidth="1"/>
    <col min="262" max="262" width="11.125" style="7" customWidth="1"/>
    <col min="263" max="271" width="8.625" style="7" customWidth="1"/>
    <col min="272" max="272" width="11.125" style="7" customWidth="1"/>
    <col min="273" max="274" width="8.625" style="7" customWidth="1"/>
    <col min="275" max="512" width="9" style="7"/>
    <col min="513" max="513" width="8.625" style="7" customWidth="1"/>
    <col min="514" max="514" width="19.625" style="7" customWidth="1"/>
    <col min="515" max="515" width="8.625" style="7" customWidth="1"/>
    <col min="516" max="517" width="7.625" style="7" customWidth="1"/>
    <col min="518" max="518" width="11.125" style="7" customWidth="1"/>
    <col min="519" max="527" width="8.625" style="7" customWidth="1"/>
    <col min="528" max="528" width="11.125" style="7" customWidth="1"/>
    <col min="529" max="530" width="8.625" style="7" customWidth="1"/>
    <col min="531" max="768" width="9" style="7"/>
    <col min="769" max="769" width="8.625" style="7" customWidth="1"/>
    <col min="770" max="770" width="19.625" style="7" customWidth="1"/>
    <col min="771" max="771" width="8.625" style="7" customWidth="1"/>
    <col min="772" max="773" width="7.625" style="7" customWidth="1"/>
    <col min="774" max="774" width="11.125" style="7" customWidth="1"/>
    <col min="775" max="783" width="8.625" style="7" customWidth="1"/>
    <col min="784" max="784" width="11.125" style="7" customWidth="1"/>
    <col min="785" max="786" width="8.625" style="7" customWidth="1"/>
    <col min="787" max="1024" width="9" style="7"/>
    <col min="1025" max="1025" width="8.625" style="7" customWidth="1"/>
    <col min="1026" max="1026" width="19.625" style="7" customWidth="1"/>
    <col min="1027" max="1027" width="8.625" style="7" customWidth="1"/>
    <col min="1028" max="1029" width="7.625" style="7" customWidth="1"/>
    <col min="1030" max="1030" width="11.125" style="7" customWidth="1"/>
    <col min="1031" max="1039" width="8.625" style="7" customWidth="1"/>
    <col min="1040" max="1040" width="11.125" style="7" customWidth="1"/>
    <col min="1041" max="1042" width="8.625" style="7" customWidth="1"/>
    <col min="1043" max="1280" width="9" style="7"/>
    <col min="1281" max="1281" width="8.625" style="7" customWidth="1"/>
    <col min="1282" max="1282" width="19.625" style="7" customWidth="1"/>
    <col min="1283" max="1283" width="8.625" style="7" customWidth="1"/>
    <col min="1284" max="1285" width="7.625" style="7" customWidth="1"/>
    <col min="1286" max="1286" width="11.125" style="7" customWidth="1"/>
    <col min="1287" max="1295" width="8.625" style="7" customWidth="1"/>
    <col min="1296" max="1296" width="11.125" style="7" customWidth="1"/>
    <col min="1297" max="1298" width="8.625" style="7" customWidth="1"/>
    <col min="1299" max="1536" width="9" style="7"/>
    <col min="1537" max="1537" width="8.625" style="7" customWidth="1"/>
    <col min="1538" max="1538" width="19.625" style="7" customWidth="1"/>
    <col min="1539" max="1539" width="8.625" style="7" customWidth="1"/>
    <col min="1540" max="1541" width="7.625" style="7" customWidth="1"/>
    <col min="1542" max="1542" width="11.125" style="7" customWidth="1"/>
    <col min="1543" max="1551" width="8.625" style="7" customWidth="1"/>
    <col min="1552" max="1552" width="11.125" style="7" customWidth="1"/>
    <col min="1553" max="1554" width="8.625" style="7" customWidth="1"/>
    <col min="1555" max="1792" width="9" style="7"/>
    <col min="1793" max="1793" width="8.625" style="7" customWidth="1"/>
    <col min="1794" max="1794" width="19.625" style="7" customWidth="1"/>
    <col min="1795" max="1795" width="8.625" style="7" customWidth="1"/>
    <col min="1796" max="1797" width="7.625" style="7" customWidth="1"/>
    <col min="1798" max="1798" width="11.125" style="7" customWidth="1"/>
    <col min="1799" max="1807" width="8.625" style="7" customWidth="1"/>
    <col min="1808" max="1808" width="11.125" style="7" customWidth="1"/>
    <col min="1809" max="1810" width="8.625" style="7" customWidth="1"/>
    <col min="1811" max="2048" width="9" style="7"/>
    <col min="2049" max="2049" width="8.625" style="7" customWidth="1"/>
    <col min="2050" max="2050" width="19.625" style="7" customWidth="1"/>
    <col min="2051" max="2051" width="8.625" style="7" customWidth="1"/>
    <col min="2052" max="2053" width="7.625" style="7" customWidth="1"/>
    <col min="2054" max="2054" width="11.125" style="7" customWidth="1"/>
    <col min="2055" max="2063" width="8.625" style="7" customWidth="1"/>
    <col min="2064" max="2064" width="11.125" style="7" customWidth="1"/>
    <col min="2065" max="2066" width="8.625" style="7" customWidth="1"/>
    <col min="2067" max="2304" width="9" style="7"/>
    <col min="2305" max="2305" width="8.625" style="7" customWidth="1"/>
    <col min="2306" max="2306" width="19.625" style="7" customWidth="1"/>
    <col min="2307" max="2307" width="8.625" style="7" customWidth="1"/>
    <col min="2308" max="2309" width="7.625" style="7" customWidth="1"/>
    <col min="2310" max="2310" width="11.125" style="7" customWidth="1"/>
    <col min="2311" max="2319" width="8.625" style="7" customWidth="1"/>
    <col min="2320" max="2320" width="11.125" style="7" customWidth="1"/>
    <col min="2321" max="2322" width="8.625" style="7" customWidth="1"/>
    <col min="2323" max="2560" width="9" style="7"/>
    <col min="2561" max="2561" width="8.625" style="7" customWidth="1"/>
    <col min="2562" max="2562" width="19.625" style="7" customWidth="1"/>
    <col min="2563" max="2563" width="8.625" style="7" customWidth="1"/>
    <col min="2564" max="2565" width="7.625" style="7" customWidth="1"/>
    <col min="2566" max="2566" width="11.125" style="7" customWidth="1"/>
    <col min="2567" max="2575" width="8.625" style="7" customWidth="1"/>
    <col min="2576" max="2576" width="11.125" style="7" customWidth="1"/>
    <col min="2577" max="2578" width="8.625" style="7" customWidth="1"/>
    <col min="2579" max="2816" width="9" style="7"/>
    <col min="2817" max="2817" width="8.625" style="7" customWidth="1"/>
    <col min="2818" max="2818" width="19.625" style="7" customWidth="1"/>
    <col min="2819" max="2819" width="8.625" style="7" customWidth="1"/>
    <col min="2820" max="2821" width="7.625" style="7" customWidth="1"/>
    <col min="2822" max="2822" width="11.125" style="7" customWidth="1"/>
    <col min="2823" max="2831" width="8.625" style="7" customWidth="1"/>
    <col min="2832" max="2832" width="11.125" style="7" customWidth="1"/>
    <col min="2833" max="2834" width="8.625" style="7" customWidth="1"/>
    <col min="2835" max="3072" width="9" style="7"/>
    <col min="3073" max="3073" width="8.625" style="7" customWidth="1"/>
    <col min="3074" max="3074" width="19.625" style="7" customWidth="1"/>
    <col min="3075" max="3075" width="8.625" style="7" customWidth="1"/>
    <col min="3076" max="3077" width="7.625" style="7" customWidth="1"/>
    <col min="3078" max="3078" width="11.125" style="7" customWidth="1"/>
    <col min="3079" max="3087" width="8.625" style="7" customWidth="1"/>
    <col min="3088" max="3088" width="11.125" style="7" customWidth="1"/>
    <col min="3089" max="3090" width="8.625" style="7" customWidth="1"/>
    <col min="3091" max="3328" width="9" style="7"/>
    <col min="3329" max="3329" width="8.625" style="7" customWidth="1"/>
    <col min="3330" max="3330" width="19.625" style="7" customWidth="1"/>
    <col min="3331" max="3331" width="8.625" style="7" customWidth="1"/>
    <col min="3332" max="3333" width="7.625" style="7" customWidth="1"/>
    <col min="3334" max="3334" width="11.125" style="7" customWidth="1"/>
    <col min="3335" max="3343" width="8.625" style="7" customWidth="1"/>
    <col min="3344" max="3344" width="11.125" style="7" customWidth="1"/>
    <col min="3345" max="3346" width="8.625" style="7" customWidth="1"/>
    <col min="3347" max="3584" width="9" style="7"/>
    <col min="3585" max="3585" width="8.625" style="7" customWidth="1"/>
    <col min="3586" max="3586" width="19.625" style="7" customWidth="1"/>
    <col min="3587" max="3587" width="8.625" style="7" customWidth="1"/>
    <col min="3588" max="3589" width="7.625" style="7" customWidth="1"/>
    <col min="3590" max="3590" width="11.125" style="7" customWidth="1"/>
    <col min="3591" max="3599" width="8.625" style="7" customWidth="1"/>
    <col min="3600" max="3600" width="11.125" style="7" customWidth="1"/>
    <col min="3601" max="3602" width="8.625" style="7" customWidth="1"/>
    <col min="3603" max="3840" width="9" style="7"/>
    <col min="3841" max="3841" width="8.625" style="7" customWidth="1"/>
    <col min="3842" max="3842" width="19.625" style="7" customWidth="1"/>
    <col min="3843" max="3843" width="8.625" style="7" customWidth="1"/>
    <col min="3844" max="3845" width="7.625" style="7" customWidth="1"/>
    <col min="3846" max="3846" width="11.125" style="7" customWidth="1"/>
    <col min="3847" max="3855" width="8.625" style="7" customWidth="1"/>
    <col min="3856" max="3856" width="11.125" style="7" customWidth="1"/>
    <col min="3857" max="3858" width="8.625" style="7" customWidth="1"/>
    <col min="3859" max="4096" width="9" style="7"/>
    <col min="4097" max="4097" width="8.625" style="7" customWidth="1"/>
    <col min="4098" max="4098" width="19.625" style="7" customWidth="1"/>
    <col min="4099" max="4099" width="8.625" style="7" customWidth="1"/>
    <col min="4100" max="4101" width="7.625" style="7" customWidth="1"/>
    <col min="4102" max="4102" width="11.125" style="7" customWidth="1"/>
    <col min="4103" max="4111" width="8.625" style="7" customWidth="1"/>
    <col min="4112" max="4112" width="11.125" style="7" customWidth="1"/>
    <col min="4113" max="4114" width="8.625" style="7" customWidth="1"/>
    <col min="4115" max="4352" width="9" style="7"/>
    <col min="4353" max="4353" width="8.625" style="7" customWidth="1"/>
    <col min="4354" max="4354" width="19.625" style="7" customWidth="1"/>
    <col min="4355" max="4355" width="8.625" style="7" customWidth="1"/>
    <col min="4356" max="4357" width="7.625" style="7" customWidth="1"/>
    <col min="4358" max="4358" width="11.125" style="7" customWidth="1"/>
    <col min="4359" max="4367" width="8.625" style="7" customWidth="1"/>
    <col min="4368" max="4368" width="11.125" style="7" customWidth="1"/>
    <col min="4369" max="4370" width="8.625" style="7" customWidth="1"/>
    <col min="4371" max="4608" width="9" style="7"/>
    <col min="4609" max="4609" width="8.625" style="7" customWidth="1"/>
    <col min="4610" max="4610" width="19.625" style="7" customWidth="1"/>
    <col min="4611" max="4611" width="8.625" style="7" customWidth="1"/>
    <col min="4612" max="4613" width="7.625" style="7" customWidth="1"/>
    <col min="4614" max="4614" width="11.125" style="7" customWidth="1"/>
    <col min="4615" max="4623" width="8.625" style="7" customWidth="1"/>
    <col min="4624" max="4624" width="11.125" style="7" customWidth="1"/>
    <col min="4625" max="4626" width="8.625" style="7" customWidth="1"/>
    <col min="4627" max="4864" width="9" style="7"/>
    <col min="4865" max="4865" width="8.625" style="7" customWidth="1"/>
    <col min="4866" max="4866" width="19.625" style="7" customWidth="1"/>
    <col min="4867" max="4867" width="8.625" style="7" customWidth="1"/>
    <col min="4868" max="4869" width="7.625" style="7" customWidth="1"/>
    <col min="4870" max="4870" width="11.125" style="7" customWidth="1"/>
    <col min="4871" max="4879" width="8.625" style="7" customWidth="1"/>
    <col min="4880" max="4880" width="11.125" style="7" customWidth="1"/>
    <col min="4881" max="4882" width="8.625" style="7" customWidth="1"/>
    <col min="4883" max="5120" width="9" style="7"/>
    <col min="5121" max="5121" width="8.625" style="7" customWidth="1"/>
    <col min="5122" max="5122" width="19.625" style="7" customWidth="1"/>
    <col min="5123" max="5123" width="8.625" style="7" customWidth="1"/>
    <col min="5124" max="5125" width="7.625" style="7" customWidth="1"/>
    <col min="5126" max="5126" width="11.125" style="7" customWidth="1"/>
    <col min="5127" max="5135" width="8.625" style="7" customWidth="1"/>
    <col min="5136" max="5136" width="11.125" style="7" customWidth="1"/>
    <col min="5137" max="5138" width="8.625" style="7" customWidth="1"/>
    <col min="5139" max="5376" width="9" style="7"/>
    <col min="5377" max="5377" width="8.625" style="7" customWidth="1"/>
    <col min="5378" max="5378" width="19.625" style="7" customWidth="1"/>
    <col min="5379" max="5379" width="8.625" style="7" customWidth="1"/>
    <col min="5380" max="5381" width="7.625" style="7" customWidth="1"/>
    <col min="5382" max="5382" width="11.125" style="7" customWidth="1"/>
    <col min="5383" max="5391" width="8.625" style="7" customWidth="1"/>
    <col min="5392" max="5392" width="11.125" style="7" customWidth="1"/>
    <col min="5393" max="5394" width="8.625" style="7" customWidth="1"/>
    <col min="5395" max="5632" width="9" style="7"/>
    <col min="5633" max="5633" width="8.625" style="7" customWidth="1"/>
    <col min="5634" max="5634" width="19.625" style="7" customWidth="1"/>
    <col min="5635" max="5635" width="8.625" style="7" customWidth="1"/>
    <col min="5636" max="5637" width="7.625" style="7" customWidth="1"/>
    <col min="5638" max="5638" width="11.125" style="7" customWidth="1"/>
    <col min="5639" max="5647" width="8.625" style="7" customWidth="1"/>
    <col min="5648" max="5648" width="11.125" style="7" customWidth="1"/>
    <col min="5649" max="5650" width="8.625" style="7" customWidth="1"/>
    <col min="5651" max="5888" width="9" style="7"/>
    <col min="5889" max="5889" width="8.625" style="7" customWidth="1"/>
    <col min="5890" max="5890" width="19.625" style="7" customWidth="1"/>
    <col min="5891" max="5891" width="8.625" style="7" customWidth="1"/>
    <col min="5892" max="5893" width="7.625" style="7" customWidth="1"/>
    <col min="5894" max="5894" width="11.125" style="7" customWidth="1"/>
    <col min="5895" max="5903" width="8.625" style="7" customWidth="1"/>
    <col min="5904" max="5904" width="11.125" style="7" customWidth="1"/>
    <col min="5905" max="5906" width="8.625" style="7" customWidth="1"/>
    <col min="5907" max="6144" width="9" style="7"/>
    <col min="6145" max="6145" width="8.625" style="7" customWidth="1"/>
    <col min="6146" max="6146" width="19.625" style="7" customWidth="1"/>
    <col min="6147" max="6147" width="8.625" style="7" customWidth="1"/>
    <col min="6148" max="6149" width="7.625" style="7" customWidth="1"/>
    <col min="6150" max="6150" width="11.125" style="7" customWidth="1"/>
    <col min="6151" max="6159" width="8.625" style="7" customWidth="1"/>
    <col min="6160" max="6160" width="11.125" style="7" customWidth="1"/>
    <col min="6161" max="6162" width="8.625" style="7" customWidth="1"/>
    <col min="6163" max="6400" width="9" style="7"/>
    <col min="6401" max="6401" width="8.625" style="7" customWidth="1"/>
    <col min="6402" max="6402" width="19.625" style="7" customWidth="1"/>
    <col min="6403" max="6403" width="8.625" style="7" customWidth="1"/>
    <col min="6404" max="6405" width="7.625" style="7" customWidth="1"/>
    <col min="6406" max="6406" width="11.125" style="7" customWidth="1"/>
    <col min="6407" max="6415" width="8.625" style="7" customWidth="1"/>
    <col min="6416" max="6416" width="11.125" style="7" customWidth="1"/>
    <col min="6417" max="6418" width="8.625" style="7" customWidth="1"/>
    <col min="6419" max="6656" width="9" style="7"/>
    <col min="6657" max="6657" width="8.625" style="7" customWidth="1"/>
    <col min="6658" max="6658" width="19.625" style="7" customWidth="1"/>
    <col min="6659" max="6659" width="8.625" style="7" customWidth="1"/>
    <col min="6660" max="6661" width="7.625" style="7" customWidth="1"/>
    <col min="6662" max="6662" width="11.125" style="7" customWidth="1"/>
    <col min="6663" max="6671" width="8.625" style="7" customWidth="1"/>
    <col min="6672" max="6672" width="11.125" style="7" customWidth="1"/>
    <col min="6673" max="6674" width="8.625" style="7" customWidth="1"/>
    <col min="6675" max="6912" width="9" style="7"/>
    <col min="6913" max="6913" width="8.625" style="7" customWidth="1"/>
    <col min="6914" max="6914" width="19.625" style="7" customWidth="1"/>
    <col min="6915" max="6915" width="8.625" style="7" customWidth="1"/>
    <col min="6916" max="6917" width="7.625" style="7" customWidth="1"/>
    <col min="6918" max="6918" width="11.125" style="7" customWidth="1"/>
    <col min="6919" max="6927" width="8.625" style="7" customWidth="1"/>
    <col min="6928" max="6928" width="11.125" style="7" customWidth="1"/>
    <col min="6929" max="6930" width="8.625" style="7" customWidth="1"/>
    <col min="6931" max="7168" width="9" style="7"/>
    <col min="7169" max="7169" width="8.625" style="7" customWidth="1"/>
    <col min="7170" max="7170" width="19.625" style="7" customWidth="1"/>
    <col min="7171" max="7171" width="8.625" style="7" customWidth="1"/>
    <col min="7172" max="7173" width="7.625" style="7" customWidth="1"/>
    <col min="7174" max="7174" width="11.125" style="7" customWidth="1"/>
    <col min="7175" max="7183" width="8.625" style="7" customWidth="1"/>
    <col min="7184" max="7184" width="11.125" style="7" customWidth="1"/>
    <col min="7185" max="7186" width="8.625" style="7" customWidth="1"/>
    <col min="7187" max="7424" width="9" style="7"/>
    <col min="7425" max="7425" width="8.625" style="7" customWidth="1"/>
    <col min="7426" max="7426" width="19.625" style="7" customWidth="1"/>
    <col min="7427" max="7427" width="8.625" style="7" customWidth="1"/>
    <col min="7428" max="7429" width="7.625" style="7" customWidth="1"/>
    <col min="7430" max="7430" width="11.125" style="7" customWidth="1"/>
    <col min="7431" max="7439" width="8.625" style="7" customWidth="1"/>
    <col min="7440" max="7440" width="11.125" style="7" customWidth="1"/>
    <col min="7441" max="7442" width="8.625" style="7" customWidth="1"/>
    <col min="7443" max="7680" width="9" style="7"/>
    <col min="7681" max="7681" width="8.625" style="7" customWidth="1"/>
    <col min="7682" max="7682" width="19.625" style="7" customWidth="1"/>
    <col min="7683" max="7683" width="8.625" style="7" customWidth="1"/>
    <col min="7684" max="7685" width="7.625" style="7" customWidth="1"/>
    <col min="7686" max="7686" width="11.125" style="7" customWidth="1"/>
    <col min="7687" max="7695" width="8.625" style="7" customWidth="1"/>
    <col min="7696" max="7696" width="11.125" style="7" customWidth="1"/>
    <col min="7697" max="7698" width="8.625" style="7" customWidth="1"/>
    <col min="7699" max="7936" width="9" style="7"/>
    <col min="7937" max="7937" width="8.625" style="7" customWidth="1"/>
    <col min="7938" max="7938" width="19.625" style="7" customWidth="1"/>
    <col min="7939" max="7939" width="8.625" style="7" customWidth="1"/>
    <col min="7940" max="7941" width="7.625" style="7" customWidth="1"/>
    <col min="7942" max="7942" width="11.125" style="7" customWidth="1"/>
    <col min="7943" max="7951" width="8.625" style="7" customWidth="1"/>
    <col min="7952" max="7952" width="11.125" style="7" customWidth="1"/>
    <col min="7953" max="7954" width="8.625" style="7" customWidth="1"/>
    <col min="7955" max="8192" width="9" style="7"/>
    <col min="8193" max="8193" width="8.625" style="7" customWidth="1"/>
    <col min="8194" max="8194" width="19.625" style="7" customWidth="1"/>
    <col min="8195" max="8195" width="8.625" style="7" customWidth="1"/>
    <col min="8196" max="8197" width="7.625" style="7" customWidth="1"/>
    <col min="8198" max="8198" width="11.125" style="7" customWidth="1"/>
    <col min="8199" max="8207" width="8.625" style="7" customWidth="1"/>
    <col min="8208" max="8208" width="11.125" style="7" customWidth="1"/>
    <col min="8209" max="8210" width="8.625" style="7" customWidth="1"/>
    <col min="8211" max="8448" width="9" style="7"/>
    <col min="8449" max="8449" width="8.625" style="7" customWidth="1"/>
    <col min="8450" max="8450" width="19.625" style="7" customWidth="1"/>
    <col min="8451" max="8451" width="8.625" style="7" customWidth="1"/>
    <col min="8452" max="8453" width="7.625" style="7" customWidth="1"/>
    <col min="8454" max="8454" width="11.125" style="7" customWidth="1"/>
    <col min="8455" max="8463" width="8.625" style="7" customWidth="1"/>
    <col min="8464" max="8464" width="11.125" style="7" customWidth="1"/>
    <col min="8465" max="8466" width="8.625" style="7" customWidth="1"/>
    <col min="8467" max="8704" width="9" style="7"/>
    <col min="8705" max="8705" width="8.625" style="7" customWidth="1"/>
    <col min="8706" max="8706" width="19.625" style="7" customWidth="1"/>
    <col min="8707" max="8707" width="8.625" style="7" customWidth="1"/>
    <col min="8708" max="8709" width="7.625" style="7" customWidth="1"/>
    <col min="8710" max="8710" width="11.125" style="7" customWidth="1"/>
    <col min="8711" max="8719" width="8.625" style="7" customWidth="1"/>
    <col min="8720" max="8720" width="11.125" style="7" customWidth="1"/>
    <col min="8721" max="8722" width="8.625" style="7" customWidth="1"/>
    <col min="8723" max="8960" width="9" style="7"/>
    <col min="8961" max="8961" width="8.625" style="7" customWidth="1"/>
    <col min="8962" max="8962" width="19.625" style="7" customWidth="1"/>
    <col min="8963" max="8963" width="8.625" style="7" customWidth="1"/>
    <col min="8964" max="8965" width="7.625" style="7" customWidth="1"/>
    <col min="8966" max="8966" width="11.125" style="7" customWidth="1"/>
    <col min="8967" max="8975" width="8.625" style="7" customWidth="1"/>
    <col min="8976" max="8976" width="11.125" style="7" customWidth="1"/>
    <col min="8977" max="8978" width="8.625" style="7" customWidth="1"/>
    <col min="8979" max="9216" width="9" style="7"/>
    <col min="9217" max="9217" width="8.625" style="7" customWidth="1"/>
    <col min="9218" max="9218" width="19.625" style="7" customWidth="1"/>
    <col min="9219" max="9219" width="8.625" style="7" customWidth="1"/>
    <col min="9220" max="9221" width="7.625" style="7" customWidth="1"/>
    <col min="9222" max="9222" width="11.125" style="7" customWidth="1"/>
    <col min="9223" max="9231" width="8.625" style="7" customWidth="1"/>
    <col min="9232" max="9232" width="11.125" style="7" customWidth="1"/>
    <col min="9233" max="9234" width="8.625" style="7" customWidth="1"/>
    <col min="9235" max="9472" width="9" style="7"/>
    <col min="9473" max="9473" width="8.625" style="7" customWidth="1"/>
    <col min="9474" max="9474" width="19.625" style="7" customWidth="1"/>
    <col min="9475" max="9475" width="8.625" style="7" customWidth="1"/>
    <col min="9476" max="9477" width="7.625" style="7" customWidth="1"/>
    <col min="9478" max="9478" width="11.125" style="7" customWidth="1"/>
    <col min="9479" max="9487" width="8.625" style="7" customWidth="1"/>
    <col min="9488" max="9488" width="11.125" style="7" customWidth="1"/>
    <col min="9489" max="9490" width="8.625" style="7" customWidth="1"/>
    <col min="9491" max="9728" width="9" style="7"/>
    <col min="9729" max="9729" width="8.625" style="7" customWidth="1"/>
    <col min="9730" max="9730" width="19.625" style="7" customWidth="1"/>
    <col min="9731" max="9731" width="8.625" style="7" customWidth="1"/>
    <col min="9732" max="9733" width="7.625" style="7" customWidth="1"/>
    <col min="9734" max="9734" width="11.125" style="7" customWidth="1"/>
    <col min="9735" max="9743" width="8.625" style="7" customWidth="1"/>
    <col min="9744" max="9744" width="11.125" style="7" customWidth="1"/>
    <col min="9745" max="9746" width="8.625" style="7" customWidth="1"/>
    <col min="9747" max="9984" width="9" style="7"/>
    <col min="9985" max="9985" width="8.625" style="7" customWidth="1"/>
    <col min="9986" max="9986" width="19.625" style="7" customWidth="1"/>
    <col min="9987" max="9987" width="8.625" style="7" customWidth="1"/>
    <col min="9988" max="9989" width="7.625" style="7" customWidth="1"/>
    <col min="9990" max="9990" width="11.125" style="7" customWidth="1"/>
    <col min="9991" max="9999" width="8.625" style="7" customWidth="1"/>
    <col min="10000" max="10000" width="11.125" style="7" customWidth="1"/>
    <col min="10001" max="10002" width="8.625" style="7" customWidth="1"/>
    <col min="10003" max="10240" width="9" style="7"/>
    <col min="10241" max="10241" width="8.625" style="7" customWidth="1"/>
    <col min="10242" max="10242" width="19.625" style="7" customWidth="1"/>
    <col min="10243" max="10243" width="8.625" style="7" customWidth="1"/>
    <col min="10244" max="10245" width="7.625" style="7" customWidth="1"/>
    <col min="10246" max="10246" width="11.125" style="7" customWidth="1"/>
    <col min="10247" max="10255" width="8.625" style="7" customWidth="1"/>
    <col min="10256" max="10256" width="11.125" style="7" customWidth="1"/>
    <col min="10257" max="10258" width="8.625" style="7" customWidth="1"/>
    <col min="10259" max="10496" width="9" style="7"/>
    <col min="10497" max="10497" width="8.625" style="7" customWidth="1"/>
    <col min="10498" max="10498" width="19.625" style="7" customWidth="1"/>
    <col min="10499" max="10499" width="8.625" style="7" customWidth="1"/>
    <col min="10500" max="10501" width="7.625" style="7" customWidth="1"/>
    <col min="10502" max="10502" width="11.125" style="7" customWidth="1"/>
    <col min="10503" max="10511" width="8.625" style="7" customWidth="1"/>
    <col min="10512" max="10512" width="11.125" style="7" customWidth="1"/>
    <col min="10513" max="10514" width="8.625" style="7" customWidth="1"/>
    <col min="10515" max="10752" width="9" style="7"/>
    <col min="10753" max="10753" width="8.625" style="7" customWidth="1"/>
    <col min="10754" max="10754" width="19.625" style="7" customWidth="1"/>
    <col min="10755" max="10755" width="8.625" style="7" customWidth="1"/>
    <col min="10756" max="10757" width="7.625" style="7" customWidth="1"/>
    <col min="10758" max="10758" width="11.125" style="7" customWidth="1"/>
    <col min="10759" max="10767" width="8.625" style="7" customWidth="1"/>
    <col min="10768" max="10768" width="11.125" style="7" customWidth="1"/>
    <col min="10769" max="10770" width="8.625" style="7" customWidth="1"/>
    <col min="10771" max="11008" width="9" style="7"/>
    <col min="11009" max="11009" width="8.625" style="7" customWidth="1"/>
    <col min="11010" max="11010" width="19.625" style="7" customWidth="1"/>
    <col min="11011" max="11011" width="8.625" style="7" customWidth="1"/>
    <col min="11012" max="11013" width="7.625" style="7" customWidth="1"/>
    <col min="11014" max="11014" width="11.125" style="7" customWidth="1"/>
    <col min="11015" max="11023" width="8.625" style="7" customWidth="1"/>
    <col min="11024" max="11024" width="11.125" style="7" customWidth="1"/>
    <col min="11025" max="11026" width="8.625" style="7" customWidth="1"/>
    <col min="11027" max="11264" width="9" style="7"/>
    <col min="11265" max="11265" width="8.625" style="7" customWidth="1"/>
    <col min="11266" max="11266" width="19.625" style="7" customWidth="1"/>
    <col min="11267" max="11267" width="8.625" style="7" customWidth="1"/>
    <col min="11268" max="11269" width="7.625" style="7" customWidth="1"/>
    <col min="11270" max="11270" width="11.125" style="7" customWidth="1"/>
    <col min="11271" max="11279" width="8.625" style="7" customWidth="1"/>
    <col min="11280" max="11280" width="11.125" style="7" customWidth="1"/>
    <col min="11281" max="11282" width="8.625" style="7" customWidth="1"/>
    <col min="11283" max="11520" width="9" style="7"/>
    <col min="11521" max="11521" width="8.625" style="7" customWidth="1"/>
    <col min="11522" max="11522" width="19.625" style="7" customWidth="1"/>
    <col min="11523" max="11523" width="8.625" style="7" customWidth="1"/>
    <col min="11524" max="11525" width="7.625" style="7" customWidth="1"/>
    <col min="11526" max="11526" width="11.125" style="7" customWidth="1"/>
    <col min="11527" max="11535" width="8.625" style="7" customWidth="1"/>
    <col min="11536" max="11536" width="11.125" style="7" customWidth="1"/>
    <col min="11537" max="11538" width="8.625" style="7" customWidth="1"/>
    <col min="11539" max="11776" width="9" style="7"/>
    <col min="11777" max="11777" width="8.625" style="7" customWidth="1"/>
    <col min="11778" max="11778" width="19.625" style="7" customWidth="1"/>
    <col min="11779" max="11779" width="8.625" style="7" customWidth="1"/>
    <col min="11780" max="11781" width="7.625" style="7" customWidth="1"/>
    <col min="11782" max="11782" width="11.125" style="7" customWidth="1"/>
    <col min="11783" max="11791" width="8.625" style="7" customWidth="1"/>
    <col min="11792" max="11792" width="11.125" style="7" customWidth="1"/>
    <col min="11793" max="11794" width="8.625" style="7" customWidth="1"/>
    <col min="11795" max="12032" width="9" style="7"/>
    <col min="12033" max="12033" width="8.625" style="7" customWidth="1"/>
    <col min="12034" max="12034" width="19.625" style="7" customWidth="1"/>
    <col min="12035" max="12035" width="8.625" style="7" customWidth="1"/>
    <col min="12036" max="12037" width="7.625" style="7" customWidth="1"/>
    <col min="12038" max="12038" width="11.125" style="7" customWidth="1"/>
    <col min="12039" max="12047" width="8.625" style="7" customWidth="1"/>
    <col min="12048" max="12048" width="11.125" style="7" customWidth="1"/>
    <col min="12049" max="12050" width="8.625" style="7" customWidth="1"/>
    <col min="12051" max="12288" width="9" style="7"/>
    <col min="12289" max="12289" width="8.625" style="7" customWidth="1"/>
    <col min="12290" max="12290" width="19.625" style="7" customWidth="1"/>
    <col min="12291" max="12291" width="8.625" style="7" customWidth="1"/>
    <col min="12292" max="12293" width="7.625" style="7" customWidth="1"/>
    <col min="12294" max="12294" width="11.125" style="7" customWidth="1"/>
    <col min="12295" max="12303" width="8.625" style="7" customWidth="1"/>
    <col min="12304" max="12304" width="11.125" style="7" customWidth="1"/>
    <col min="12305" max="12306" width="8.625" style="7" customWidth="1"/>
    <col min="12307" max="12544" width="9" style="7"/>
    <col min="12545" max="12545" width="8.625" style="7" customWidth="1"/>
    <col min="12546" max="12546" width="19.625" style="7" customWidth="1"/>
    <col min="12547" max="12547" width="8.625" style="7" customWidth="1"/>
    <col min="12548" max="12549" width="7.625" style="7" customWidth="1"/>
    <col min="12550" max="12550" width="11.125" style="7" customWidth="1"/>
    <col min="12551" max="12559" width="8.625" style="7" customWidth="1"/>
    <col min="12560" max="12560" width="11.125" style="7" customWidth="1"/>
    <col min="12561" max="12562" width="8.625" style="7" customWidth="1"/>
    <col min="12563" max="12800" width="9" style="7"/>
    <col min="12801" max="12801" width="8.625" style="7" customWidth="1"/>
    <col min="12802" max="12802" width="19.625" style="7" customWidth="1"/>
    <col min="12803" max="12803" width="8.625" style="7" customWidth="1"/>
    <col min="12804" max="12805" width="7.625" style="7" customWidth="1"/>
    <col min="12806" max="12806" width="11.125" style="7" customWidth="1"/>
    <col min="12807" max="12815" width="8.625" style="7" customWidth="1"/>
    <col min="12816" max="12816" width="11.125" style="7" customWidth="1"/>
    <col min="12817" max="12818" width="8.625" style="7" customWidth="1"/>
    <col min="12819" max="13056" width="9" style="7"/>
    <col min="13057" max="13057" width="8.625" style="7" customWidth="1"/>
    <col min="13058" max="13058" width="19.625" style="7" customWidth="1"/>
    <col min="13059" max="13059" width="8.625" style="7" customWidth="1"/>
    <col min="13060" max="13061" width="7.625" style="7" customWidth="1"/>
    <col min="13062" max="13062" width="11.125" style="7" customWidth="1"/>
    <col min="13063" max="13071" width="8.625" style="7" customWidth="1"/>
    <col min="13072" max="13072" width="11.125" style="7" customWidth="1"/>
    <col min="13073" max="13074" width="8.625" style="7" customWidth="1"/>
    <col min="13075" max="13312" width="9" style="7"/>
    <col min="13313" max="13313" width="8.625" style="7" customWidth="1"/>
    <col min="13314" max="13314" width="19.625" style="7" customWidth="1"/>
    <col min="13315" max="13315" width="8.625" style="7" customWidth="1"/>
    <col min="13316" max="13317" width="7.625" style="7" customWidth="1"/>
    <col min="13318" max="13318" width="11.125" style="7" customWidth="1"/>
    <col min="13319" max="13327" width="8.625" style="7" customWidth="1"/>
    <col min="13328" max="13328" width="11.125" style="7" customWidth="1"/>
    <col min="13329" max="13330" width="8.625" style="7" customWidth="1"/>
    <col min="13331" max="13568" width="9" style="7"/>
    <col min="13569" max="13569" width="8.625" style="7" customWidth="1"/>
    <col min="13570" max="13570" width="19.625" style="7" customWidth="1"/>
    <col min="13571" max="13571" width="8.625" style="7" customWidth="1"/>
    <col min="13572" max="13573" width="7.625" style="7" customWidth="1"/>
    <col min="13574" max="13574" width="11.125" style="7" customWidth="1"/>
    <col min="13575" max="13583" width="8.625" style="7" customWidth="1"/>
    <col min="13584" max="13584" width="11.125" style="7" customWidth="1"/>
    <col min="13585" max="13586" width="8.625" style="7" customWidth="1"/>
    <col min="13587" max="13824" width="9" style="7"/>
    <col min="13825" max="13825" width="8.625" style="7" customWidth="1"/>
    <col min="13826" max="13826" width="19.625" style="7" customWidth="1"/>
    <col min="13827" max="13827" width="8.625" style="7" customWidth="1"/>
    <col min="13828" max="13829" width="7.625" style="7" customWidth="1"/>
    <col min="13830" max="13830" width="11.125" style="7" customWidth="1"/>
    <col min="13831" max="13839" width="8.625" style="7" customWidth="1"/>
    <col min="13840" max="13840" width="11.125" style="7" customWidth="1"/>
    <col min="13841" max="13842" width="8.625" style="7" customWidth="1"/>
    <col min="13843" max="14080" width="9" style="7"/>
    <col min="14081" max="14081" width="8.625" style="7" customWidth="1"/>
    <col min="14082" max="14082" width="19.625" style="7" customWidth="1"/>
    <col min="14083" max="14083" width="8.625" style="7" customWidth="1"/>
    <col min="14084" max="14085" width="7.625" style="7" customWidth="1"/>
    <col min="14086" max="14086" width="11.125" style="7" customWidth="1"/>
    <col min="14087" max="14095" width="8.625" style="7" customWidth="1"/>
    <col min="14096" max="14096" width="11.125" style="7" customWidth="1"/>
    <col min="14097" max="14098" width="8.625" style="7" customWidth="1"/>
    <col min="14099" max="14336" width="9" style="7"/>
    <col min="14337" max="14337" width="8.625" style="7" customWidth="1"/>
    <col min="14338" max="14338" width="19.625" style="7" customWidth="1"/>
    <col min="14339" max="14339" width="8.625" style="7" customWidth="1"/>
    <col min="14340" max="14341" width="7.625" style="7" customWidth="1"/>
    <col min="14342" max="14342" width="11.125" style="7" customWidth="1"/>
    <col min="14343" max="14351" width="8.625" style="7" customWidth="1"/>
    <col min="14352" max="14352" width="11.125" style="7" customWidth="1"/>
    <col min="14353" max="14354" width="8.625" style="7" customWidth="1"/>
    <col min="14355" max="14592" width="9" style="7"/>
    <col min="14593" max="14593" width="8.625" style="7" customWidth="1"/>
    <col min="14594" max="14594" width="19.625" style="7" customWidth="1"/>
    <col min="14595" max="14595" width="8.625" style="7" customWidth="1"/>
    <col min="14596" max="14597" width="7.625" style="7" customWidth="1"/>
    <col min="14598" max="14598" width="11.125" style="7" customWidth="1"/>
    <col min="14599" max="14607" width="8.625" style="7" customWidth="1"/>
    <col min="14608" max="14608" width="11.125" style="7" customWidth="1"/>
    <col min="14609" max="14610" width="8.625" style="7" customWidth="1"/>
    <col min="14611" max="14848" width="9" style="7"/>
    <col min="14849" max="14849" width="8.625" style="7" customWidth="1"/>
    <col min="14850" max="14850" width="19.625" style="7" customWidth="1"/>
    <col min="14851" max="14851" width="8.625" style="7" customWidth="1"/>
    <col min="14852" max="14853" width="7.625" style="7" customWidth="1"/>
    <col min="14854" max="14854" width="11.125" style="7" customWidth="1"/>
    <col min="14855" max="14863" width="8.625" style="7" customWidth="1"/>
    <col min="14864" max="14864" width="11.125" style="7" customWidth="1"/>
    <col min="14865" max="14866" width="8.625" style="7" customWidth="1"/>
    <col min="14867" max="15104" width="9" style="7"/>
    <col min="15105" max="15105" width="8.625" style="7" customWidth="1"/>
    <col min="15106" max="15106" width="19.625" style="7" customWidth="1"/>
    <col min="15107" max="15107" width="8.625" style="7" customWidth="1"/>
    <col min="15108" max="15109" width="7.625" style="7" customWidth="1"/>
    <col min="15110" max="15110" width="11.125" style="7" customWidth="1"/>
    <col min="15111" max="15119" width="8.625" style="7" customWidth="1"/>
    <col min="15120" max="15120" width="11.125" style="7" customWidth="1"/>
    <col min="15121" max="15122" width="8.625" style="7" customWidth="1"/>
    <col min="15123" max="15360" width="9" style="7"/>
    <col min="15361" max="15361" width="8.625" style="7" customWidth="1"/>
    <col min="15362" max="15362" width="19.625" style="7" customWidth="1"/>
    <col min="15363" max="15363" width="8.625" style="7" customWidth="1"/>
    <col min="15364" max="15365" width="7.625" style="7" customWidth="1"/>
    <col min="15366" max="15366" width="11.125" style="7" customWidth="1"/>
    <col min="15367" max="15375" width="8.625" style="7" customWidth="1"/>
    <col min="15376" max="15376" width="11.125" style="7" customWidth="1"/>
    <col min="15377" max="15378" width="8.625" style="7" customWidth="1"/>
    <col min="15379" max="15616" width="9" style="7"/>
    <col min="15617" max="15617" width="8.625" style="7" customWidth="1"/>
    <col min="15618" max="15618" width="19.625" style="7" customWidth="1"/>
    <col min="15619" max="15619" width="8.625" style="7" customWidth="1"/>
    <col min="15620" max="15621" width="7.625" style="7" customWidth="1"/>
    <col min="15622" max="15622" width="11.125" style="7" customWidth="1"/>
    <col min="15623" max="15631" width="8.625" style="7" customWidth="1"/>
    <col min="15632" max="15632" width="11.125" style="7" customWidth="1"/>
    <col min="15633" max="15634" width="8.625" style="7" customWidth="1"/>
    <col min="15635" max="15872" width="9" style="7"/>
    <col min="15873" max="15873" width="8.625" style="7" customWidth="1"/>
    <col min="15874" max="15874" width="19.625" style="7" customWidth="1"/>
    <col min="15875" max="15875" width="8.625" style="7" customWidth="1"/>
    <col min="15876" max="15877" width="7.625" style="7" customWidth="1"/>
    <col min="15878" max="15878" width="11.125" style="7" customWidth="1"/>
    <col min="15879" max="15887" width="8.625" style="7" customWidth="1"/>
    <col min="15888" max="15888" width="11.125" style="7" customWidth="1"/>
    <col min="15889" max="15890" width="8.625" style="7" customWidth="1"/>
    <col min="15891" max="16128" width="9" style="7"/>
    <col min="16129" max="16129" width="8.625" style="7" customWidth="1"/>
    <col min="16130" max="16130" width="19.625" style="7" customWidth="1"/>
    <col min="16131" max="16131" width="8.625" style="7" customWidth="1"/>
    <col min="16132" max="16133" width="7.625" style="7" customWidth="1"/>
    <col min="16134" max="16134" width="11.125" style="7" customWidth="1"/>
    <col min="16135" max="16143" width="8.625" style="7" customWidth="1"/>
    <col min="16144" max="16144" width="11.125" style="7" customWidth="1"/>
    <col min="16145" max="16146" width="8.625" style="7" customWidth="1"/>
    <col min="16147" max="16384" width="9" style="7"/>
  </cols>
  <sheetData>
    <row r="1" spans="1:23" ht="18" customHeight="1">
      <c r="A1" s="1" t="s">
        <v>27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4"/>
      <c r="N1" s="4"/>
      <c r="O1" s="5"/>
      <c r="P1" s="2"/>
      <c r="Q1" s="2"/>
      <c r="R1" s="6"/>
    </row>
    <row r="2" spans="1:23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10"/>
      <c r="M2" s="10"/>
      <c r="N2" s="237"/>
      <c r="O2" s="237"/>
      <c r="P2" s="237"/>
      <c r="Q2" s="11"/>
      <c r="R2" s="6"/>
    </row>
    <row r="3" spans="1:23" s="13" customFormat="1" ht="23.1" customHeight="1">
      <c r="A3" s="238" t="s">
        <v>0</v>
      </c>
      <c r="B3" s="239"/>
      <c r="C3" s="240" t="s">
        <v>36</v>
      </c>
      <c r="D3" s="241"/>
      <c r="E3" s="241"/>
      <c r="F3" s="241"/>
      <c r="G3" s="241"/>
      <c r="H3" s="242"/>
      <c r="I3" s="12" t="s">
        <v>28</v>
      </c>
      <c r="J3" s="243">
        <v>600000</v>
      </c>
      <c r="K3" s="244"/>
      <c r="L3" s="244"/>
      <c r="M3" s="363"/>
      <c r="N3" s="245"/>
      <c r="O3" s="246"/>
      <c r="P3" s="251" t="s">
        <v>1</v>
      </c>
      <c r="Q3" s="251"/>
      <c r="R3" s="251"/>
    </row>
    <row r="4" spans="1:23" s="13" customFormat="1" ht="23.1" customHeight="1">
      <c r="A4" s="252" t="s">
        <v>29</v>
      </c>
      <c r="B4" s="253"/>
      <c r="C4" s="254" t="s">
        <v>37</v>
      </c>
      <c r="D4" s="255"/>
      <c r="E4" s="255"/>
      <c r="F4" s="255"/>
      <c r="G4" s="255"/>
      <c r="H4" s="256"/>
      <c r="I4" s="14" t="s">
        <v>30</v>
      </c>
      <c r="J4" s="257">
        <v>600000</v>
      </c>
      <c r="K4" s="258"/>
      <c r="L4" s="258"/>
      <c r="M4" s="366"/>
      <c r="N4" s="247"/>
      <c r="O4" s="248"/>
      <c r="P4" s="367">
        <v>45898</v>
      </c>
      <c r="Q4" s="368"/>
      <c r="R4" s="369"/>
    </row>
    <row r="5" spans="1:23" s="13" customFormat="1" ht="23.1" customHeight="1" thickBot="1">
      <c r="A5" s="261" t="s">
        <v>2</v>
      </c>
      <c r="B5" s="262"/>
      <c r="C5" s="263">
        <f>J3-G31</f>
        <v>-512918</v>
      </c>
      <c r="D5" s="264"/>
      <c r="E5" s="264"/>
      <c r="F5" s="264"/>
      <c r="G5" s="264"/>
      <c r="H5" s="265"/>
      <c r="I5" s="15" t="s">
        <v>3</v>
      </c>
      <c r="J5" s="266">
        <f>SUM(J3:M4)</f>
        <v>1200000</v>
      </c>
      <c r="K5" s="267"/>
      <c r="L5" s="267"/>
      <c r="M5" s="362"/>
      <c r="N5" s="247"/>
      <c r="O5" s="248"/>
      <c r="P5" s="370"/>
      <c r="Q5" s="381"/>
      <c r="R5" s="372"/>
    </row>
    <row r="6" spans="1:23" s="13" customFormat="1" ht="23.1" customHeight="1" thickBot="1">
      <c r="A6" s="268" t="s">
        <v>4</v>
      </c>
      <c r="B6" s="268"/>
      <c r="C6" s="269" t="s">
        <v>5</v>
      </c>
      <c r="D6" s="269"/>
      <c r="E6" s="270"/>
      <c r="F6" s="270"/>
      <c r="G6" s="270" t="s">
        <v>6</v>
      </c>
      <c r="H6" s="270"/>
      <c r="I6" s="16">
        <f>J5-I31</f>
        <v>104440</v>
      </c>
      <c r="J6" s="271"/>
      <c r="K6" s="380"/>
      <c r="L6" s="380"/>
      <c r="M6" s="380"/>
      <c r="N6" s="364"/>
      <c r="O6" s="365"/>
      <c r="P6" s="373"/>
      <c r="Q6" s="382"/>
      <c r="R6" s="375"/>
    </row>
    <row r="7" spans="1:23" s="13" customFormat="1" ht="18" customHeight="1" thickBot="1">
      <c r="A7" s="280" t="s">
        <v>7</v>
      </c>
      <c r="B7" s="280"/>
      <c r="C7" s="282" t="s">
        <v>31</v>
      </c>
      <c r="D7" s="284" t="s">
        <v>32</v>
      </c>
      <c r="E7" s="286" t="s">
        <v>26</v>
      </c>
      <c r="F7" s="287"/>
      <c r="G7" s="290" t="s">
        <v>33</v>
      </c>
      <c r="H7" s="287"/>
      <c r="I7" s="278" t="s">
        <v>34</v>
      </c>
      <c r="J7" s="122">
        <v>2023</v>
      </c>
      <c r="K7" s="17"/>
      <c r="L7" s="17">
        <v>2024</v>
      </c>
      <c r="M7" s="124"/>
      <c r="N7" s="349" t="s">
        <v>8</v>
      </c>
      <c r="O7" s="351" t="s">
        <v>9</v>
      </c>
      <c r="P7" s="297" t="s">
        <v>10</v>
      </c>
      <c r="Q7" s="273" t="s">
        <v>11</v>
      </c>
      <c r="R7" s="274" t="s">
        <v>12</v>
      </c>
      <c r="T7" s="218">
        <v>2023</v>
      </c>
      <c r="U7" s="17"/>
      <c r="V7" s="17">
        <v>2024</v>
      </c>
      <c r="W7" s="124"/>
    </row>
    <row r="8" spans="1:23" s="13" customFormat="1" ht="44.25" customHeight="1" thickBot="1">
      <c r="A8" s="355"/>
      <c r="B8" s="355"/>
      <c r="C8" s="356"/>
      <c r="D8" s="357"/>
      <c r="E8" s="358"/>
      <c r="F8" s="359"/>
      <c r="G8" s="360"/>
      <c r="H8" s="359"/>
      <c r="I8" s="361"/>
      <c r="J8" s="123" t="s">
        <v>48</v>
      </c>
      <c r="K8" s="123" t="s">
        <v>54</v>
      </c>
      <c r="L8" s="123" t="s">
        <v>55</v>
      </c>
      <c r="M8" s="123" t="s">
        <v>54</v>
      </c>
      <c r="N8" s="350"/>
      <c r="O8" s="352"/>
      <c r="P8" s="298"/>
      <c r="Q8" s="273"/>
      <c r="R8" s="274"/>
      <c r="T8" s="220" t="s">
        <v>48</v>
      </c>
      <c r="U8" s="217" t="s">
        <v>54</v>
      </c>
      <c r="V8" s="123" t="s">
        <v>55</v>
      </c>
      <c r="W8" s="123" t="s">
        <v>54</v>
      </c>
    </row>
    <row r="9" spans="1:23" ht="18.95" customHeight="1" thickTop="1">
      <c r="A9" s="327" t="s">
        <v>38</v>
      </c>
      <c r="B9" s="147" t="s">
        <v>39</v>
      </c>
      <c r="C9" s="119" t="s">
        <v>40</v>
      </c>
      <c r="D9" s="118">
        <v>15805</v>
      </c>
      <c r="E9" s="353">
        <v>82000</v>
      </c>
      <c r="F9" s="309"/>
      <c r="G9" s="354">
        <v>88000</v>
      </c>
      <c r="H9" s="309"/>
      <c r="I9" s="148">
        <v>88000</v>
      </c>
      <c r="J9" s="133">
        <v>1000</v>
      </c>
      <c r="K9" s="133">
        <v>2000</v>
      </c>
      <c r="L9" s="133">
        <v>0</v>
      </c>
      <c r="M9" s="133">
        <v>100</v>
      </c>
      <c r="N9" s="134">
        <f>SUM(J9:M9)</f>
        <v>3100</v>
      </c>
      <c r="O9" s="135">
        <f>I9-N9</f>
        <v>84900</v>
      </c>
      <c r="P9" s="136">
        <f>G9-I9</f>
        <v>0</v>
      </c>
      <c r="Q9" s="137"/>
      <c r="R9" s="138" t="e">
        <f>N9/Q9</f>
        <v>#DIV/0!</v>
      </c>
      <c r="T9" s="221"/>
      <c r="U9" s="133"/>
      <c r="V9" s="133"/>
      <c r="W9" s="133"/>
    </row>
    <row r="10" spans="1:23" ht="18.95" customHeight="1">
      <c r="A10" s="328"/>
      <c r="B10" s="149"/>
      <c r="C10" s="150" t="s">
        <v>41</v>
      </c>
      <c r="D10" s="151"/>
      <c r="E10" s="345">
        <v>0</v>
      </c>
      <c r="F10" s="342"/>
      <c r="G10" s="341">
        <v>0</v>
      </c>
      <c r="H10" s="342"/>
      <c r="I10" s="152">
        <v>0</v>
      </c>
      <c r="J10" s="159">
        <v>0</v>
      </c>
      <c r="K10" s="159">
        <v>0</v>
      </c>
      <c r="L10" s="159">
        <v>0</v>
      </c>
      <c r="M10" s="159">
        <v>100</v>
      </c>
      <c r="N10" s="160">
        <f>SUM(J10:M10)</f>
        <v>100</v>
      </c>
      <c r="O10" s="161">
        <f>I10-N10</f>
        <v>-100</v>
      </c>
      <c r="P10" s="162">
        <f>G10-I10</f>
        <v>0</v>
      </c>
      <c r="Q10" s="163"/>
      <c r="R10" s="164" t="e">
        <f t="shared" ref="R10:R17" si="0">N10/Q10</f>
        <v>#DIV/0!</v>
      </c>
      <c r="T10" s="222"/>
      <c r="U10" s="159"/>
      <c r="V10" s="159"/>
      <c r="W10" s="159"/>
    </row>
    <row r="11" spans="1:23" ht="18.95" customHeight="1">
      <c r="A11" s="329" t="s">
        <v>51</v>
      </c>
      <c r="B11" s="153" t="s">
        <v>42</v>
      </c>
      <c r="C11" s="154" t="s">
        <v>43</v>
      </c>
      <c r="D11" s="155">
        <v>15806</v>
      </c>
      <c r="E11" s="346">
        <v>165000</v>
      </c>
      <c r="F11" s="344"/>
      <c r="G11" s="343">
        <v>167500</v>
      </c>
      <c r="H11" s="344"/>
      <c r="I11" s="156">
        <v>167500</v>
      </c>
      <c r="J11" s="133">
        <v>0</v>
      </c>
      <c r="K11" s="133">
        <v>0</v>
      </c>
      <c r="L11" s="133">
        <v>10</v>
      </c>
      <c r="M11" s="133">
        <v>100</v>
      </c>
      <c r="N11" s="134">
        <f>SUM(J11:M11)</f>
        <v>110</v>
      </c>
      <c r="O11" s="135">
        <f>I11-N11</f>
        <v>167390</v>
      </c>
      <c r="P11" s="136">
        <f>G11-I11</f>
        <v>0</v>
      </c>
      <c r="Q11" s="165"/>
      <c r="R11" s="138" t="e">
        <f t="shared" si="0"/>
        <v>#DIV/0!</v>
      </c>
      <c r="T11" s="221"/>
      <c r="U11" s="133"/>
      <c r="V11" s="133"/>
      <c r="W11" s="133"/>
    </row>
    <row r="12" spans="1:23" ht="18.95" customHeight="1">
      <c r="A12" s="328"/>
      <c r="B12" s="149"/>
      <c r="C12" s="150" t="s">
        <v>44</v>
      </c>
      <c r="D12" s="151"/>
      <c r="E12" s="345">
        <v>0</v>
      </c>
      <c r="F12" s="342"/>
      <c r="G12" s="341">
        <v>0</v>
      </c>
      <c r="H12" s="342"/>
      <c r="I12" s="152">
        <v>0</v>
      </c>
      <c r="J12" s="159">
        <v>0</v>
      </c>
      <c r="K12" s="159">
        <v>0</v>
      </c>
      <c r="L12" s="159">
        <v>20</v>
      </c>
      <c r="M12" s="159">
        <v>100</v>
      </c>
      <c r="N12" s="160">
        <f>SUM(J12:M12)</f>
        <v>120</v>
      </c>
      <c r="O12" s="161">
        <f>I12-N12</f>
        <v>-120</v>
      </c>
      <c r="P12" s="162">
        <f>G12-I12</f>
        <v>0</v>
      </c>
      <c r="Q12" s="163"/>
      <c r="R12" s="164" t="e">
        <f t="shared" si="0"/>
        <v>#DIV/0!</v>
      </c>
      <c r="T12" s="222"/>
      <c r="U12" s="159"/>
      <c r="V12" s="159"/>
      <c r="W12" s="159"/>
    </row>
    <row r="13" spans="1:23" ht="18.95" customHeight="1">
      <c r="A13" s="329" t="s">
        <v>52</v>
      </c>
      <c r="B13" s="153" t="s">
        <v>39</v>
      </c>
      <c r="C13" s="154" t="s">
        <v>45</v>
      </c>
      <c r="D13" s="155">
        <v>15805</v>
      </c>
      <c r="E13" s="346">
        <v>351418</v>
      </c>
      <c r="F13" s="344"/>
      <c r="G13" s="343">
        <v>351418</v>
      </c>
      <c r="H13" s="344"/>
      <c r="I13" s="156">
        <v>115000</v>
      </c>
      <c r="J13" s="133">
        <v>0</v>
      </c>
      <c r="K13" s="133">
        <v>0</v>
      </c>
      <c r="L13" s="133">
        <v>0</v>
      </c>
      <c r="M13" s="133">
        <v>100</v>
      </c>
      <c r="N13" s="134">
        <f>SUM(J13:M13)</f>
        <v>100</v>
      </c>
      <c r="O13" s="135">
        <f>I13-N13</f>
        <v>114900</v>
      </c>
      <c r="P13" s="136">
        <f>G13-I13</f>
        <v>236418</v>
      </c>
      <c r="Q13" s="165"/>
      <c r="R13" s="138" t="e">
        <f t="shared" si="0"/>
        <v>#DIV/0!</v>
      </c>
      <c r="T13" s="221"/>
      <c r="U13" s="133"/>
      <c r="V13" s="133"/>
      <c r="W13" s="133"/>
    </row>
    <row r="14" spans="1:23" ht="18.95" customHeight="1">
      <c r="A14" s="330"/>
      <c r="B14" s="149" t="s">
        <v>39</v>
      </c>
      <c r="C14" s="150" t="s">
        <v>45</v>
      </c>
      <c r="D14" s="151">
        <v>15807</v>
      </c>
      <c r="E14" s="345">
        <v>351418</v>
      </c>
      <c r="F14" s="342"/>
      <c r="G14" s="341"/>
      <c r="H14" s="342"/>
      <c r="I14" s="152">
        <v>115000</v>
      </c>
      <c r="J14" s="159">
        <v>0</v>
      </c>
      <c r="K14" s="159">
        <v>0</v>
      </c>
      <c r="L14" s="159">
        <v>0</v>
      </c>
      <c r="M14" s="159">
        <v>100</v>
      </c>
      <c r="N14" s="160">
        <f>SUM(J14:M14)</f>
        <v>100</v>
      </c>
      <c r="O14" s="161">
        <f>I14-N14</f>
        <v>114900</v>
      </c>
      <c r="P14" s="162">
        <f>G14-I14</f>
        <v>-115000</v>
      </c>
      <c r="Q14" s="163"/>
      <c r="R14" s="164" t="e">
        <f t="shared" si="0"/>
        <v>#DIV/0!</v>
      </c>
      <c r="T14" s="222"/>
      <c r="U14" s="159"/>
      <c r="V14" s="159"/>
      <c r="W14" s="159"/>
    </row>
    <row r="15" spans="1:23" ht="18.95" customHeight="1">
      <c r="A15" s="330"/>
      <c r="B15" s="149" t="s">
        <v>46</v>
      </c>
      <c r="C15" s="150" t="s">
        <v>45</v>
      </c>
      <c r="D15" s="151">
        <v>15805</v>
      </c>
      <c r="E15" s="345">
        <v>351418</v>
      </c>
      <c r="F15" s="342"/>
      <c r="G15" s="341"/>
      <c r="H15" s="342"/>
      <c r="I15" s="152">
        <v>75000</v>
      </c>
      <c r="J15" s="159">
        <v>0</v>
      </c>
      <c r="K15" s="159">
        <v>0</v>
      </c>
      <c r="L15" s="159">
        <v>0</v>
      </c>
      <c r="M15" s="159">
        <v>100</v>
      </c>
      <c r="N15" s="160">
        <f>SUM(J15:M15)</f>
        <v>100</v>
      </c>
      <c r="O15" s="161">
        <f>I15-N15</f>
        <v>74900</v>
      </c>
      <c r="P15" s="162">
        <f>G15-I15</f>
        <v>-75000</v>
      </c>
      <c r="Q15" s="163"/>
      <c r="R15" s="164" t="e">
        <f t="shared" si="0"/>
        <v>#DIV/0!</v>
      </c>
      <c r="T15" s="222"/>
      <c r="U15" s="159"/>
      <c r="V15" s="159"/>
      <c r="W15" s="159"/>
    </row>
    <row r="16" spans="1:23" ht="18.95" customHeight="1">
      <c r="A16" s="330"/>
      <c r="B16" s="149" t="s">
        <v>46</v>
      </c>
      <c r="C16" s="150" t="s">
        <v>45</v>
      </c>
      <c r="D16" s="151">
        <v>15807</v>
      </c>
      <c r="E16" s="345">
        <v>351418</v>
      </c>
      <c r="F16" s="342"/>
      <c r="G16" s="341"/>
      <c r="H16" s="342"/>
      <c r="I16" s="152">
        <v>75000</v>
      </c>
      <c r="J16" s="159">
        <v>0</v>
      </c>
      <c r="K16" s="159">
        <v>0</v>
      </c>
      <c r="L16" s="159">
        <v>0</v>
      </c>
      <c r="M16" s="159">
        <v>100</v>
      </c>
      <c r="N16" s="160">
        <f>SUM(J16:M16)</f>
        <v>100</v>
      </c>
      <c r="O16" s="161">
        <f>I16-N16</f>
        <v>74900</v>
      </c>
      <c r="P16" s="162">
        <f>G16-I16</f>
        <v>-75000</v>
      </c>
      <c r="Q16" s="163"/>
      <c r="R16" s="164" t="e">
        <f t="shared" si="0"/>
        <v>#DIV/0!</v>
      </c>
      <c r="T16" s="222"/>
      <c r="U16" s="159"/>
      <c r="V16" s="159"/>
      <c r="W16" s="159"/>
    </row>
    <row r="17" spans="1:23" ht="18.95" customHeight="1" thickBot="1">
      <c r="A17" s="331"/>
      <c r="B17" s="177"/>
      <c r="C17" s="178" t="s">
        <v>47</v>
      </c>
      <c r="D17" s="179"/>
      <c r="E17" s="336">
        <v>0</v>
      </c>
      <c r="F17" s="337"/>
      <c r="G17" s="338">
        <v>0</v>
      </c>
      <c r="H17" s="337"/>
      <c r="I17" s="180">
        <v>0</v>
      </c>
      <c r="J17" s="181">
        <v>0</v>
      </c>
      <c r="K17" s="181">
        <v>0</v>
      </c>
      <c r="L17" s="181">
        <v>0</v>
      </c>
      <c r="M17" s="181">
        <v>200</v>
      </c>
      <c r="N17" s="182">
        <f>SUM(J17:M17)</f>
        <v>200</v>
      </c>
      <c r="O17" s="183">
        <f>I17-N17</f>
        <v>-200</v>
      </c>
      <c r="P17" s="184">
        <f>G17-I17</f>
        <v>0</v>
      </c>
      <c r="Q17" s="185"/>
      <c r="R17" s="186" t="e">
        <f t="shared" si="0"/>
        <v>#DIV/0!</v>
      </c>
      <c r="T17" s="219"/>
      <c r="U17" s="181"/>
      <c r="V17" s="181"/>
      <c r="W17" s="181"/>
    </row>
    <row r="18" spans="1:23" ht="18.95" customHeight="1" thickTop="1" thickBot="1">
      <c r="A18" s="31"/>
      <c r="B18" s="32" t="s">
        <v>13</v>
      </c>
      <c r="C18" s="33"/>
      <c r="D18" s="33"/>
      <c r="E18" s="303">
        <f>SUM(E9:F17)</f>
        <v>1652672</v>
      </c>
      <c r="F18" s="304"/>
      <c r="G18" s="305">
        <f>SUM(G9:H17)</f>
        <v>606918</v>
      </c>
      <c r="H18" s="304"/>
      <c r="I18" s="34">
        <f>SUM(I9:I17)</f>
        <v>635500</v>
      </c>
      <c r="J18" s="35"/>
      <c r="K18" s="35"/>
      <c r="L18" s="35"/>
      <c r="M18" s="35"/>
      <c r="N18" s="37">
        <f>SUM(N9:N17)</f>
        <v>4030</v>
      </c>
      <c r="O18" s="37">
        <f>SUM(O9:O17)</f>
        <v>631470</v>
      </c>
      <c r="P18" s="38">
        <f>SUM(P9:P17)</f>
        <v>-28582</v>
      </c>
      <c r="Q18" s="39">
        <f>SUM(Q9:Q17)</f>
        <v>0</v>
      </c>
      <c r="R18" s="40"/>
    </row>
    <row r="19" spans="1:23" ht="15" customHeight="1" thickTop="1" thickBot="1">
      <c r="A19" s="306"/>
      <c r="B19" s="307"/>
      <c r="C19" s="307"/>
      <c r="D19" s="307"/>
      <c r="E19" s="308"/>
      <c r="F19" s="308"/>
      <c r="G19" s="308"/>
      <c r="H19" s="308"/>
      <c r="I19" s="308"/>
      <c r="J19" s="307"/>
      <c r="K19" s="307"/>
      <c r="L19" s="307"/>
      <c r="M19" s="307"/>
      <c r="N19" s="307"/>
      <c r="O19" s="307"/>
      <c r="P19" s="307"/>
      <c r="Q19" s="308"/>
      <c r="R19" s="309"/>
    </row>
    <row r="20" spans="1:23" ht="18.95" customHeight="1" thickBot="1">
      <c r="A20" s="41"/>
      <c r="B20" s="42" t="s">
        <v>14</v>
      </c>
      <c r="C20" s="42"/>
      <c r="D20" s="43"/>
      <c r="E20" s="310" t="s">
        <v>35</v>
      </c>
      <c r="F20" s="311"/>
      <c r="G20" s="310" t="s">
        <v>15</v>
      </c>
      <c r="H20" s="311"/>
      <c r="I20" s="44" t="s">
        <v>16</v>
      </c>
      <c r="J20" s="45"/>
      <c r="K20" s="45"/>
      <c r="L20" s="45"/>
      <c r="M20" s="45"/>
      <c r="N20" s="45"/>
      <c r="O20" s="46"/>
      <c r="P20" s="47"/>
      <c r="Q20" s="47"/>
      <c r="R20" s="48"/>
    </row>
    <row r="21" spans="1:23" ht="18.95" customHeight="1">
      <c r="A21" s="332" t="s">
        <v>50</v>
      </c>
      <c r="B21" s="199" t="s">
        <v>39</v>
      </c>
      <c r="C21" s="189" t="s">
        <v>45</v>
      </c>
      <c r="D21" s="190">
        <v>15805</v>
      </c>
      <c r="E21" s="339">
        <v>351418</v>
      </c>
      <c r="F21" s="340"/>
      <c r="G21" s="339">
        <v>351418</v>
      </c>
      <c r="H21" s="340"/>
      <c r="I21" s="191">
        <v>115000</v>
      </c>
      <c r="J21" s="192">
        <v>0</v>
      </c>
      <c r="K21" s="192">
        <v>0</v>
      </c>
      <c r="L21" s="201">
        <v>0</v>
      </c>
      <c r="M21" s="206">
        <v>200</v>
      </c>
      <c r="N21" s="187">
        <f>SUM(J21:M21)</f>
        <v>200</v>
      </c>
      <c r="O21" s="135">
        <f>I21-N21</f>
        <v>114800</v>
      </c>
      <c r="P21" s="136">
        <f>G21-I21</f>
        <v>236418</v>
      </c>
      <c r="Q21" s="129"/>
      <c r="R21" s="168" t="e">
        <f t="shared" ref="R21:R24" si="1">N21/Q21</f>
        <v>#DIV/0!</v>
      </c>
      <c r="T21" s="383"/>
      <c r="U21" s="192"/>
      <c r="V21" s="201"/>
      <c r="W21" s="206"/>
    </row>
    <row r="22" spans="1:23" ht="18.95" customHeight="1">
      <c r="A22" s="333"/>
      <c r="B22" s="149" t="s">
        <v>39</v>
      </c>
      <c r="C22" s="150" t="s">
        <v>45</v>
      </c>
      <c r="D22" s="151">
        <v>15807</v>
      </c>
      <c r="E22" s="341">
        <v>351418</v>
      </c>
      <c r="F22" s="342"/>
      <c r="G22" s="341"/>
      <c r="H22" s="342"/>
      <c r="I22" s="171">
        <v>115000</v>
      </c>
      <c r="J22" s="159">
        <v>0</v>
      </c>
      <c r="K22" s="159">
        <v>0</v>
      </c>
      <c r="L22" s="202">
        <v>0</v>
      </c>
      <c r="M22" s="207">
        <v>200</v>
      </c>
      <c r="N22" s="160">
        <f>SUM(J22:M22)</f>
        <v>200</v>
      </c>
      <c r="O22" s="161">
        <f>I22-N22</f>
        <v>114800</v>
      </c>
      <c r="P22" s="162">
        <f>G22-I22</f>
        <v>-115000</v>
      </c>
      <c r="Q22" s="172"/>
      <c r="R22" s="173" t="e">
        <f t="shared" si="1"/>
        <v>#DIV/0!</v>
      </c>
      <c r="T22" s="384"/>
      <c r="U22" s="159"/>
      <c r="V22" s="202"/>
      <c r="W22" s="207"/>
    </row>
    <row r="23" spans="1:23" ht="18.95" customHeight="1">
      <c r="A23" s="334" t="s">
        <v>49</v>
      </c>
      <c r="B23" s="153" t="s">
        <v>39</v>
      </c>
      <c r="C23" s="154" t="s">
        <v>45</v>
      </c>
      <c r="D23" s="155">
        <v>15805</v>
      </c>
      <c r="E23" s="343">
        <v>351418</v>
      </c>
      <c r="F23" s="344"/>
      <c r="G23" s="343">
        <v>351418</v>
      </c>
      <c r="H23" s="344"/>
      <c r="I23" s="174">
        <v>115000</v>
      </c>
      <c r="J23" s="133">
        <v>0</v>
      </c>
      <c r="K23" s="133">
        <v>0</v>
      </c>
      <c r="L23" s="203">
        <v>0</v>
      </c>
      <c r="M23" s="209">
        <v>200</v>
      </c>
      <c r="N23" s="134">
        <f>SUM(J23:M23)</f>
        <v>200</v>
      </c>
      <c r="O23" s="135">
        <f>I23-N23</f>
        <v>114800</v>
      </c>
      <c r="P23" s="136">
        <f>G23-I23</f>
        <v>236418</v>
      </c>
      <c r="Q23" s="175"/>
      <c r="R23" s="176" t="e">
        <f t="shared" si="1"/>
        <v>#DIV/0!</v>
      </c>
      <c r="T23" s="385"/>
      <c r="U23" s="133"/>
      <c r="V23" s="203"/>
      <c r="W23" s="209"/>
    </row>
    <row r="24" spans="1:23" ht="18.95" customHeight="1" thickBot="1">
      <c r="A24" s="335"/>
      <c r="B24" s="200" t="s">
        <v>39</v>
      </c>
      <c r="C24" s="193" t="s">
        <v>45</v>
      </c>
      <c r="D24" s="194">
        <v>15807</v>
      </c>
      <c r="E24" s="347">
        <v>351418</v>
      </c>
      <c r="F24" s="348"/>
      <c r="G24" s="347"/>
      <c r="H24" s="348"/>
      <c r="I24" s="195">
        <v>115000</v>
      </c>
      <c r="J24" s="196">
        <v>0</v>
      </c>
      <c r="K24" s="196">
        <v>0</v>
      </c>
      <c r="L24" s="205">
        <v>0</v>
      </c>
      <c r="M24" s="208">
        <v>200</v>
      </c>
      <c r="N24" s="188">
        <f>SUM(J24:M24)</f>
        <v>200</v>
      </c>
      <c r="O24" s="157">
        <f>I24-N24</f>
        <v>114800</v>
      </c>
      <c r="P24" s="158">
        <f>G24-I24</f>
        <v>-115000</v>
      </c>
      <c r="Q24" s="169"/>
      <c r="R24" s="170" t="e">
        <f t="shared" si="1"/>
        <v>#DIV/0!</v>
      </c>
      <c r="T24" s="386"/>
      <c r="U24" s="196"/>
      <c r="V24" s="205"/>
      <c r="W24" s="208"/>
    </row>
    <row r="25" spans="1:23" ht="18.95" customHeight="1" thickTop="1" thickBot="1">
      <c r="A25" s="54"/>
      <c r="B25" s="55" t="s">
        <v>17</v>
      </c>
      <c r="C25" s="55"/>
      <c r="D25" s="56"/>
      <c r="E25" s="313">
        <f>SUM(E21:E24)</f>
        <v>1405672</v>
      </c>
      <c r="F25" s="314"/>
      <c r="G25" s="313">
        <f>SUM(G21:G24)</f>
        <v>702836</v>
      </c>
      <c r="H25" s="314"/>
      <c r="I25" s="57">
        <f>SUM(I21:I24)</f>
        <v>460000</v>
      </c>
      <c r="J25" s="58"/>
      <c r="K25" s="58"/>
      <c r="L25" s="58"/>
      <c r="M25" s="58"/>
      <c r="N25" s="59">
        <f>SUM(N21:N24)</f>
        <v>800</v>
      </c>
      <c r="O25" s="60">
        <f>SUM(O21:O24)</f>
        <v>459200</v>
      </c>
      <c r="P25" s="61">
        <f>SUM(P21:P24)</f>
        <v>242836</v>
      </c>
      <c r="Q25" s="62">
        <f>SUM(Q21:Q24)</f>
        <v>0</v>
      </c>
      <c r="R25" s="63"/>
    </row>
    <row r="26" spans="1:23" ht="2.25" customHeight="1" thickTop="1" thickBot="1">
      <c r="A26" s="64"/>
      <c r="B26" s="65"/>
      <c r="C26" s="65"/>
      <c r="D26" s="65"/>
      <c r="E26" s="65"/>
      <c r="F26" s="66"/>
      <c r="G26" s="65"/>
      <c r="H26" s="66"/>
      <c r="I26" s="67"/>
      <c r="J26" s="66"/>
      <c r="K26" s="66"/>
      <c r="L26" s="66"/>
      <c r="M26" s="66"/>
      <c r="N26" s="66"/>
      <c r="O26" s="68"/>
      <c r="P26" s="69"/>
      <c r="Q26" s="70"/>
      <c r="R26" s="71"/>
    </row>
    <row r="27" spans="1:23" ht="26.25" customHeight="1" thickTop="1" thickBot="1">
      <c r="A27" s="72"/>
      <c r="B27" s="73" t="s">
        <v>18</v>
      </c>
      <c r="C27" s="73"/>
      <c r="D27" s="73"/>
      <c r="E27" s="315"/>
      <c r="F27" s="316"/>
      <c r="G27" s="315"/>
      <c r="H27" s="316"/>
      <c r="I27" s="74"/>
      <c r="J27" s="74"/>
      <c r="K27" s="74"/>
      <c r="L27" s="74"/>
      <c r="M27" s="74"/>
      <c r="N27" s="75">
        <f>SUM(N25,N18)</f>
        <v>4830</v>
      </c>
      <c r="O27" s="76">
        <f>SUM(O25,O18)</f>
        <v>1090670</v>
      </c>
      <c r="P27" s="77">
        <f>P18+P25</f>
        <v>214254</v>
      </c>
      <c r="Q27" s="78">
        <f>SUM(Q25,Q18)</f>
        <v>0</v>
      </c>
      <c r="R27" s="79"/>
    </row>
    <row r="28" spans="1:23" ht="2.25" customHeight="1" thickTop="1" thickBot="1">
      <c r="A28" s="80"/>
      <c r="B28" s="81"/>
      <c r="C28" s="81"/>
      <c r="D28" s="81"/>
      <c r="E28" s="81"/>
      <c r="F28" s="82"/>
      <c r="G28" s="81"/>
      <c r="H28" s="82"/>
      <c r="I28" s="83"/>
      <c r="J28" s="82"/>
      <c r="K28" s="82"/>
      <c r="L28" s="82"/>
      <c r="M28" s="82"/>
      <c r="N28" s="82"/>
      <c r="O28" s="84"/>
      <c r="P28" s="85"/>
      <c r="Q28" s="86"/>
      <c r="R28" s="87"/>
    </row>
    <row r="29" spans="1:23" ht="18.2" customHeight="1" thickBot="1">
      <c r="A29" s="88"/>
      <c r="B29" s="73"/>
      <c r="C29" s="73"/>
      <c r="D29" s="73"/>
      <c r="E29" s="73"/>
      <c r="F29" s="29"/>
      <c r="G29" s="73"/>
      <c r="H29" s="29"/>
      <c r="I29" s="89"/>
      <c r="J29" s="29"/>
      <c r="K29" s="29"/>
      <c r="L29" s="29"/>
      <c r="M29" s="29"/>
      <c r="N29" s="29"/>
      <c r="O29" s="90"/>
      <c r="P29" s="91"/>
      <c r="Q29" s="92"/>
      <c r="R29" s="91"/>
    </row>
    <row r="30" spans="1:23" ht="18.2" customHeight="1" thickBot="1">
      <c r="A30" s="93" t="s">
        <v>19</v>
      </c>
      <c r="B30" s="317" t="s">
        <v>20</v>
      </c>
      <c r="C30" s="318"/>
      <c r="D30" s="94"/>
      <c r="E30" s="319">
        <v>303000</v>
      </c>
      <c r="F30" s="320"/>
      <c r="G30" s="321">
        <v>506000</v>
      </c>
      <c r="H30" s="322"/>
      <c r="I30" s="95">
        <v>60</v>
      </c>
      <c r="J30" s="132">
        <v>30</v>
      </c>
      <c r="K30" s="132">
        <v>60</v>
      </c>
      <c r="L30" s="132">
        <v>90</v>
      </c>
      <c r="M30" s="132">
        <v>300</v>
      </c>
      <c r="N30" s="97">
        <f>SUM(J30:M30)</f>
        <v>480</v>
      </c>
      <c r="O30" s="98">
        <f>I30-N30</f>
        <v>-420</v>
      </c>
      <c r="P30" s="99">
        <f>G30-I30</f>
        <v>505940</v>
      </c>
      <c r="Q30" s="100"/>
      <c r="R30" s="101" t="e">
        <f>N30/Q30</f>
        <v>#DIV/0!</v>
      </c>
    </row>
    <row r="31" spans="1:23" ht="18.2" customHeight="1">
      <c r="A31" s="102"/>
      <c r="B31" s="323" t="s">
        <v>21</v>
      </c>
      <c r="C31" s="324"/>
      <c r="D31" s="103"/>
      <c r="E31" s="325">
        <f>SUM(E18,F25,E30)</f>
        <v>1955672</v>
      </c>
      <c r="F31" s="326"/>
      <c r="G31" s="325">
        <f>SUM(G18,H25,G30)</f>
        <v>1112918</v>
      </c>
      <c r="H31" s="326"/>
      <c r="I31" s="104">
        <f>SUM(I30,I25,I18)</f>
        <v>1095560</v>
      </c>
      <c r="J31" s="105">
        <f>SUM(J9:J30)</f>
        <v>1030</v>
      </c>
      <c r="K31" s="105">
        <f>SUM(K9:K30)</f>
        <v>2060</v>
      </c>
      <c r="L31" s="105">
        <f>SUM(L9:L30)</f>
        <v>120</v>
      </c>
      <c r="M31" s="105">
        <f>SUM(M9:M30)</f>
        <v>2100</v>
      </c>
      <c r="N31" s="105">
        <f>SUM(J31:M31)</f>
        <v>5310</v>
      </c>
      <c r="O31" s="106">
        <f>I31-N31</f>
        <v>1090250</v>
      </c>
      <c r="P31" s="107">
        <f>SUM(P30,P27)</f>
        <v>720194</v>
      </c>
      <c r="Q31" s="108">
        <f>SUM(Q30,Q27)</f>
        <v>0</v>
      </c>
      <c r="R31" s="109"/>
    </row>
    <row r="32" spans="1:23" ht="25.5" customHeight="1">
      <c r="A32" s="110"/>
      <c r="B32" s="110"/>
      <c r="C32" s="110"/>
      <c r="D32" s="110"/>
      <c r="E32" s="110"/>
      <c r="F32" s="111"/>
      <c r="G32" s="110"/>
      <c r="H32" s="111"/>
      <c r="I32" s="112"/>
      <c r="J32" s="112"/>
      <c r="K32" s="112"/>
      <c r="L32" s="112"/>
      <c r="M32" s="112"/>
      <c r="N32" s="112"/>
      <c r="O32" s="113"/>
      <c r="P32" s="110"/>
      <c r="Q32" s="110"/>
    </row>
    <row r="33" spans="1:13" ht="6" customHeight="1"/>
    <row r="34" spans="1:13" ht="18" customHeight="1">
      <c r="A34" s="13" t="s">
        <v>22</v>
      </c>
    </row>
    <row r="35" spans="1:13" ht="18" customHeight="1">
      <c r="A35" s="312" t="s">
        <v>23</v>
      </c>
      <c r="B35" s="312"/>
      <c r="C35" s="312"/>
      <c r="D35" s="312"/>
      <c r="E35" s="312"/>
      <c r="F35" s="312"/>
      <c r="G35" s="312"/>
      <c r="H35" s="312"/>
      <c r="I35" s="312"/>
      <c r="J35" s="312"/>
      <c r="K35" s="312"/>
      <c r="L35" s="312"/>
      <c r="M35" s="312"/>
    </row>
    <row r="36" spans="1:13" ht="18" customHeight="1">
      <c r="A36" s="312" t="s">
        <v>24</v>
      </c>
      <c r="B36" s="312"/>
      <c r="C36" s="312"/>
      <c r="D36" s="312"/>
      <c r="E36" s="312"/>
      <c r="F36" s="312"/>
    </row>
    <row r="37" spans="1:13" ht="18" customHeight="1">
      <c r="A37" s="312" t="s">
        <v>25</v>
      </c>
      <c r="B37" s="312"/>
      <c r="C37" s="312"/>
      <c r="D37" s="312"/>
      <c r="E37" s="312"/>
      <c r="F37" s="312"/>
    </row>
  </sheetData>
  <mergeCells count="77">
    <mergeCell ref="A9:A10"/>
    <mergeCell ref="A11:A12"/>
    <mergeCell ref="A13:A17"/>
    <mergeCell ref="A21:A22"/>
    <mergeCell ref="A23:A24"/>
    <mergeCell ref="E17:F17"/>
    <mergeCell ref="G17:H17"/>
    <mergeCell ref="E21:F21"/>
    <mergeCell ref="G21:H21"/>
    <mergeCell ref="E22:F22"/>
    <mergeCell ref="G22:H22"/>
    <mergeCell ref="G13:H13"/>
    <mergeCell ref="E14:F14"/>
    <mergeCell ref="G14:H14"/>
    <mergeCell ref="E15:F15"/>
    <mergeCell ref="G15:H15"/>
    <mergeCell ref="E16:F16"/>
    <mergeCell ref="G16:H16"/>
    <mergeCell ref="A35:M35"/>
    <mergeCell ref="A36:F36"/>
    <mergeCell ref="A37:F37"/>
    <mergeCell ref="E10:F10"/>
    <mergeCell ref="G10:H10"/>
    <mergeCell ref="E11:F11"/>
    <mergeCell ref="G11:H11"/>
    <mergeCell ref="E12:F12"/>
    <mergeCell ref="G12:H12"/>
    <mergeCell ref="E13:F13"/>
    <mergeCell ref="E27:F27"/>
    <mergeCell ref="G27:H27"/>
    <mergeCell ref="B30:C30"/>
    <mergeCell ref="E30:F30"/>
    <mergeCell ref="G30:H30"/>
    <mergeCell ref="B31:C31"/>
    <mergeCell ref="E31:F31"/>
    <mergeCell ref="G31:H31"/>
    <mergeCell ref="E25:F25"/>
    <mergeCell ref="G25:H25"/>
    <mergeCell ref="E23:F23"/>
    <mergeCell ref="G23:H23"/>
    <mergeCell ref="E24:F24"/>
    <mergeCell ref="G24:H24"/>
    <mergeCell ref="E18:F18"/>
    <mergeCell ref="G18:H18"/>
    <mergeCell ref="A19:R19"/>
    <mergeCell ref="E20:F20"/>
    <mergeCell ref="G20:H20"/>
    <mergeCell ref="N7:N8"/>
    <mergeCell ref="O7:O8"/>
    <mergeCell ref="P7:P8"/>
    <mergeCell ref="Q7:Q8"/>
    <mergeCell ref="R7:R8"/>
    <mergeCell ref="E9:F9"/>
    <mergeCell ref="G9:H9"/>
    <mergeCell ref="A7:B8"/>
    <mergeCell ref="C7:C8"/>
    <mergeCell ref="D7:D8"/>
    <mergeCell ref="E7:F8"/>
    <mergeCell ref="G7:H8"/>
    <mergeCell ref="I7:I8"/>
    <mergeCell ref="A5:B5"/>
    <mergeCell ref="C5:H5"/>
    <mergeCell ref="J5:M5"/>
    <mergeCell ref="A6:B6"/>
    <mergeCell ref="C6:F6"/>
    <mergeCell ref="G6:H6"/>
    <mergeCell ref="J6:M6"/>
    <mergeCell ref="N2:P2"/>
    <mergeCell ref="A3:B3"/>
    <mergeCell ref="C3:H3"/>
    <mergeCell ref="J3:M3"/>
    <mergeCell ref="N3:O6"/>
    <mergeCell ref="P3:R3"/>
    <mergeCell ref="A4:B4"/>
    <mergeCell ref="C4:H4"/>
    <mergeCell ref="J4:M4"/>
    <mergeCell ref="P4:R6"/>
  </mergeCells>
  <phoneticPr fontId="2"/>
  <pageMargins left="0.7" right="0.7" top="0.75" bottom="0.75" header="0.3" footer="0.3"/>
  <pageSetup paperSize="9" scale="4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templete</vt:lpstr>
      <vt:lpstr>精算書（支払台帳）作成</vt:lpstr>
      <vt:lpstr>精算書（支払台帳）_202311~202504</vt:lpstr>
      <vt:lpstr>精算書（支払台帳）_202501~202508</vt:lpstr>
      <vt:lpstr>精算書（支払台帳）_202311~202412</vt:lpstr>
      <vt:lpstr>templete!Print_Area</vt:lpstr>
      <vt:lpstr>'精算書（支払台帳）_202311~202412'!Print_Area</vt:lpstr>
      <vt:lpstr>'精算書（支払台帳）_202311~202504'!Print_Area</vt:lpstr>
      <vt:lpstr>'精算書（支払台帳）_202501~202508'!Print_Area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2025-08-29T04:40:37Z</dcterms:modified>
</cp:coreProperties>
</file>