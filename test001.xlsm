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ntaladmin\Desktop\"/>
    </mc:Choice>
  </mc:AlternateContent>
  <xr:revisionPtr revIDLastSave="0" documentId="13_ncr:1_{9E722260-27B7-402B-B496-99CB8E0F4BAD}" xr6:coauthVersionLast="47" xr6:coauthVersionMax="47" xr10:uidLastSave="{00000000-0000-0000-0000-000000000000}"/>
  <bookViews>
    <workbookView xWindow="-120" yWindow="-120" windowWidth="29040" windowHeight="15720" firstSheet="1" activeTab="11" xr2:uid="{00000000-000D-0000-FFFF-FFFF00000000}"/>
  </bookViews>
  <sheets>
    <sheet name="templete" sheetId="8" state="hidden" r:id="rId1"/>
    <sheet name="精算書（支払台帳）作成" sheetId="20" r:id="rId2"/>
    <sheet name="1" sheetId="21" r:id="rId3"/>
    <sheet name="2" sheetId="22" r:id="rId4"/>
    <sheet name="3" sheetId="23" r:id="rId5"/>
    <sheet name="4" sheetId="24" r:id="rId6"/>
    <sheet name="error" sheetId="33" r:id="rId7"/>
    <sheet name="5" sheetId="40" r:id="rId8"/>
    <sheet name="5-1" sheetId="46" r:id="rId9"/>
    <sheet name="6" sheetId="51" r:id="rId10"/>
    <sheet name="6-1" sheetId="53" r:id="rId11"/>
    <sheet name="報告(2025年07月)" sheetId="54" r:id="rId12"/>
  </sheets>
  <functionGroups builtInGroupCount="19"/>
  <definedNames>
    <definedName name="_xlnm.Print_Area" localSheetId="2">'1'!$A$1:$V$147</definedName>
    <definedName name="_xlnm.Print_Area" localSheetId="3">'2'!$A$1:$V$142</definedName>
    <definedName name="_xlnm.Print_Area" localSheetId="4">'3'!$A$1:$V$142</definedName>
    <definedName name="_xlnm.Print_Area" localSheetId="5">'4'!$A$3:$V$144</definedName>
    <definedName name="_xlnm.Print_Area" localSheetId="7">'5'!$A$1:$V$138</definedName>
    <definedName name="_xlnm.Print_Area" localSheetId="8">'5-1'!$A$1:$V$132</definedName>
    <definedName name="_xlnm.Print_Area" localSheetId="9">'6'!$A$1:$V$138</definedName>
    <definedName name="_xlnm.Print_Area" localSheetId="10">'6-1'!$A$1:$V$138</definedName>
    <definedName name="_xlnm.Print_Area" localSheetId="6">error!$A$1:$V$131</definedName>
    <definedName name="_xlnm.Print_Area" localSheetId="0">templete!$A$1:$P$25</definedName>
    <definedName name="_xlnm.Print_Area" localSheetId="11">'報告(2025年07月)'!$A$1:$V$138</definedName>
  </definedNames>
  <calcPr calcId="191029" concurrentManualCount="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6" i="54" l="1"/>
  <c r="T135" i="54"/>
  <c r="R135" i="54"/>
  <c r="V135" i="54" s="1"/>
  <c r="T134" i="54"/>
  <c r="R134" i="54"/>
  <c r="V134" i="54" s="1"/>
  <c r="T133" i="54"/>
  <c r="R133" i="54"/>
  <c r="V133" i="54" s="1"/>
  <c r="T132" i="54"/>
  <c r="R132" i="54"/>
  <c r="V132" i="54" s="1"/>
  <c r="T131" i="54"/>
  <c r="R131" i="54"/>
  <c r="V131" i="54" s="1"/>
  <c r="T130" i="54"/>
  <c r="R130" i="54"/>
  <c r="V130" i="54" s="1"/>
  <c r="T129" i="54"/>
  <c r="R129" i="54"/>
  <c r="V129" i="54" s="1"/>
  <c r="Q137" i="54"/>
  <c r="P137" i="54"/>
  <c r="O137" i="54"/>
  <c r="N137" i="54"/>
  <c r="M137" i="54"/>
  <c r="L137" i="54"/>
  <c r="K137" i="54"/>
  <c r="T117" i="54"/>
  <c r="R117" i="54"/>
  <c r="V117" i="54" s="1"/>
  <c r="T116" i="54"/>
  <c r="R116" i="54"/>
  <c r="V116" i="54" s="1"/>
  <c r="T115" i="54"/>
  <c r="R115" i="54"/>
  <c r="V115" i="54" s="1"/>
  <c r="T114" i="54"/>
  <c r="R114" i="54"/>
  <c r="V114" i="54" s="1"/>
  <c r="T113" i="54"/>
  <c r="R113" i="54"/>
  <c r="V113" i="54" s="1"/>
  <c r="T112" i="54"/>
  <c r="R112" i="54"/>
  <c r="V112" i="54" s="1"/>
  <c r="T111" i="54"/>
  <c r="R111" i="54"/>
  <c r="V111" i="54" s="1"/>
  <c r="T110" i="54"/>
  <c r="R110" i="54"/>
  <c r="V110" i="54" s="1"/>
  <c r="T109" i="54"/>
  <c r="R109" i="54"/>
  <c r="V109" i="54" s="1"/>
  <c r="T108" i="54"/>
  <c r="R108" i="54"/>
  <c r="V108" i="54" s="1"/>
  <c r="T107" i="54"/>
  <c r="R107" i="54"/>
  <c r="V107" i="54" s="1"/>
  <c r="T106" i="54"/>
  <c r="R106" i="54"/>
  <c r="V106" i="54" s="1"/>
  <c r="T105" i="54"/>
  <c r="R105" i="54"/>
  <c r="V105" i="54" s="1"/>
  <c r="T104" i="54"/>
  <c r="R104" i="54"/>
  <c r="V104" i="54" s="1"/>
  <c r="T103" i="54"/>
  <c r="R103" i="54"/>
  <c r="V103" i="54" s="1"/>
  <c r="T102" i="54"/>
  <c r="R102" i="54"/>
  <c r="V102" i="54" s="1"/>
  <c r="T101" i="54"/>
  <c r="R101" i="54"/>
  <c r="V101" i="54" s="1"/>
  <c r="T100" i="54"/>
  <c r="R100" i="54"/>
  <c r="V100" i="54" s="1"/>
  <c r="T99" i="54"/>
  <c r="R99" i="54"/>
  <c r="V99" i="54" s="1"/>
  <c r="T98" i="54"/>
  <c r="R98" i="54"/>
  <c r="V98" i="54" s="1"/>
  <c r="T97" i="54"/>
  <c r="R97" i="54"/>
  <c r="V97" i="54" s="1"/>
  <c r="T96" i="54"/>
  <c r="R96" i="54"/>
  <c r="V96" i="54" s="1"/>
  <c r="T95" i="54"/>
  <c r="R95" i="54"/>
  <c r="V95" i="54" s="1"/>
  <c r="T94" i="54"/>
  <c r="R94" i="54"/>
  <c r="V94" i="54" s="1"/>
  <c r="T93" i="54"/>
  <c r="R93" i="54"/>
  <c r="V93" i="54" s="1"/>
  <c r="T92" i="54"/>
  <c r="R92" i="54"/>
  <c r="V92" i="54" s="1"/>
  <c r="T91" i="54"/>
  <c r="R91" i="54"/>
  <c r="V91" i="54" s="1"/>
  <c r="T90" i="54"/>
  <c r="R90" i="54"/>
  <c r="V90" i="54" s="1"/>
  <c r="T89" i="54"/>
  <c r="R89" i="54"/>
  <c r="V89" i="54" s="1"/>
  <c r="T88" i="54"/>
  <c r="R88" i="54"/>
  <c r="V88" i="54" s="1"/>
  <c r="T87" i="54"/>
  <c r="R87" i="54"/>
  <c r="V87" i="54" s="1"/>
  <c r="T86" i="54"/>
  <c r="R86" i="54"/>
  <c r="V86" i="54" s="1"/>
  <c r="T85" i="54"/>
  <c r="R85" i="54"/>
  <c r="V85" i="54" s="1"/>
  <c r="T84" i="54"/>
  <c r="R84" i="54"/>
  <c r="V84" i="54" s="1"/>
  <c r="T83" i="54"/>
  <c r="R83" i="54"/>
  <c r="V83" i="54" s="1"/>
  <c r="T82" i="54"/>
  <c r="R82" i="54"/>
  <c r="V82" i="54" s="1"/>
  <c r="T81" i="54"/>
  <c r="R81" i="54"/>
  <c r="T80" i="54"/>
  <c r="R80" i="54"/>
  <c r="T79" i="54"/>
  <c r="R79" i="54"/>
  <c r="T78" i="54"/>
  <c r="R78" i="54"/>
  <c r="T77" i="54"/>
  <c r="R77" i="54"/>
  <c r="T76" i="54"/>
  <c r="R76" i="54"/>
  <c r="T75" i="54"/>
  <c r="R75" i="54"/>
  <c r="V75" i="54" s="1"/>
  <c r="T74" i="54"/>
  <c r="R74" i="54"/>
  <c r="V74" i="54" s="1"/>
  <c r="T73" i="54"/>
  <c r="R73" i="54"/>
  <c r="V73" i="54" s="1"/>
  <c r="T72" i="54"/>
  <c r="R72" i="54"/>
  <c r="V72" i="54" s="1"/>
  <c r="T71" i="54"/>
  <c r="R71" i="54"/>
  <c r="V71" i="54" s="1"/>
  <c r="T70" i="54"/>
  <c r="R70" i="54"/>
  <c r="V70" i="54" s="1"/>
  <c r="T69" i="54"/>
  <c r="R69" i="54"/>
  <c r="V69" i="54" s="1"/>
  <c r="T68" i="54"/>
  <c r="R68" i="54"/>
  <c r="V68" i="54" s="1"/>
  <c r="T67" i="54"/>
  <c r="R67" i="54"/>
  <c r="V67" i="54" s="1"/>
  <c r="T66" i="54"/>
  <c r="R66" i="54"/>
  <c r="V66" i="54" s="1"/>
  <c r="T65" i="54"/>
  <c r="R65" i="54"/>
  <c r="V65" i="54" s="1"/>
  <c r="T64" i="54"/>
  <c r="R64" i="54"/>
  <c r="V64" i="54" s="1"/>
  <c r="T63" i="54"/>
  <c r="R63" i="54"/>
  <c r="V63" i="54" s="1"/>
  <c r="T62" i="54"/>
  <c r="R62" i="54"/>
  <c r="V62" i="54" s="1"/>
  <c r="T61" i="54"/>
  <c r="R61" i="54"/>
  <c r="V61" i="54" s="1"/>
  <c r="T60" i="54"/>
  <c r="R60" i="54"/>
  <c r="V60" i="54" s="1"/>
  <c r="T59" i="54"/>
  <c r="R59" i="54"/>
  <c r="V59" i="54" s="1"/>
  <c r="T58" i="54"/>
  <c r="R58" i="54"/>
  <c r="V58" i="54" s="1"/>
  <c r="T57" i="54"/>
  <c r="R57" i="54"/>
  <c r="V57" i="54" s="1"/>
  <c r="T56" i="54"/>
  <c r="R56" i="54"/>
  <c r="V56" i="54" s="1"/>
  <c r="T55" i="54"/>
  <c r="R55" i="54"/>
  <c r="V55" i="54" s="1"/>
  <c r="T54" i="54"/>
  <c r="R54" i="54"/>
  <c r="V54" i="54" s="1"/>
  <c r="T53" i="54"/>
  <c r="R53" i="54"/>
  <c r="V53" i="54" s="1"/>
  <c r="T52" i="54"/>
  <c r="R52" i="54"/>
  <c r="V52" i="54" s="1"/>
  <c r="T51" i="54"/>
  <c r="R51" i="54"/>
  <c r="V51" i="54" s="1"/>
  <c r="T50" i="54"/>
  <c r="R50" i="54"/>
  <c r="V50" i="54" s="1"/>
  <c r="T49" i="54"/>
  <c r="R49" i="54"/>
  <c r="V49" i="54" s="1"/>
  <c r="T48" i="54"/>
  <c r="R48" i="54"/>
  <c r="V48" i="54" s="1"/>
  <c r="T47" i="54"/>
  <c r="R47" i="54"/>
  <c r="V47" i="54" s="1"/>
  <c r="T46" i="54"/>
  <c r="R46" i="54"/>
  <c r="V46" i="54" s="1"/>
  <c r="T45" i="54"/>
  <c r="R45" i="54"/>
  <c r="V45" i="54" s="1"/>
  <c r="T44" i="54"/>
  <c r="R44" i="54"/>
  <c r="V44" i="54" s="1"/>
  <c r="T43" i="54"/>
  <c r="R43" i="54"/>
  <c r="V43" i="54" s="1"/>
  <c r="T42" i="54"/>
  <c r="R42" i="54"/>
  <c r="V42" i="54" s="1"/>
  <c r="T41" i="54"/>
  <c r="R41" i="54"/>
  <c r="V41" i="54" s="1"/>
  <c r="T40" i="54"/>
  <c r="R40" i="54"/>
  <c r="V40" i="54" s="1"/>
  <c r="T39" i="54"/>
  <c r="R39" i="54"/>
  <c r="V39" i="54" s="1"/>
  <c r="T38" i="54"/>
  <c r="R38" i="54"/>
  <c r="V38" i="54" s="1"/>
  <c r="T37" i="54"/>
  <c r="R37" i="54"/>
  <c r="V37" i="54" s="1"/>
  <c r="T36" i="54"/>
  <c r="R36" i="54"/>
  <c r="V36" i="54" s="1"/>
  <c r="T35" i="54"/>
  <c r="R35" i="54"/>
  <c r="V35" i="54" s="1"/>
  <c r="T34" i="54"/>
  <c r="R34" i="54"/>
  <c r="V34" i="54" s="1"/>
  <c r="T33" i="54"/>
  <c r="R33" i="54"/>
  <c r="V33" i="54" s="1"/>
  <c r="T32" i="54"/>
  <c r="R32" i="54"/>
  <c r="V32" i="54" s="1"/>
  <c r="T31" i="54"/>
  <c r="R31" i="54"/>
  <c r="V31" i="54" s="1"/>
  <c r="T30" i="54"/>
  <c r="R30" i="54"/>
  <c r="V30" i="54" s="1"/>
  <c r="T29" i="54"/>
  <c r="R29" i="54"/>
  <c r="V29" i="54" s="1"/>
  <c r="T28" i="54"/>
  <c r="R28" i="54"/>
  <c r="V28" i="54" s="1"/>
  <c r="T27" i="54"/>
  <c r="R27" i="54"/>
  <c r="V27" i="54" s="1"/>
  <c r="T26" i="54"/>
  <c r="R26" i="54"/>
  <c r="V26" i="54" s="1"/>
  <c r="T25" i="54"/>
  <c r="R25" i="54"/>
  <c r="V25" i="54" s="1"/>
  <c r="T24" i="54"/>
  <c r="R24" i="54"/>
  <c r="V24" i="54" s="1"/>
  <c r="T23" i="54"/>
  <c r="R23" i="54"/>
  <c r="V23" i="54" s="1"/>
  <c r="T22" i="54"/>
  <c r="R22" i="54"/>
  <c r="V22" i="54" s="1"/>
  <c r="T21" i="54"/>
  <c r="R21" i="54"/>
  <c r="V21" i="54" s="1"/>
  <c r="T20" i="54"/>
  <c r="R20" i="54"/>
  <c r="V20" i="54" s="1"/>
  <c r="T19" i="54"/>
  <c r="R19" i="54"/>
  <c r="V19" i="54" s="1"/>
  <c r="T18" i="54"/>
  <c r="R18" i="54"/>
  <c r="V18" i="54" s="1"/>
  <c r="T17" i="54"/>
  <c r="R17" i="54"/>
  <c r="V17" i="54" s="1"/>
  <c r="T16" i="54"/>
  <c r="R16" i="54"/>
  <c r="V16" i="54" s="1"/>
  <c r="T15" i="54"/>
  <c r="R15" i="54"/>
  <c r="V15" i="54" s="1"/>
  <c r="T14" i="54"/>
  <c r="R14" i="54"/>
  <c r="V14" i="54" s="1"/>
  <c r="T13" i="54"/>
  <c r="R13" i="54"/>
  <c r="V13" i="54" s="1"/>
  <c r="T12" i="54"/>
  <c r="R12" i="54"/>
  <c r="V12" i="54" s="1"/>
  <c r="T11" i="54"/>
  <c r="R11" i="54"/>
  <c r="V11" i="54" s="1"/>
  <c r="T10" i="54"/>
  <c r="R10" i="54"/>
  <c r="V10" i="54" s="1"/>
  <c r="T9" i="54"/>
  <c r="R9" i="54"/>
  <c r="V9" i="54" s="1"/>
  <c r="T8" i="54"/>
  <c r="R8" i="54"/>
  <c r="V8" i="54" s="1"/>
  <c r="J137" i="54"/>
  <c r="U136" i="54"/>
  <c r="G136" i="54"/>
  <c r="E136" i="54"/>
  <c r="T128" i="54"/>
  <c r="T136" i="54" s="1"/>
  <c r="R128" i="54"/>
  <c r="U123" i="54"/>
  <c r="I123" i="54"/>
  <c r="G123" i="54"/>
  <c r="E123" i="54"/>
  <c r="T122" i="54"/>
  <c r="R122" i="54"/>
  <c r="V122" i="54" s="1"/>
  <c r="T121" i="54"/>
  <c r="T123" i="54" s="1"/>
  <c r="R121" i="54"/>
  <c r="R123" i="54" s="1"/>
  <c r="U118" i="54"/>
  <c r="I118" i="54"/>
  <c r="G118" i="54"/>
  <c r="E118" i="54"/>
  <c r="E137" i="54" s="1"/>
  <c r="T7" i="54"/>
  <c r="R7" i="54"/>
  <c r="J3" i="54"/>
  <c r="T135" i="53"/>
  <c r="R135" i="53"/>
  <c r="V135" i="53" s="1"/>
  <c r="T134" i="53"/>
  <c r="R134" i="53"/>
  <c r="V134" i="53" s="1"/>
  <c r="T133" i="53"/>
  <c r="R133" i="53"/>
  <c r="V133" i="53" s="1"/>
  <c r="T132" i="53"/>
  <c r="R132" i="53"/>
  <c r="V132" i="53" s="1"/>
  <c r="T131" i="53"/>
  <c r="R131" i="53"/>
  <c r="V131" i="53" s="1"/>
  <c r="T130" i="53"/>
  <c r="R130" i="53"/>
  <c r="V130" i="53" s="1"/>
  <c r="T129" i="53"/>
  <c r="R129" i="53"/>
  <c r="V129" i="53" s="1"/>
  <c r="Q137" i="53"/>
  <c r="P137" i="53"/>
  <c r="O137" i="53"/>
  <c r="N137" i="53"/>
  <c r="M137" i="53"/>
  <c r="L137" i="53"/>
  <c r="K137" i="53"/>
  <c r="T117" i="53"/>
  <c r="R117" i="53"/>
  <c r="V117" i="53" s="1"/>
  <c r="T116" i="53"/>
  <c r="R116" i="53"/>
  <c r="V116" i="53" s="1"/>
  <c r="T115" i="53"/>
  <c r="R115" i="53"/>
  <c r="V115" i="53" s="1"/>
  <c r="T114" i="53"/>
  <c r="R114" i="53"/>
  <c r="V114" i="53" s="1"/>
  <c r="T113" i="53"/>
  <c r="R113" i="53"/>
  <c r="V113" i="53" s="1"/>
  <c r="T112" i="53"/>
  <c r="R112" i="53"/>
  <c r="V112" i="53" s="1"/>
  <c r="T111" i="53"/>
  <c r="R111" i="53"/>
  <c r="V111" i="53" s="1"/>
  <c r="T110" i="53"/>
  <c r="R110" i="53"/>
  <c r="V110" i="53" s="1"/>
  <c r="T109" i="53"/>
  <c r="R109" i="53"/>
  <c r="V109" i="53" s="1"/>
  <c r="T108" i="53"/>
  <c r="R108" i="53"/>
  <c r="V108" i="53" s="1"/>
  <c r="T107" i="53"/>
  <c r="R107" i="53"/>
  <c r="V107" i="53" s="1"/>
  <c r="T106" i="53"/>
  <c r="R106" i="53"/>
  <c r="V106" i="53" s="1"/>
  <c r="T105" i="53"/>
  <c r="R105" i="53"/>
  <c r="V105" i="53" s="1"/>
  <c r="T104" i="53"/>
  <c r="R104" i="53"/>
  <c r="V104" i="53" s="1"/>
  <c r="T103" i="53"/>
  <c r="R103" i="53"/>
  <c r="V103" i="53" s="1"/>
  <c r="T102" i="53"/>
  <c r="R102" i="53"/>
  <c r="V102" i="53" s="1"/>
  <c r="T101" i="53"/>
  <c r="R101" i="53"/>
  <c r="V101" i="53" s="1"/>
  <c r="T100" i="53"/>
  <c r="R100" i="53"/>
  <c r="V100" i="53" s="1"/>
  <c r="T99" i="53"/>
  <c r="R99" i="53"/>
  <c r="V99" i="53" s="1"/>
  <c r="T98" i="53"/>
  <c r="R98" i="53"/>
  <c r="V98" i="53" s="1"/>
  <c r="T97" i="53"/>
  <c r="R97" i="53"/>
  <c r="V97" i="53" s="1"/>
  <c r="T96" i="53"/>
  <c r="R96" i="53"/>
  <c r="V96" i="53" s="1"/>
  <c r="T95" i="53"/>
  <c r="R95" i="53"/>
  <c r="V95" i="53" s="1"/>
  <c r="T94" i="53"/>
  <c r="R94" i="53"/>
  <c r="V94" i="53" s="1"/>
  <c r="T93" i="53"/>
  <c r="R93" i="53"/>
  <c r="V93" i="53" s="1"/>
  <c r="T92" i="53"/>
  <c r="R92" i="53"/>
  <c r="V92" i="53" s="1"/>
  <c r="T91" i="53"/>
  <c r="R91" i="53"/>
  <c r="V91" i="53" s="1"/>
  <c r="T90" i="53"/>
  <c r="R90" i="53"/>
  <c r="V90" i="53" s="1"/>
  <c r="T89" i="53"/>
  <c r="R89" i="53"/>
  <c r="V89" i="53" s="1"/>
  <c r="T88" i="53"/>
  <c r="R88" i="53"/>
  <c r="V88" i="53" s="1"/>
  <c r="T87" i="53"/>
  <c r="R87" i="53"/>
  <c r="V87" i="53" s="1"/>
  <c r="T86" i="53"/>
  <c r="R86" i="53"/>
  <c r="T85" i="53"/>
  <c r="R85" i="53"/>
  <c r="T84" i="53"/>
  <c r="R84" i="53"/>
  <c r="T83" i="53"/>
  <c r="R83" i="53"/>
  <c r="T82" i="53"/>
  <c r="R82" i="53"/>
  <c r="T81" i="53"/>
  <c r="R81" i="53"/>
  <c r="T80" i="53"/>
  <c r="R80" i="53"/>
  <c r="T79" i="53"/>
  <c r="R79" i="53"/>
  <c r="T78" i="53"/>
  <c r="R78" i="53"/>
  <c r="T77" i="53"/>
  <c r="R77" i="53"/>
  <c r="T76" i="53"/>
  <c r="R76" i="53"/>
  <c r="T75" i="53"/>
  <c r="R75" i="53"/>
  <c r="V75" i="53" s="1"/>
  <c r="T74" i="53"/>
  <c r="R74" i="53"/>
  <c r="V74" i="53" s="1"/>
  <c r="T73" i="53"/>
  <c r="R73" i="53"/>
  <c r="V73" i="53" s="1"/>
  <c r="T72" i="53"/>
  <c r="R72" i="53"/>
  <c r="V72" i="53" s="1"/>
  <c r="T71" i="53"/>
  <c r="R71" i="53"/>
  <c r="V71" i="53" s="1"/>
  <c r="T70" i="53"/>
  <c r="R70" i="53"/>
  <c r="V70" i="53" s="1"/>
  <c r="T69" i="53"/>
  <c r="R69" i="53"/>
  <c r="V69" i="53" s="1"/>
  <c r="T68" i="53"/>
  <c r="R68" i="53"/>
  <c r="V68" i="53" s="1"/>
  <c r="T67" i="53"/>
  <c r="R67" i="53"/>
  <c r="V67" i="53" s="1"/>
  <c r="T66" i="53"/>
  <c r="R66" i="53"/>
  <c r="V66" i="53" s="1"/>
  <c r="T65" i="53"/>
  <c r="R65" i="53"/>
  <c r="V65" i="53" s="1"/>
  <c r="T64" i="53"/>
  <c r="R64" i="53"/>
  <c r="V64" i="53" s="1"/>
  <c r="T63" i="53"/>
  <c r="R63" i="53"/>
  <c r="V63" i="53" s="1"/>
  <c r="T62" i="53"/>
  <c r="R62" i="53"/>
  <c r="V62" i="53" s="1"/>
  <c r="T61" i="53"/>
  <c r="R61" i="53"/>
  <c r="V61" i="53" s="1"/>
  <c r="T60" i="53"/>
  <c r="R60" i="53"/>
  <c r="V60" i="53" s="1"/>
  <c r="T59" i="53"/>
  <c r="R59" i="53"/>
  <c r="V59" i="53" s="1"/>
  <c r="T58" i="53"/>
  <c r="R58" i="53"/>
  <c r="V58" i="53" s="1"/>
  <c r="T57" i="53"/>
  <c r="R57" i="53"/>
  <c r="V57" i="53" s="1"/>
  <c r="T56" i="53"/>
  <c r="R56" i="53"/>
  <c r="V56" i="53" s="1"/>
  <c r="T55" i="53"/>
  <c r="R55" i="53"/>
  <c r="V55" i="53" s="1"/>
  <c r="T54" i="53"/>
  <c r="R54" i="53"/>
  <c r="V54" i="53" s="1"/>
  <c r="T53" i="53"/>
  <c r="R53" i="53"/>
  <c r="V53" i="53" s="1"/>
  <c r="T52" i="53"/>
  <c r="R52" i="53"/>
  <c r="V52" i="53" s="1"/>
  <c r="T51" i="53"/>
  <c r="R51" i="53"/>
  <c r="V51" i="53" s="1"/>
  <c r="T50" i="53"/>
  <c r="R50" i="53"/>
  <c r="V50" i="53" s="1"/>
  <c r="T49" i="53"/>
  <c r="R49" i="53"/>
  <c r="V49" i="53" s="1"/>
  <c r="T48" i="53"/>
  <c r="R48" i="53"/>
  <c r="V48" i="53" s="1"/>
  <c r="T47" i="53"/>
  <c r="R47" i="53"/>
  <c r="V47" i="53" s="1"/>
  <c r="T46" i="53"/>
  <c r="R46" i="53"/>
  <c r="V46" i="53" s="1"/>
  <c r="T45" i="53"/>
  <c r="R45" i="53"/>
  <c r="V45" i="53" s="1"/>
  <c r="T44" i="53"/>
  <c r="R44" i="53"/>
  <c r="V44" i="53" s="1"/>
  <c r="T43" i="53"/>
  <c r="R43" i="53"/>
  <c r="V43" i="53" s="1"/>
  <c r="T42" i="53"/>
  <c r="R42" i="53"/>
  <c r="V42" i="53" s="1"/>
  <c r="T41" i="53"/>
  <c r="R41" i="53"/>
  <c r="V41" i="53" s="1"/>
  <c r="T40" i="53"/>
  <c r="R40" i="53"/>
  <c r="V40" i="53" s="1"/>
  <c r="T39" i="53"/>
  <c r="R39" i="53"/>
  <c r="V39" i="53" s="1"/>
  <c r="T38" i="53"/>
  <c r="R38" i="53"/>
  <c r="V38" i="53" s="1"/>
  <c r="T37" i="53"/>
  <c r="R37" i="53"/>
  <c r="V37" i="53" s="1"/>
  <c r="T36" i="53"/>
  <c r="R36" i="53"/>
  <c r="V36" i="53" s="1"/>
  <c r="T35" i="53"/>
  <c r="R35" i="53"/>
  <c r="V35" i="53" s="1"/>
  <c r="T34" i="53"/>
  <c r="R34" i="53"/>
  <c r="V34" i="53" s="1"/>
  <c r="T33" i="53"/>
  <c r="R33" i="53"/>
  <c r="V33" i="53" s="1"/>
  <c r="T32" i="53"/>
  <c r="R32" i="53"/>
  <c r="V32" i="53" s="1"/>
  <c r="T31" i="53"/>
  <c r="R31" i="53"/>
  <c r="V31" i="53" s="1"/>
  <c r="T30" i="53"/>
  <c r="R30" i="53"/>
  <c r="V30" i="53" s="1"/>
  <c r="T29" i="53"/>
  <c r="R29" i="53"/>
  <c r="V29" i="53" s="1"/>
  <c r="T28" i="53"/>
  <c r="R28" i="53"/>
  <c r="V28" i="53" s="1"/>
  <c r="T27" i="53"/>
  <c r="R27" i="53"/>
  <c r="V27" i="53" s="1"/>
  <c r="T26" i="53"/>
  <c r="R26" i="53"/>
  <c r="V26" i="53" s="1"/>
  <c r="T25" i="53"/>
  <c r="R25" i="53"/>
  <c r="V25" i="53" s="1"/>
  <c r="T24" i="53"/>
  <c r="R24" i="53"/>
  <c r="V24" i="53" s="1"/>
  <c r="T23" i="53"/>
  <c r="R23" i="53"/>
  <c r="V23" i="53" s="1"/>
  <c r="T22" i="53"/>
  <c r="R22" i="53"/>
  <c r="V22" i="53" s="1"/>
  <c r="T21" i="53"/>
  <c r="R21" i="53"/>
  <c r="V21" i="53" s="1"/>
  <c r="T20" i="53"/>
  <c r="R20" i="53"/>
  <c r="V20" i="53" s="1"/>
  <c r="T19" i="53"/>
  <c r="R19" i="53"/>
  <c r="V19" i="53" s="1"/>
  <c r="T18" i="53"/>
  <c r="R18" i="53"/>
  <c r="V18" i="53" s="1"/>
  <c r="T17" i="53"/>
  <c r="R17" i="53"/>
  <c r="V17" i="53" s="1"/>
  <c r="T16" i="53"/>
  <c r="R16" i="53"/>
  <c r="V16" i="53" s="1"/>
  <c r="T15" i="53"/>
  <c r="R15" i="53"/>
  <c r="V15" i="53" s="1"/>
  <c r="T14" i="53"/>
  <c r="R14" i="53"/>
  <c r="V14" i="53" s="1"/>
  <c r="T13" i="53"/>
  <c r="R13" i="53"/>
  <c r="V13" i="53" s="1"/>
  <c r="T12" i="53"/>
  <c r="R12" i="53"/>
  <c r="V12" i="53" s="1"/>
  <c r="T11" i="53"/>
  <c r="R11" i="53"/>
  <c r="V11" i="53" s="1"/>
  <c r="T10" i="53"/>
  <c r="R10" i="53"/>
  <c r="V10" i="53" s="1"/>
  <c r="T9" i="53"/>
  <c r="R9" i="53"/>
  <c r="V9" i="53" s="1"/>
  <c r="T8" i="53"/>
  <c r="R8" i="53"/>
  <c r="V8" i="53" s="1"/>
  <c r="J137" i="53"/>
  <c r="U136" i="53"/>
  <c r="I136" i="53"/>
  <c r="G136" i="53"/>
  <c r="E136" i="53"/>
  <c r="T128" i="53"/>
  <c r="R128" i="53"/>
  <c r="U123" i="53"/>
  <c r="I123" i="53"/>
  <c r="G123" i="53"/>
  <c r="E123" i="53"/>
  <c r="T122" i="53"/>
  <c r="R122" i="53"/>
  <c r="V122" i="53" s="1"/>
  <c r="T121" i="53"/>
  <c r="T123" i="53" s="1"/>
  <c r="R121" i="53"/>
  <c r="U118" i="53"/>
  <c r="I118" i="53"/>
  <c r="G118" i="53"/>
  <c r="G137" i="53" s="1"/>
  <c r="C3" i="53" s="1"/>
  <c r="E118" i="53"/>
  <c r="T7" i="53"/>
  <c r="R7" i="53"/>
  <c r="V7" i="53" s="1"/>
  <c r="J3" i="53"/>
  <c r="T135" i="51"/>
  <c r="R135" i="51"/>
  <c r="V135" i="51" s="1"/>
  <c r="T134" i="51"/>
  <c r="R134" i="51"/>
  <c r="V134" i="51" s="1"/>
  <c r="T133" i="51"/>
  <c r="R133" i="51"/>
  <c r="V133" i="51" s="1"/>
  <c r="T132" i="51"/>
  <c r="R132" i="51"/>
  <c r="V132" i="51" s="1"/>
  <c r="T131" i="51"/>
  <c r="R131" i="51"/>
  <c r="V131" i="51" s="1"/>
  <c r="T130" i="51"/>
  <c r="R130" i="51"/>
  <c r="V130" i="51" s="1"/>
  <c r="T129" i="51"/>
  <c r="R129" i="51"/>
  <c r="V129" i="51" s="1"/>
  <c r="Q137" i="51"/>
  <c r="P137" i="51"/>
  <c r="O137" i="51"/>
  <c r="N137" i="51"/>
  <c r="M137" i="51"/>
  <c r="L137" i="51"/>
  <c r="K137" i="51"/>
  <c r="T117" i="51"/>
  <c r="R117" i="51"/>
  <c r="T116" i="51"/>
  <c r="R116" i="51"/>
  <c r="T115" i="51"/>
  <c r="R115" i="51"/>
  <c r="T114" i="51"/>
  <c r="R114" i="51"/>
  <c r="T113" i="51"/>
  <c r="R113" i="51"/>
  <c r="T112" i="51"/>
  <c r="R112" i="51"/>
  <c r="T111" i="51"/>
  <c r="R111" i="51"/>
  <c r="T110" i="51"/>
  <c r="R110" i="51"/>
  <c r="T109" i="51"/>
  <c r="R109" i="51"/>
  <c r="T108" i="51"/>
  <c r="R108" i="51"/>
  <c r="T107" i="51"/>
  <c r="R107" i="51"/>
  <c r="T106" i="51"/>
  <c r="R106" i="51"/>
  <c r="T105" i="51"/>
  <c r="R105" i="51"/>
  <c r="T104" i="51"/>
  <c r="R104" i="51"/>
  <c r="T103" i="51"/>
  <c r="R103" i="51"/>
  <c r="T102" i="51"/>
  <c r="R102" i="51"/>
  <c r="T101" i="51"/>
  <c r="R101" i="51"/>
  <c r="T100" i="51"/>
  <c r="R100" i="51"/>
  <c r="T99" i="51"/>
  <c r="R99" i="51"/>
  <c r="T98" i="51"/>
  <c r="R98" i="51"/>
  <c r="T97" i="51"/>
  <c r="R97" i="51"/>
  <c r="T96" i="51"/>
  <c r="R96" i="51"/>
  <c r="T95" i="51"/>
  <c r="R95" i="51"/>
  <c r="T94" i="51"/>
  <c r="R94" i="51"/>
  <c r="T93" i="51"/>
  <c r="R93" i="51"/>
  <c r="T92" i="51"/>
  <c r="R92" i="51"/>
  <c r="T91" i="51"/>
  <c r="R91" i="51"/>
  <c r="T90" i="51"/>
  <c r="R90" i="51"/>
  <c r="T89" i="51"/>
  <c r="R89" i="51"/>
  <c r="T88" i="51"/>
  <c r="R88" i="51"/>
  <c r="T87" i="51"/>
  <c r="R87" i="51"/>
  <c r="T86" i="51"/>
  <c r="R86" i="51"/>
  <c r="T85" i="51"/>
  <c r="R85" i="51"/>
  <c r="T84" i="51"/>
  <c r="R84" i="51"/>
  <c r="T83" i="51"/>
  <c r="R83" i="51"/>
  <c r="T82" i="51"/>
  <c r="R82" i="51"/>
  <c r="T81" i="51"/>
  <c r="R81" i="51"/>
  <c r="T80" i="51"/>
  <c r="R80" i="51"/>
  <c r="T79" i="51"/>
  <c r="R79" i="51"/>
  <c r="T78" i="51"/>
  <c r="R78" i="51"/>
  <c r="T77" i="51"/>
  <c r="R77" i="51"/>
  <c r="T76" i="51"/>
  <c r="R76" i="51"/>
  <c r="T75" i="51"/>
  <c r="R75" i="51"/>
  <c r="T74" i="51"/>
  <c r="R74" i="51"/>
  <c r="T73" i="51"/>
  <c r="R73" i="51"/>
  <c r="T72" i="51"/>
  <c r="R72" i="51"/>
  <c r="T71" i="51"/>
  <c r="R71" i="51"/>
  <c r="T70" i="51"/>
  <c r="R70" i="51"/>
  <c r="T69" i="51"/>
  <c r="R69" i="51"/>
  <c r="T68" i="51"/>
  <c r="R68" i="51"/>
  <c r="T67" i="51"/>
  <c r="R67" i="51"/>
  <c r="T66" i="51"/>
  <c r="R66" i="51"/>
  <c r="T65" i="51"/>
  <c r="R65" i="51"/>
  <c r="T64" i="51"/>
  <c r="R64" i="51"/>
  <c r="T63" i="51"/>
  <c r="R63" i="51"/>
  <c r="T62" i="51"/>
  <c r="R62" i="51"/>
  <c r="T61" i="51"/>
  <c r="R61" i="51"/>
  <c r="T60" i="51"/>
  <c r="R60" i="51"/>
  <c r="T59" i="51"/>
  <c r="R59" i="51"/>
  <c r="T58" i="51"/>
  <c r="R58" i="51"/>
  <c r="T57" i="51"/>
  <c r="R57" i="51"/>
  <c r="T56" i="51"/>
  <c r="R56" i="51"/>
  <c r="T55" i="51"/>
  <c r="R55" i="51"/>
  <c r="T54" i="51"/>
  <c r="R54" i="51"/>
  <c r="T53" i="51"/>
  <c r="R53" i="51"/>
  <c r="T52" i="51"/>
  <c r="R52" i="51"/>
  <c r="T51" i="51"/>
  <c r="R51" i="51"/>
  <c r="T50" i="51"/>
  <c r="R50" i="51"/>
  <c r="T49" i="51"/>
  <c r="R49" i="51"/>
  <c r="T48" i="51"/>
  <c r="R48" i="51"/>
  <c r="T47" i="51"/>
  <c r="R47" i="51"/>
  <c r="T46" i="51"/>
  <c r="R46" i="51"/>
  <c r="T45" i="51"/>
  <c r="R45" i="51"/>
  <c r="T44" i="51"/>
  <c r="R44" i="51"/>
  <c r="T43" i="51"/>
  <c r="R43" i="51"/>
  <c r="T42" i="51"/>
  <c r="R42" i="51"/>
  <c r="T41" i="51"/>
  <c r="R41" i="51"/>
  <c r="T40" i="51"/>
  <c r="R40" i="51"/>
  <c r="T39" i="51"/>
  <c r="R39" i="51"/>
  <c r="T38" i="51"/>
  <c r="R38" i="51"/>
  <c r="T37" i="51"/>
  <c r="R37" i="51"/>
  <c r="T36" i="51"/>
  <c r="R36" i="51"/>
  <c r="T35" i="51"/>
  <c r="R35" i="51"/>
  <c r="T34" i="51"/>
  <c r="R34" i="51"/>
  <c r="T33" i="51"/>
  <c r="R33" i="51"/>
  <c r="T32" i="51"/>
  <c r="R32" i="51"/>
  <c r="V32" i="51" s="1"/>
  <c r="T31" i="51"/>
  <c r="R31" i="51"/>
  <c r="V31" i="51" s="1"/>
  <c r="T30" i="51"/>
  <c r="R30" i="51"/>
  <c r="V30" i="51" s="1"/>
  <c r="T29" i="51"/>
  <c r="R29" i="51"/>
  <c r="V29" i="51" s="1"/>
  <c r="T28" i="51"/>
  <c r="R28" i="51"/>
  <c r="V28" i="51" s="1"/>
  <c r="T27" i="51"/>
  <c r="R27" i="51"/>
  <c r="V27" i="51" s="1"/>
  <c r="T26" i="51"/>
  <c r="R26" i="51"/>
  <c r="V26" i="51" s="1"/>
  <c r="T25" i="51"/>
  <c r="R25" i="51"/>
  <c r="V25" i="51" s="1"/>
  <c r="T24" i="51"/>
  <c r="R24" i="51"/>
  <c r="V24" i="51" s="1"/>
  <c r="T23" i="51"/>
  <c r="R23" i="51"/>
  <c r="V23" i="51" s="1"/>
  <c r="T22" i="51"/>
  <c r="R22" i="51"/>
  <c r="V22" i="51" s="1"/>
  <c r="T21" i="51"/>
  <c r="R21" i="51"/>
  <c r="V21" i="51" s="1"/>
  <c r="T20" i="51"/>
  <c r="R20" i="51"/>
  <c r="V20" i="51" s="1"/>
  <c r="T19" i="51"/>
  <c r="R19" i="51"/>
  <c r="V19" i="51" s="1"/>
  <c r="T18" i="51"/>
  <c r="R18" i="51"/>
  <c r="V18" i="51" s="1"/>
  <c r="T17" i="51"/>
  <c r="R17" i="51"/>
  <c r="V17" i="51" s="1"/>
  <c r="T16" i="51"/>
  <c r="R16" i="51"/>
  <c r="V16" i="51" s="1"/>
  <c r="T15" i="51"/>
  <c r="R15" i="51"/>
  <c r="V15" i="51" s="1"/>
  <c r="T14" i="51"/>
  <c r="R14" i="51"/>
  <c r="V14" i="51" s="1"/>
  <c r="T13" i="51"/>
  <c r="R13" i="51"/>
  <c r="V13" i="51" s="1"/>
  <c r="T12" i="51"/>
  <c r="R12" i="51"/>
  <c r="V12" i="51" s="1"/>
  <c r="T11" i="51"/>
  <c r="R11" i="51"/>
  <c r="V11" i="51" s="1"/>
  <c r="T10" i="51"/>
  <c r="R10" i="51"/>
  <c r="V10" i="51" s="1"/>
  <c r="T9" i="51"/>
  <c r="R9" i="51"/>
  <c r="V9" i="51" s="1"/>
  <c r="T8" i="51"/>
  <c r="R8" i="51"/>
  <c r="V8" i="51" s="1"/>
  <c r="J137" i="51"/>
  <c r="U136" i="51"/>
  <c r="I136" i="51"/>
  <c r="G136" i="51"/>
  <c r="E136" i="51"/>
  <c r="T128" i="51"/>
  <c r="R128" i="51"/>
  <c r="U123" i="51"/>
  <c r="I123" i="51"/>
  <c r="G123" i="51"/>
  <c r="E123" i="51"/>
  <c r="T122" i="51"/>
  <c r="R122" i="51"/>
  <c r="V122" i="51" s="1"/>
  <c r="T121" i="51"/>
  <c r="R121" i="51"/>
  <c r="R123" i="51" s="1"/>
  <c r="U118" i="51"/>
  <c r="I118" i="51"/>
  <c r="G118" i="51"/>
  <c r="G137" i="51" s="1"/>
  <c r="C3" i="51" s="1"/>
  <c r="E118" i="51"/>
  <c r="E137" i="51" s="1"/>
  <c r="T7" i="51"/>
  <c r="R7" i="51"/>
  <c r="J3" i="51"/>
  <c r="T129" i="46"/>
  <c r="R129" i="46"/>
  <c r="V129" i="46" s="1"/>
  <c r="Q131" i="46"/>
  <c r="P131" i="46"/>
  <c r="O131" i="46"/>
  <c r="N131" i="46"/>
  <c r="M131" i="46"/>
  <c r="L131" i="46"/>
  <c r="K131" i="46"/>
  <c r="T117" i="46"/>
  <c r="R117" i="46"/>
  <c r="V117" i="46" s="1"/>
  <c r="T116" i="46"/>
  <c r="R116" i="46"/>
  <c r="V116" i="46" s="1"/>
  <c r="T115" i="46"/>
  <c r="R115" i="46"/>
  <c r="V115" i="46" s="1"/>
  <c r="T114" i="46"/>
  <c r="R114" i="46"/>
  <c r="V114" i="46" s="1"/>
  <c r="T113" i="46"/>
  <c r="R113" i="46"/>
  <c r="V113" i="46" s="1"/>
  <c r="T112" i="46"/>
  <c r="R112" i="46"/>
  <c r="V112" i="46" s="1"/>
  <c r="T111" i="46"/>
  <c r="R111" i="46"/>
  <c r="V111" i="46" s="1"/>
  <c r="T110" i="46"/>
  <c r="R110" i="46"/>
  <c r="V110" i="46" s="1"/>
  <c r="T109" i="46"/>
  <c r="R109" i="46"/>
  <c r="V109" i="46" s="1"/>
  <c r="T108" i="46"/>
  <c r="R108" i="46"/>
  <c r="V108" i="46" s="1"/>
  <c r="T107" i="46"/>
  <c r="R107" i="46"/>
  <c r="V107" i="46" s="1"/>
  <c r="T106" i="46"/>
  <c r="R106" i="46"/>
  <c r="V106" i="46" s="1"/>
  <c r="T105" i="46"/>
  <c r="R105" i="46"/>
  <c r="V105" i="46" s="1"/>
  <c r="T104" i="46"/>
  <c r="R104" i="46"/>
  <c r="V104" i="46" s="1"/>
  <c r="T103" i="46"/>
  <c r="R103" i="46"/>
  <c r="V103" i="46" s="1"/>
  <c r="T102" i="46"/>
  <c r="R102" i="46"/>
  <c r="V102" i="46" s="1"/>
  <c r="T101" i="46"/>
  <c r="R101" i="46"/>
  <c r="V101" i="46" s="1"/>
  <c r="T100" i="46"/>
  <c r="R100" i="46"/>
  <c r="V100" i="46" s="1"/>
  <c r="T99" i="46"/>
  <c r="R99" i="46"/>
  <c r="V99" i="46" s="1"/>
  <c r="T98" i="46"/>
  <c r="R98" i="46"/>
  <c r="V98" i="46" s="1"/>
  <c r="T97" i="46"/>
  <c r="R97" i="46"/>
  <c r="V97" i="46" s="1"/>
  <c r="T96" i="46"/>
  <c r="R96" i="46"/>
  <c r="V96" i="46" s="1"/>
  <c r="T95" i="46"/>
  <c r="R95" i="46"/>
  <c r="V95" i="46" s="1"/>
  <c r="T94" i="46"/>
  <c r="R94" i="46"/>
  <c r="V94" i="46" s="1"/>
  <c r="T93" i="46"/>
  <c r="R93" i="46"/>
  <c r="V93" i="46" s="1"/>
  <c r="T92" i="46"/>
  <c r="R92" i="46"/>
  <c r="T91" i="46"/>
  <c r="R91" i="46"/>
  <c r="T90" i="46"/>
  <c r="R90" i="46"/>
  <c r="T89" i="46"/>
  <c r="R89" i="46"/>
  <c r="T88" i="46"/>
  <c r="R88" i="46"/>
  <c r="T87" i="46"/>
  <c r="R87" i="46"/>
  <c r="T86" i="46"/>
  <c r="R86" i="46"/>
  <c r="T85" i="46"/>
  <c r="R85" i="46"/>
  <c r="T84" i="46"/>
  <c r="R84" i="46"/>
  <c r="T83" i="46"/>
  <c r="R83" i="46"/>
  <c r="T82" i="46"/>
  <c r="R82" i="46"/>
  <c r="T81" i="46"/>
  <c r="R81" i="46"/>
  <c r="T80" i="46"/>
  <c r="R80" i="46"/>
  <c r="T79" i="46"/>
  <c r="R79" i="46"/>
  <c r="T78" i="46"/>
  <c r="R78" i="46"/>
  <c r="T77" i="46"/>
  <c r="R77" i="46"/>
  <c r="T76" i="46"/>
  <c r="R76" i="46"/>
  <c r="T75" i="46"/>
  <c r="R75" i="46"/>
  <c r="V75" i="46" s="1"/>
  <c r="T74" i="46"/>
  <c r="R74" i="46"/>
  <c r="V74" i="46" s="1"/>
  <c r="T73" i="46"/>
  <c r="R73" i="46"/>
  <c r="V73" i="46" s="1"/>
  <c r="T72" i="46"/>
  <c r="R72" i="46"/>
  <c r="V72" i="46" s="1"/>
  <c r="T71" i="46"/>
  <c r="R71" i="46"/>
  <c r="V71" i="46" s="1"/>
  <c r="T70" i="46"/>
  <c r="R70" i="46"/>
  <c r="V70" i="46" s="1"/>
  <c r="T69" i="46"/>
  <c r="R69" i="46"/>
  <c r="V69" i="46" s="1"/>
  <c r="T68" i="46"/>
  <c r="R68" i="46"/>
  <c r="V68" i="46" s="1"/>
  <c r="T67" i="46"/>
  <c r="R67" i="46"/>
  <c r="V67" i="46" s="1"/>
  <c r="T66" i="46"/>
  <c r="R66" i="46"/>
  <c r="V66" i="46" s="1"/>
  <c r="T65" i="46"/>
  <c r="R65" i="46"/>
  <c r="V65" i="46" s="1"/>
  <c r="T64" i="46"/>
  <c r="R64" i="46"/>
  <c r="V64" i="46" s="1"/>
  <c r="T63" i="46"/>
  <c r="R63" i="46"/>
  <c r="V63" i="46" s="1"/>
  <c r="T62" i="46"/>
  <c r="R62" i="46"/>
  <c r="V62" i="46" s="1"/>
  <c r="T61" i="46"/>
  <c r="R61" i="46"/>
  <c r="V61" i="46" s="1"/>
  <c r="T60" i="46"/>
  <c r="R60" i="46"/>
  <c r="V60" i="46" s="1"/>
  <c r="T59" i="46"/>
  <c r="R59" i="46"/>
  <c r="V59" i="46" s="1"/>
  <c r="T58" i="46"/>
  <c r="R58" i="46"/>
  <c r="V58" i="46" s="1"/>
  <c r="T57" i="46"/>
  <c r="R57" i="46"/>
  <c r="V57" i="46" s="1"/>
  <c r="T56" i="46"/>
  <c r="R56" i="46"/>
  <c r="V56" i="46" s="1"/>
  <c r="T55" i="46"/>
  <c r="R55" i="46"/>
  <c r="V55" i="46" s="1"/>
  <c r="T54" i="46"/>
  <c r="R54" i="46"/>
  <c r="V54" i="46" s="1"/>
  <c r="T53" i="46"/>
  <c r="R53" i="46"/>
  <c r="V53" i="46" s="1"/>
  <c r="T52" i="46"/>
  <c r="R52" i="46"/>
  <c r="V52" i="46" s="1"/>
  <c r="T51" i="46"/>
  <c r="R51" i="46"/>
  <c r="V51" i="46" s="1"/>
  <c r="T50" i="46"/>
  <c r="R50" i="46"/>
  <c r="V50" i="46" s="1"/>
  <c r="T49" i="46"/>
  <c r="R49" i="46"/>
  <c r="V49" i="46" s="1"/>
  <c r="T48" i="46"/>
  <c r="R48" i="46"/>
  <c r="V48" i="46" s="1"/>
  <c r="T47" i="46"/>
  <c r="R47" i="46"/>
  <c r="V47" i="46" s="1"/>
  <c r="T46" i="46"/>
  <c r="R46" i="46"/>
  <c r="V46" i="46" s="1"/>
  <c r="T45" i="46"/>
  <c r="R45" i="46"/>
  <c r="V45" i="46" s="1"/>
  <c r="T44" i="46"/>
  <c r="R44" i="46"/>
  <c r="V44" i="46" s="1"/>
  <c r="T43" i="46"/>
  <c r="R43" i="46"/>
  <c r="V43" i="46" s="1"/>
  <c r="T42" i="46"/>
  <c r="R42" i="46"/>
  <c r="V42" i="46" s="1"/>
  <c r="T41" i="46"/>
  <c r="R41" i="46"/>
  <c r="V41" i="46" s="1"/>
  <c r="T40" i="46"/>
  <c r="R40" i="46"/>
  <c r="V40" i="46" s="1"/>
  <c r="T39" i="46"/>
  <c r="R39" i="46"/>
  <c r="V39" i="46" s="1"/>
  <c r="T38" i="46"/>
  <c r="R38" i="46"/>
  <c r="V38" i="46" s="1"/>
  <c r="T37" i="46"/>
  <c r="R37" i="46"/>
  <c r="V37" i="46" s="1"/>
  <c r="T36" i="46"/>
  <c r="R36" i="46"/>
  <c r="V36" i="46" s="1"/>
  <c r="T35" i="46"/>
  <c r="R35" i="46"/>
  <c r="V35" i="46" s="1"/>
  <c r="T34" i="46"/>
  <c r="R34" i="46"/>
  <c r="V34" i="46" s="1"/>
  <c r="T33" i="46"/>
  <c r="R33" i="46"/>
  <c r="V33" i="46" s="1"/>
  <c r="T32" i="46"/>
  <c r="R32" i="46"/>
  <c r="V32" i="46" s="1"/>
  <c r="T31" i="46"/>
  <c r="R31" i="46"/>
  <c r="V31" i="46" s="1"/>
  <c r="T30" i="46"/>
  <c r="R30" i="46"/>
  <c r="V30" i="46" s="1"/>
  <c r="T29" i="46"/>
  <c r="R29" i="46"/>
  <c r="V29" i="46" s="1"/>
  <c r="T28" i="46"/>
  <c r="R28" i="46"/>
  <c r="V28" i="46" s="1"/>
  <c r="T27" i="46"/>
  <c r="R27" i="46"/>
  <c r="V27" i="46" s="1"/>
  <c r="T26" i="46"/>
  <c r="R26" i="46"/>
  <c r="V26" i="46" s="1"/>
  <c r="T25" i="46"/>
  <c r="R25" i="46"/>
  <c r="V25" i="46" s="1"/>
  <c r="T24" i="46"/>
  <c r="R24" i="46"/>
  <c r="V24" i="46" s="1"/>
  <c r="T23" i="46"/>
  <c r="R23" i="46"/>
  <c r="V23" i="46" s="1"/>
  <c r="T22" i="46"/>
  <c r="R22" i="46"/>
  <c r="V22" i="46" s="1"/>
  <c r="T21" i="46"/>
  <c r="R21" i="46"/>
  <c r="V21" i="46" s="1"/>
  <c r="T20" i="46"/>
  <c r="R20" i="46"/>
  <c r="V20" i="46" s="1"/>
  <c r="T19" i="46"/>
  <c r="R19" i="46"/>
  <c r="V19" i="46" s="1"/>
  <c r="T18" i="46"/>
  <c r="R18" i="46"/>
  <c r="V18" i="46" s="1"/>
  <c r="T17" i="46"/>
  <c r="R17" i="46"/>
  <c r="V17" i="46" s="1"/>
  <c r="T16" i="46"/>
  <c r="R16" i="46"/>
  <c r="V16" i="46" s="1"/>
  <c r="T15" i="46"/>
  <c r="R15" i="46"/>
  <c r="V15" i="46" s="1"/>
  <c r="T14" i="46"/>
  <c r="R14" i="46"/>
  <c r="V14" i="46" s="1"/>
  <c r="T13" i="46"/>
  <c r="R13" i="46"/>
  <c r="V13" i="46" s="1"/>
  <c r="T12" i="46"/>
  <c r="R12" i="46"/>
  <c r="V12" i="46" s="1"/>
  <c r="T11" i="46"/>
  <c r="R11" i="46"/>
  <c r="V11" i="46" s="1"/>
  <c r="T10" i="46"/>
  <c r="R10" i="46"/>
  <c r="V10" i="46" s="1"/>
  <c r="T9" i="46"/>
  <c r="R9" i="46"/>
  <c r="V9" i="46" s="1"/>
  <c r="T8" i="46"/>
  <c r="R8" i="46"/>
  <c r="V8" i="46" s="1"/>
  <c r="J131" i="46"/>
  <c r="U130" i="46"/>
  <c r="I130" i="46"/>
  <c r="G130" i="46"/>
  <c r="E130" i="46"/>
  <c r="T128" i="46"/>
  <c r="T130" i="46" s="1"/>
  <c r="R128" i="46"/>
  <c r="U123" i="46"/>
  <c r="I123" i="46"/>
  <c r="G123" i="46"/>
  <c r="E123" i="46"/>
  <c r="T122" i="46"/>
  <c r="R122" i="46"/>
  <c r="V122" i="46" s="1"/>
  <c r="T121" i="46"/>
  <c r="T123" i="46" s="1"/>
  <c r="R121" i="46"/>
  <c r="R123" i="46" s="1"/>
  <c r="U118" i="46"/>
  <c r="I118" i="46"/>
  <c r="G118" i="46"/>
  <c r="E118" i="46"/>
  <c r="T7" i="46"/>
  <c r="R7" i="46"/>
  <c r="J3" i="46"/>
  <c r="I150" i="24"/>
  <c r="G150" i="24"/>
  <c r="E150" i="24"/>
  <c r="T135" i="40"/>
  <c r="R135" i="40"/>
  <c r="V135" i="40" s="1"/>
  <c r="T134" i="40"/>
  <c r="R134" i="40"/>
  <c r="V134" i="40" s="1"/>
  <c r="T133" i="40"/>
  <c r="R133" i="40"/>
  <c r="V133" i="40" s="1"/>
  <c r="T132" i="40"/>
  <c r="R132" i="40"/>
  <c r="V132" i="40" s="1"/>
  <c r="T131" i="40"/>
  <c r="R131" i="40"/>
  <c r="V131" i="40" s="1"/>
  <c r="T130" i="40"/>
  <c r="R130" i="40"/>
  <c r="V130" i="40" s="1"/>
  <c r="T129" i="40"/>
  <c r="R129" i="40"/>
  <c r="V129" i="40" s="1"/>
  <c r="Q137" i="40"/>
  <c r="P137" i="40"/>
  <c r="O137" i="40"/>
  <c r="N137" i="40"/>
  <c r="M137" i="40"/>
  <c r="L137" i="40"/>
  <c r="K137" i="40"/>
  <c r="T117" i="40"/>
  <c r="R117" i="40"/>
  <c r="V117" i="40" s="1"/>
  <c r="T116" i="40"/>
  <c r="R116" i="40"/>
  <c r="V116" i="40" s="1"/>
  <c r="T115" i="40"/>
  <c r="R115" i="40"/>
  <c r="V115" i="40" s="1"/>
  <c r="T114" i="40"/>
  <c r="R114" i="40"/>
  <c r="V114" i="40" s="1"/>
  <c r="T113" i="40"/>
  <c r="R113" i="40"/>
  <c r="V113" i="40" s="1"/>
  <c r="T112" i="40"/>
  <c r="R112" i="40"/>
  <c r="V112" i="40" s="1"/>
  <c r="T111" i="40"/>
  <c r="R111" i="40"/>
  <c r="V111" i="40" s="1"/>
  <c r="T110" i="40"/>
  <c r="R110" i="40"/>
  <c r="V110" i="40" s="1"/>
  <c r="T109" i="40"/>
  <c r="R109" i="40"/>
  <c r="V109" i="40" s="1"/>
  <c r="T108" i="40"/>
  <c r="R108" i="40"/>
  <c r="V108" i="40" s="1"/>
  <c r="T107" i="40"/>
  <c r="R107" i="40"/>
  <c r="V107" i="40" s="1"/>
  <c r="T106" i="40"/>
  <c r="R106" i="40"/>
  <c r="V106" i="40" s="1"/>
  <c r="T105" i="40"/>
  <c r="R105" i="40"/>
  <c r="V105" i="40" s="1"/>
  <c r="T104" i="40"/>
  <c r="R104" i="40"/>
  <c r="V104" i="40" s="1"/>
  <c r="T103" i="40"/>
  <c r="R103" i="40"/>
  <c r="V103" i="40" s="1"/>
  <c r="T102" i="40"/>
  <c r="R102" i="40"/>
  <c r="V102" i="40" s="1"/>
  <c r="T101" i="40"/>
  <c r="R101" i="40"/>
  <c r="V101" i="40" s="1"/>
  <c r="T100" i="40"/>
  <c r="R100" i="40"/>
  <c r="V100" i="40" s="1"/>
  <c r="T99" i="40"/>
  <c r="R99" i="40"/>
  <c r="V99" i="40" s="1"/>
  <c r="T98" i="40"/>
  <c r="R98" i="40"/>
  <c r="V98" i="40" s="1"/>
  <c r="T97" i="40"/>
  <c r="R97" i="40"/>
  <c r="V97" i="40" s="1"/>
  <c r="T96" i="40"/>
  <c r="R96" i="40"/>
  <c r="V96" i="40" s="1"/>
  <c r="T95" i="40"/>
  <c r="R95" i="40"/>
  <c r="V95" i="40" s="1"/>
  <c r="T94" i="40"/>
  <c r="R94" i="40"/>
  <c r="V94" i="40" s="1"/>
  <c r="T93" i="40"/>
  <c r="R93" i="40"/>
  <c r="V93" i="40" s="1"/>
  <c r="T92" i="40"/>
  <c r="R92" i="40"/>
  <c r="V92" i="40" s="1"/>
  <c r="T91" i="40"/>
  <c r="R91" i="40"/>
  <c r="T90" i="40"/>
  <c r="R90" i="40"/>
  <c r="T89" i="40"/>
  <c r="R89" i="40"/>
  <c r="T88" i="40"/>
  <c r="R88" i="40"/>
  <c r="T87" i="40"/>
  <c r="R87" i="40"/>
  <c r="T86" i="40"/>
  <c r="R86" i="40"/>
  <c r="T85" i="40"/>
  <c r="R85" i="40"/>
  <c r="T84" i="40"/>
  <c r="R84" i="40"/>
  <c r="T83" i="40"/>
  <c r="R83" i="40"/>
  <c r="T82" i="40"/>
  <c r="R82" i="40"/>
  <c r="T81" i="40"/>
  <c r="R81" i="40"/>
  <c r="T80" i="40"/>
  <c r="R80" i="40"/>
  <c r="T79" i="40"/>
  <c r="R79" i="40"/>
  <c r="T78" i="40"/>
  <c r="R78" i="40"/>
  <c r="T77" i="40"/>
  <c r="R77" i="40"/>
  <c r="T76" i="40"/>
  <c r="R76" i="40"/>
  <c r="T75" i="40"/>
  <c r="R75" i="40"/>
  <c r="V75" i="40" s="1"/>
  <c r="T74" i="40"/>
  <c r="R74" i="40"/>
  <c r="V74" i="40" s="1"/>
  <c r="T73" i="40"/>
  <c r="R73" i="40"/>
  <c r="V73" i="40" s="1"/>
  <c r="T72" i="40"/>
  <c r="R72" i="40"/>
  <c r="V72" i="40" s="1"/>
  <c r="T71" i="40"/>
  <c r="R71" i="40"/>
  <c r="V71" i="40" s="1"/>
  <c r="T70" i="40"/>
  <c r="R70" i="40"/>
  <c r="V70" i="40" s="1"/>
  <c r="T69" i="40"/>
  <c r="R69" i="40"/>
  <c r="V69" i="40" s="1"/>
  <c r="T68" i="40"/>
  <c r="R68" i="40"/>
  <c r="V68" i="40" s="1"/>
  <c r="T67" i="40"/>
  <c r="R67" i="40"/>
  <c r="V67" i="40" s="1"/>
  <c r="T66" i="40"/>
  <c r="R66" i="40"/>
  <c r="V66" i="40" s="1"/>
  <c r="T65" i="40"/>
  <c r="R65" i="40"/>
  <c r="V65" i="40" s="1"/>
  <c r="T64" i="40"/>
  <c r="R64" i="40"/>
  <c r="V64" i="40" s="1"/>
  <c r="T63" i="40"/>
  <c r="R63" i="40"/>
  <c r="V63" i="40" s="1"/>
  <c r="T62" i="40"/>
  <c r="R62" i="40"/>
  <c r="V62" i="40" s="1"/>
  <c r="T61" i="40"/>
  <c r="R61" i="40"/>
  <c r="V61" i="40" s="1"/>
  <c r="T60" i="40"/>
  <c r="R60" i="40"/>
  <c r="V60" i="40" s="1"/>
  <c r="T59" i="40"/>
  <c r="R59" i="40"/>
  <c r="V59" i="40" s="1"/>
  <c r="T58" i="40"/>
  <c r="R58" i="40"/>
  <c r="V58" i="40" s="1"/>
  <c r="T57" i="40"/>
  <c r="R57" i="40"/>
  <c r="V57" i="40" s="1"/>
  <c r="T56" i="40"/>
  <c r="R56" i="40"/>
  <c r="V56" i="40" s="1"/>
  <c r="T55" i="40"/>
  <c r="R55" i="40"/>
  <c r="V55" i="40" s="1"/>
  <c r="T54" i="40"/>
  <c r="R54" i="40"/>
  <c r="V54" i="40" s="1"/>
  <c r="T53" i="40"/>
  <c r="R53" i="40"/>
  <c r="V53" i="40" s="1"/>
  <c r="T52" i="40"/>
  <c r="R52" i="40"/>
  <c r="V52" i="40" s="1"/>
  <c r="T51" i="40"/>
  <c r="R51" i="40"/>
  <c r="V51" i="40" s="1"/>
  <c r="T50" i="40"/>
  <c r="R50" i="40"/>
  <c r="V50" i="40" s="1"/>
  <c r="T49" i="40"/>
  <c r="R49" i="40"/>
  <c r="V49" i="40" s="1"/>
  <c r="T48" i="40"/>
  <c r="R48" i="40"/>
  <c r="V48" i="40" s="1"/>
  <c r="T47" i="40"/>
  <c r="R47" i="40"/>
  <c r="V47" i="40" s="1"/>
  <c r="T46" i="40"/>
  <c r="R46" i="40"/>
  <c r="V46" i="40" s="1"/>
  <c r="T45" i="40"/>
  <c r="R45" i="40"/>
  <c r="V45" i="40" s="1"/>
  <c r="T44" i="40"/>
  <c r="R44" i="40"/>
  <c r="V44" i="40" s="1"/>
  <c r="T43" i="40"/>
  <c r="R43" i="40"/>
  <c r="V43" i="40" s="1"/>
  <c r="T42" i="40"/>
  <c r="R42" i="40"/>
  <c r="V42" i="40" s="1"/>
  <c r="T41" i="40"/>
  <c r="R41" i="40"/>
  <c r="V41" i="40" s="1"/>
  <c r="T40" i="40"/>
  <c r="R40" i="40"/>
  <c r="V40" i="40" s="1"/>
  <c r="T39" i="40"/>
  <c r="R39" i="40"/>
  <c r="V39" i="40" s="1"/>
  <c r="T38" i="40"/>
  <c r="R38" i="40"/>
  <c r="V38" i="40" s="1"/>
  <c r="T37" i="40"/>
  <c r="R37" i="40"/>
  <c r="V37" i="40" s="1"/>
  <c r="T36" i="40"/>
  <c r="R36" i="40"/>
  <c r="V36" i="40" s="1"/>
  <c r="T35" i="40"/>
  <c r="R35" i="40"/>
  <c r="V35" i="40" s="1"/>
  <c r="T34" i="40"/>
  <c r="R34" i="40"/>
  <c r="V34" i="40" s="1"/>
  <c r="T33" i="40"/>
  <c r="R33" i="40"/>
  <c r="V33" i="40" s="1"/>
  <c r="T32" i="40"/>
  <c r="R32" i="40"/>
  <c r="V32" i="40" s="1"/>
  <c r="T31" i="40"/>
  <c r="R31" i="40"/>
  <c r="V31" i="40" s="1"/>
  <c r="T30" i="40"/>
  <c r="R30" i="40"/>
  <c r="V30" i="40" s="1"/>
  <c r="T29" i="40"/>
  <c r="R29" i="40"/>
  <c r="V29" i="40" s="1"/>
  <c r="T28" i="40"/>
  <c r="R28" i="40"/>
  <c r="V28" i="40" s="1"/>
  <c r="T27" i="40"/>
  <c r="R27" i="40"/>
  <c r="V27" i="40" s="1"/>
  <c r="T26" i="40"/>
  <c r="R26" i="40"/>
  <c r="V26" i="40" s="1"/>
  <c r="T25" i="40"/>
  <c r="R25" i="40"/>
  <c r="V25" i="40" s="1"/>
  <c r="T24" i="40"/>
  <c r="R24" i="40"/>
  <c r="V24" i="40" s="1"/>
  <c r="T23" i="40"/>
  <c r="R23" i="40"/>
  <c r="T22" i="40"/>
  <c r="R22" i="40"/>
  <c r="T21" i="40"/>
  <c r="R21" i="40"/>
  <c r="T20" i="40"/>
  <c r="R20" i="40"/>
  <c r="T19" i="40"/>
  <c r="R19" i="40"/>
  <c r="T18" i="40"/>
  <c r="R18" i="40"/>
  <c r="T17" i="40"/>
  <c r="R17" i="40"/>
  <c r="T16" i="40"/>
  <c r="R16" i="40"/>
  <c r="T15" i="40"/>
  <c r="R15" i="40"/>
  <c r="T14" i="40"/>
  <c r="R14" i="40"/>
  <c r="T13" i="40"/>
  <c r="R13" i="40"/>
  <c r="T12" i="40"/>
  <c r="R12" i="40"/>
  <c r="T11" i="40"/>
  <c r="R11" i="40"/>
  <c r="T10" i="40"/>
  <c r="R10" i="40"/>
  <c r="V10" i="40" s="1"/>
  <c r="T9" i="40"/>
  <c r="R9" i="40"/>
  <c r="V9" i="40" s="1"/>
  <c r="T8" i="40"/>
  <c r="R8" i="40"/>
  <c r="V8" i="40" s="1"/>
  <c r="J137" i="40"/>
  <c r="U136" i="40"/>
  <c r="I136" i="40"/>
  <c r="G136" i="40"/>
  <c r="E136" i="40"/>
  <c r="T128" i="40"/>
  <c r="R128" i="40"/>
  <c r="U123" i="40"/>
  <c r="I123" i="40"/>
  <c r="G123" i="40"/>
  <c r="E123" i="40"/>
  <c r="T122" i="40"/>
  <c r="R122" i="40"/>
  <c r="V122" i="40" s="1"/>
  <c r="T121" i="40"/>
  <c r="T123" i="40" s="1"/>
  <c r="R121" i="40"/>
  <c r="R123" i="40" s="1"/>
  <c r="U118" i="40"/>
  <c r="I118" i="40"/>
  <c r="G118" i="40"/>
  <c r="E118" i="40"/>
  <c r="T7" i="40"/>
  <c r="R7" i="40"/>
  <c r="J3" i="40"/>
  <c r="Q130" i="33"/>
  <c r="P130" i="33"/>
  <c r="O130" i="33"/>
  <c r="N130" i="33"/>
  <c r="M130" i="33"/>
  <c r="L130" i="33"/>
  <c r="K130" i="33"/>
  <c r="T117" i="33"/>
  <c r="R117" i="33"/>
  <c r="V117" i="33" s="1"/>
  <c r="T116" i="33"/>
  <c r="R116" i="33"/>
  <c r="V116" i="33" s="1"/>
  <c r="T115" i="33"/>
  <c r="R115" i="33"/>
  <c r="V115" i="33" s="1"/>
  <c r="T114" i="33"/>
  <c r="R114" i="33"/>
  <c r="V114" i="33" s="1"/>
  <c r="T113" i="33"/>
  <c r="R113" i="33"/>
  <c r="V113" i="33" s="1"/>
  <c r="T112" i="33"/>
  <c r="R112" i="33"/>
  <c r="V112" i="33" s="1"/>
  <c r="T111" i="33"/>
  <c r="R111" i="33"/>
  <c r="V111" i="33" s="1"/>
  <c r="T110" i="33"/>
  <c r="R110" i="33"/>
  <c r="V110" i="33" s="1"/>
  <c r="T109" i="33"/>
  <c r="R109" i="33"/>
  <c r="V109" i="33" s="1"/>
  <c r="T108" i="33"/>
  <c r="R108" i="33"/>
  <c r="V108" i="33" s="1"/>
  <c r="T107" i="33"/>
  <c r="R107" i="33"/>
  <c r="V107" i="33" s="1"/>
  <c r="T106" i="33"/>
  <c r="R106" i="33"/>
  <c r="V106" i="33" s="1"/>
  <c r="T105" i="33"/>
  <c r="R105" i="33"/>
  <c r="V105" i="33" s="1"/>
  <c r="T104" i="33"/>
  <c r="R104" i="33"/>
  <c r="V104" i="33" s="1"/>
  <c r="T103" i="33"/>
  <c r="R103" i="33"/>
  <c r="V103" i="33" s="1"/>
  <c r="T102" i="33"/>
  <c r="R102" i="33"/>
  <c r="V102" i="33" s="1"/>
  <c r="T101" i="33"/>
  <c r="R101" i="33"/>
  <c r="V101" i="33" s="1"/>
  <c r="T100" i="33"/>
  <c r="R100" i="33"/>
  <c r="V100" i="33" s="1"/>
  <c r="T99" i="33"/>
  <c r="R99" i="33"/>
  <c r="V99" i="33" s="1"/>
  <c r="T98" i="33"/>
  <c r="R98" i="33"/>
  <c r="T97" i="33"/>
  <c r="R97" i="33"/>
  <c r="T96" i="33"/>
  <c r="R96" i="33"/>
  <c r="T95" i="33"/>
  <c r="R95" i="33"/>
  <c r="T94" i="33"/>
  <c r="R94" i="33"/>
  <c r="T93" i="33"/>
  <c r="R93" i="33"/>
  <c r="T92" i="33"/>
  <c r="R92" i="33"/>
  <c r="T91" i="33"/>
  <c r="R91" i="33"/>
  <c r="T90" i="33"/>
  <c r="R90" i="33"/>
  <c r="T89" i="33"/>
  <c r="R89" i="33"/>
  <c r="T88" i="33"/>
  <c r="R88" i="33"/>
  <c r="T87" i="33"/>
  <c r="R87" i="33"/>
  <c r="T86" i="33"/>
  <c r="R86" i="33"/>
  <c r="T85" i="33"/>
  <c r="R85" i="33"/>
  <c r="T84" i="33"/>
  <c r="R84" i="33"/>
  <c r="T83" i="33"/>
  <c r="R83" i="33"/>
  <c r="T82" i="33"/>
  <c r="R82" i="33"/>
  <c r="T81" i="33"/>
  <c r="R81" i="33"/>
  <c r="T80" i="33"/>
  <c r="R80" i="33"/>
  <c r="T79" i="33"/>
  <c r="R79" i="33"/>
  <c r="T78" i="33"/>
  <c r="R78" i="33"/>
  <c r="T77" i="33"/>
  <c r="R77" i="33"/>
  <c r="T76" i="33"/>
  <c r="R76" i="33"/>
  <c r="T75" i="33"/>
  <c r="R75" i="33"/>
  <c r="V75" i="33" s="1"/>
  <c r="T74" i="33"/>
  <c r="R74" i="33"/>
  <c r="V74" i="33" s="1"/>
  <c r="T73" i="33"/>
  <c r="R73" i="33"/>
  <c r="V73" i="33" s="1"/>
  <c r="T72" i="33"/>
  <c r="R72" i="33"/>
  <c r="V72" i="33" s="1"/>
  <c r="T71" i="33"/>
  <c r="R71" i="33"/>
  <c r="V71" i="33" s="1"/>
  <c r="T70" i="33"/>
  <c r="R70" i="33"/>
  <c r="V70" i="33" s="1"/>
  <c r="T69" i="33"/>
  <c r="R69" i="33"/>
  <c r="V69" i="33" s="1"/>
  <c r="T68" i="33"/>
  <c r="R68" i="33"/>
  <c r="V68" i="33" s="1"/>
  <c r="T67" i="33"/>
  <c r="R67" i="33"/>
  <c r="V67" i="33" s="1"/>
  <c r="T66" i="33"/>
  <c r="R66" i="33"/>
  <c r="V66" i="33" s="1"/>
  <c r="T65" i="33"/>
  <c r="R65" i="33"/>
  <c r="V65" i="33" s="1"/>
  <c r="T64" i="33"/>
  <c r="R64" i="33"/>
  <c r="V64" i="33" s="1"/>
  <c r="T63" i="33"/>
  <c r="R63" i="33"/>
  <c r="V63" i="33" s="1"/>
  <c r="T62" i="33"/>
  <c r="R62" i="33"/>
  <c r="V62" i="33" s="1"/>
  <c r="T61" i="33"/>
  <c r="R61" i="33"/>
  <c r="V61" i="33" s="1"/>
  <c r="T60" i="33"/>
  <c r="R60" i="33"/>
  <c r="V60" i="33" s="1"/>
  <c r="T59" i="33"/>
  <c r="R59" i="33"/>
  <c r="V59" i="33" s="1"/>
  <c r="T58" i="33"/>
  <c r="R58" i="33"/>
  <c r="V58" i="33" s="1"/>
  <c r="T57" i="33"/>
  <c r="R57" i="33"/>
  <c r="V57" i="33" s="1"/>
  <c r="T56" i="33"/>
  <c r="R56" i="33"/>
  <c r="V56" i="33" s="1"/>
  <c r="T55" i="33"/>
  <c r="R55" i="33"/>
  <c r="V55" i="33" s="1"/>
  <c r="T54" i="33"/>
  <c r="R54" i="33"/>
  <c r="V54" i="33" s="1"/>
  <c r="T53" i="33"/>
  <c r="R53" i="33"/>
  <c r="V53" i="33" s="1"/>
  <c r="T52" i="33"/>
  <c r="R52" i="33"/>
  <c r="V52" i="33" s="1"/>
  <c r="T51" i="33"/>
  <c r="R51" i="33"/>
  <c r="V51" i="33" s="1"/>
  <c r="T50" i="33"/>
  <c r="R50" i="33"/>
  <c r="V50" i="33" s="1"/>
  <c r="T49" i="33"/>
  <c r="R49" i="33"/>
  <c r="V49" i="33" s="1"/>
  <c r="T48" i="33"/>
  <c r="R48" i="33"/>
  <c r="V48" i="33" s="1"/>
  <c r="T47" i="33"/>
  <c r="R47" i="33"/>
  <c r="V47" i="33" s="1"/>
  <c r="T46" i="33"/>
  <c r="R46" i="33"/>
  <c r="V46" i="33" s="1"/>
  <c r="T45" i="33"/>
  <c r="R45" i="33"/>
  <c r="V45" i="33" s="1"/>
  <c r="T44" i="33"/>
  <c r="R44" i="33"/>
  <c r="V44" i="33" s="1"/>
  <c r="T43" i="33"/>
  <c r="R43" i="33"/>
  <c r="V43" i="33" s="1"/>
  <c r="T42" i="33"/>
  <c r="R42" i="33"/>
  <c r="V42" i="33" s="1"/>
  <c r="T41" i="33"/>
  <c r="R41" i="33"/>
  <c r="V41" i="33" s="1"/>
  <c r="T40" i="33"/>
  <c r="R40" i="33"/>
  <c r="V40" i="33" s="1"/>
  <c r="T39" i="33"/>
  <c r="R39" i="33"/>
  <c r="V39" i="33" s="1"/>
  <c r="T38" i="33"/>
  <c r="R38" i="33"/>
  <c r="V38" i="33" s="1"/>
  <c r="T37" i="33"/>
  <c r="R37" i="33"/>
  <c r="T36" i="33"/>
  <c r="R36" i="33"/>
  <c r="T35" i="33"/>
  <c r="R35" i="33"/>
  <c r="T34" i="33"/>
  <c r="R34" i="33"/>
  <c r="T33" i="33"/>
  <c r="R33" i="33"/>
  <c r="T32" i="33"/>
  <c r="R32" i="33"/>
  <c r="V32" i="33" s="1"/>
  <c r="T31" i="33"/>
  <c r="R31" i="33"/>
  <c r="V31" i="33" s="1"/>
  <c r="T30" i="33"/>
  <c r="R30" i="33"/>
  <c r="V30" i="33" s="1"/>
  <c r="T29" i="33"/>
  <c r="R29" i="33"/>
  <c r="V29" i="33" s="1"/>
  <c r="T28" i="33"/>
  <c r="R28" i="33"/>
  <c r="V28" i="33" s="1"/>
  <c r="T27" i="33"/>
  <c r="R27" i="33"/>
  <c r="V27" i="33" s="1"/>
  <c r="T26" i="33"/>
  <c r="R26" i="33"/>
  <c r="V26" i="33" s="1"/>
  <c r="T25" i="33"/>
  <c r="R25" i="33"/>
  <c r="V25" i="33" s="1"/>
  <c r="T24" i="33"/>
  <c r="R24" i="33"/>
  <c r="V24" i="33" s="1"/>
  <c r="T23" i="33"/>
  <c r="R23" i="33"/>
  <c r="V23" i="33" s="1"/>
  <c r="T22" i="33"/>
  <c r="R22" i="33"/>
  <c r="V22" i="33" s="1"/>
  <c r="T21" i="33"/>
  <c r="R21" i="33"/>
  <c r="V21" i="33" s="1"/>
  <c r="T20" i="33"/>
  <c r="R20" i="33"/>
  <c r="V20" i="33" s="1"/>
  <c r="T19" i="33"/>
  <c r="R19" i="33"/>
  <c r="V19" i="33" s="1"/>
  <c r="T18" i="33"/>
  <c r="R18" i="33"/>
  <c r="V18" i="33" s="1"/>
  <c r="T17" i="33"/>
  <c r="R17" i="33"/>
  <c r="V17" i="33" s="1"/>
  <c r="T16" i="33"/>
  <c r="R16" i="33"/>
  <c r="V16" i="33" s="1"/>
  <c r="T15" i="33"/>
  <c r="R15" i="33"/>
  <c r="V15" i="33" s="1"/>
  <c r="T14" i="33"/>
  <c r="R14" i="33"/>
  <c r="V14" i="33" s="1"/>
  <c r="T13" i="33"/>
  <c r="R13" i="33"/>
  <c r="V13" i="33" s="1"/>
  <c r="T12" i="33"/>
  <c r="R12" i="33"/>
  <c r="V12" i="33" s="1"/>
  <c r="T11" i="33"/>
  <c r="R11" i="33"/>
  <c r="V11" i="33" s="1"/>
  <c r="T10" i="33"/>
  <c r="R10" i="33"/>
  <c r="V10" i="33" s="1"/>
  <c r="T9" i="33"/>
  <c r="R9" i="33"/>
  <c r="V9" i="33" s="1"/>
  <c r="T8" i="33"/>
  <c r="R8" i="33"/>
  <c r="V8" i="33" s="1"/>
  <c r="J130" i="33"/>
  <c r="U129" i="33"/>
  <c r="T128" i="33"/>
  <c r="R128" i="33"/>
  <c r="U123" i="33"/>
  <c r="I123" i="33"/>
  <c r="G123" i="33"/>
  <c r="E123" i="33"/>
  <c r="T122" i="33"/>
  <c r="R122" i="33"/>
  <c r="V122" i="33" s="1"/>
  <c r="T121" i="33"/>
  <c r="R121" i="33"/>
  <c r="R123" i="33" s="1"/>
  <c r="U118" i="33"/>
  <c r="I118" i="33"/>
  <c r="G118" i="33"/>
  <c r="G130" i="33" s="1"/>
  <c r="C3" i="33" s="1"/>
  <c r="E118" i="33"/>
  <c r="E130" i="33" s="1"/>
  <c r="T7" i="33"/>
  <c r="R7" i="33"/>
  <c r="J3" i="33"/>
  <c r="T140" i="24"/>
  <c r="R140" i="24"/>
  <c r="V140" i="24" s="1"/>
  <c r="T139" i="24"/>
  <c r="R139" i="24"/>
  <c r="V139" i="24" s="1"/>
  <c r="T138" i="24"/>
  <c r="R138" i="24"/>
  <c r="V138" i="24" s="1"/>
  <c r="T137" i="24"/>
  <c r="R137" i="24"/>
  <c r="V137" i="24" s="1"/>
  <c r="T136" i="24"/>
  <c r="R136" i="24"/>
  <c r="V136" i="24" s="1"/>
  <c r="T135" i="24"/>
  <c r="R135" i="24"/>
  <c r="V135" i="24" s="1"/>
  <c r="T134" i="24"/>
  <c r="R134" i="24"/>
  <c r="V134" i="24" s="1"/>
  <c r="T133" i="24"/>
  <c r="R133" i="24"/>
  <c r="V133" i="24" s="1"/>
  <c r="T132" i="24"/>
  <c r="R132" i="24"/>
  <c r="V132" i="24" s="1"/>
  <c r="T131" i="24"/>
  <c r="R131" i="24"/>
  <c r="V131" i="24" s="1"/>
  <c r="Q143" i="24"/>
  <c r="P143" i="24"/>
  <c r="O143" i="24"/>
  <c r="N143" i="24"/>
  <c r="M143" i="24"/>
  <c r="L143" i="24"/>
  <c r="K143" i="24"/>
  <c r="T119" i="24"/>
  <c r="R119" i="24"/>
  <c r="T118" i="24"/>
  <c r="R118" i="24"/>
  <c r="T117" i="24"/>
  <c r="R117" i="24"/>
  <c r="T116" i="24"/>
  <c r="R116" i="24"/>
  <c r="T115" i="24"/>
  <c r="R115" i="24"/>
  <c r="T114" i="24"/>
  <c r="R114" i="24"/>
  <c r="T113" i="24"/>
  <c r="R113" i="24"/>
  <c r="T112" i="24"/>
  <c r="R112" i="24"/>
  <c r="T111" i="24"/>
  <c r="R111" i="24"/>
  <c r="T110" i="24"/>
  <c r="R110" i="24"/>
  <c r="T109" i="24"/>
  <c r="R109" i="24"/>
  <c r="T108" i="24"/>
  <c r="R108" i="24"/>
  <c r="T107" i="24"/>
  <c r="R107" i="24"/>
  <c r="T106" i="24"/>
  <c r="R106" i="24"/>
  <c r="T105" i="24"/>
  <c r="R105" i="24"/>
  <c r="T104" i="24"/>
  <c r="R104" i="24"/>
  <c r="T103" i="24"/>
  <c r="R103" i="24"/>
  <c r="T102" i="24"/>
  <c r="R102" i="24"/>
  <c r="T101" i="24"/>
  <c r="R101" i="24"/>
  <c r="T100" i="24"/>
  <c r="R100" i="24"/>
  <c r="T99" i="24"/>
  <c r="R99" i="24"/>
  <c r="T98" i="24"/>
  <c r="R98" i="24"/>
  <c r="T97" i="24"/>
  <c r="R97" i="24"/>
  <c r="T96" i="24"/>
  <c r="R96" i="24"/>
  <c r="T95" i="24"/>
  <c r="R95" i="24"/>
  <c r="T94" i="24"/>
  <c r="R94" i="24"/>
  <c r="T93" i="24"/>
  <c r="R93" i="24"/>
  <c r="T92" i="24"/>
  <c r="R92" i="24"/>
  <c r="T91" i="24"/>
  <c r="R91" i="24"/>
  <c r="T90" i="24"/>
  <c r="R90" i="24"/>
  <c r="T89" i="24"/>
  <c r="R89" i="24"/>
  <c r="T88" i="24"/>
  <c r="R88" i="24"/>
  <c r="T87" i="24"/>
  <c r="R87" i="24"/>
  <c r="T86" i="24"/>
  <c r="R86" i="24"/>
  <c r="T85" i="24"/>
  <c r="R85" i="24"/>
  <c r="T84" i="24"/>
  <c r="R84" i="24"/>
  <c r="T83" i="24"/>
  <c r="R83" i="24"/>
  <c r="T82" i="24"/>
  <c r="R82" i="24"/>
  <c r="T81" i="24"/>
  <c r="R81" i="24"/>
  <c r="T80" i="24"/>
  <c r="R80" i="24"/>
  <c r="T79" i="24"/>
  <c r="R79" i="24"/>
  <c r="T78" i="24"/>
  <c r="R78" i="24"/>
  <c r="T77" i="24"/>
  <c r="R77" i="24"/>
  <c r="T76" i="24"/>
  <c r="R76" i="24"/>
  <c r="T75" i="24"/>
  <c r="R75" i="24"/>
  <c r="T74" i="24"/>
  <c r="R74" i="24"/>
  <c r="T73" i="24"/>
  <c r="R73" i="24"/>
  <c r="T72" i="24"/>
  <c r="R72" i="24"/>
  <c r="T71" i="24"/>
  <c r="R71" i="24"/>
  <c r="T70" i="24"/>
  <c r="R70" i="24"/>
  <c r="T69" i="24"/>
  <c r="R69" i="24"/>
  <c r="T68" i="24"/>
  <c r="R68" i="24"/>
  <c r="T67" i="24"/>
  <c r="R67" i="24"/>
  <c r="T66" i="24"/>
  <c r="R66" i="24"/>
  <c r="T65" i="24"/>
  <c r="R65" i="24"/>
  <c r="T64" i="24"/>
  <c r="R64" i="24"/>
  <c r="T63" i="24"/>
  <c r="R63" i="24"/>
  <c r="T62" i="24"/>
  <c r="R62" i="24"/>
  <c r="T61" i="24"/>
  <c r="R61" i="24"/>
  <c r="T60" i="24"/>
  <c r="R60" i="24"/>
  <c r="T59" i="24"/>
  <c r="R59" i="24"/>
  <c r="T58" i="24"/>
  <c r="R58" i="24"/>
  <c r="T57" i="24"/>
  <c r="R57" i="24"/>
  <c r="T56" i="24"/>
  <c r="R56" i="24"/>
  <c r="T55" i="24"/>
  <c r="R55" i="24"/>
  <c r="T54" i="24"/>
  <c r="R54" i="24"/>
  <c r="T53" i="24"/>
  <c r="R53" i="24"/>
  <c r="T52" i="24"/>
  <c r="R52" i="24"/>
  <c r="T51" i="24"/>
  <c r="R51" i="24"/>
  <c r="T50" i="24"/>
  <c r="R50" i="24"/>
  <c r="T49" i="24"/>
  <c r="R49" i="24"/>
  <c r="T48" i="24"/>
  <c r="R48" i="24"/>
  <c r="T47" i="24"/>
  <c r="R47" i="24"/>
  <c r="T46" i="24"/>
  <c r="R46" i="24"/>
  <c r="T45" i="24"/>
  <c r="R45" i="24"/>
  <c r="T44" i="24"/>
  <c r="R44" i="24"/>
  <c r="T43" i="24"/>
  <c r="R43" i="24"/>
  <c r="T42" i="24"/>
  <c r="R42" i="24"/>
  <c r="T41" i="24"/>
  <c r="R41" i="24"/>
  <c r="V41" i="24" s="1"/>
  <c r="T40" i="24"/>
  <c r="R40" i="24"/>
  <c r="V40" i="24" s="1"/>
  <c r="T39" i="24"/>
  <c r="R39" i="24"/>
  <c r="V39" i="24" s="1"/>
  <c r="T38" i="24"/>
  <c r="R38" i="24"/>
  <c r="V38" i="24" s="1"/>
  <c r="T37" i="24"/>
  <c r="R37" i="24"/>
  <c r="V37" i="24" s="1"/>
  <c r="T36" i="24"/>
  <c r="R36" i="24"/>
  <c r="V36" i="24" s="1"/>
  <c r="T35" i="24"/>
  <c r="R35" i="24"/>
  <c r="V35" i="24" s="1"/>
  <c r="T34" i="24"/>
  <c r="R34" i="24"/>
  <c r="V34" i="24" s="1"/>
  <c r="T33" i="24"/>
  <c r="R33" i="24"/>
  <c r="V33" i="24" s="1"/>
  <c r="T32" i="24"/>
  <c r="R32" i="24"/>
  <c r="V32" i="24" s="1"/>
  <c r="T31" i="24"/>
  <c r="R31" i="24"/>
  <c r="V31" i="24" s="1"/>
  <c r="T30" i="24"/>
  <c r="R30" i="24"/>
  <c r="V30" i="24" s="1"/>
  <c r="T29" i="24"/>
  <c r="R29" i="24"/>
  <c r="V29" i="24" s="1"/>
  <c r="T28" i="24"/>
  <c r="R28" i="24"/>
  <c r="V28" i="24" s="1"/>
  <c r="T27" i="24"/>
  <c r="R27" i="24"/>
  <c r="V27" i="24" s="1"/>
  <c r="T26" i="24"/>
  <c r="R26" i="24"/>
  <c r="V26" i="24" s="1"/>
  <c r="T25" i="24"/>
  <c r="R25" i="24"/>
  <c r="V25" i="24" s="1"/>
  <c r="T24" i="24"/>
  <c r="R24" i="24"/>
  <c r="V24" i="24" s="1"/>
  <c r="T23" i="24"/>
  <c r="R23" i="24"/>
  <c r="V23" i="24" s="1"/>
  <c r="T22" i="24"/>
  <c r="R22" i="24"/>
  <c r="V22" i="24" s="1"/>
  <c r="T21" i="24"/>
  <c r="R21" i="24"/>
  <c r="V21" i="24" s="1"/>
  <c r="T20" i="24"/>
  <c r="R20" i="24"/>
  <c r="V20" i="24" s="1"/>
  <c r="T19" i="24"/>
  <c r="R19" i="24"/>
  <c r="V19" i="24" s="1"/>
  <c r="T18" i="24"/>
  <c r="R18" i="24"/>
  <c r="V18" i="24" s="1"/>
  <c r="T17" i="24"/>
  <c r="R17" i="24"/>
  <c r="V17" i="24" s="1"/>
  <c r="T16" i="24"/>
  <c r="R16" i="24"/>
  <c r="V16" i="24" s="1"/>
  <c r="T15" i="24"/>
  <c r="R15" i="24"/>
  <c r="V15" i="24" s="1"/>
  <c r="T14" i="24"/>
  <c r="R14" i="24"/>
  <c r="V14" i="24" s="1"/>
  <c r="T13" i="24"/>
  <c r="R13" i="24"/>
  <c r="V13" i="24" s="1"/>
  <c r="T12" i="24"/>
  <c r="R12" i="24"/>
  <c r="V12" i="24" s="1"/>
  <c r="T11" i="24"/>
  <c r="R11" i="24"/>
  <c r="V11" i="24" s="1"/>
  <c r="T10" i="24"/>
  <c r="R10" i="24"/>
  <c r="V10" i="24" s="1"/>
  <c r="J143" i="24"/>
  <c r="U142" i="24"/>
  <c r="I142" i="24"/>
  <c r="G142" i="24"/>
  <c r="E142" i="24"/>
  <c r="T141" i="24"/>
  <c r="R141" i="24"/>
  <c r="V141" i="24" s="1"/>
  <c r="T130" i="24"/>
  <c r="R130" i="24"/>
  <c r="U125" i="24"/>
  <c r="I125" i="24"/>
  <c r="G125" i="24"/>
  <c r="E125" i="24"/>
  <c r="T124" i="24"/>
  <c r="R124" i="24"/>
  <c r="V124" i="24" s="1"/>
  <c r="T123" i="24"/>
  <c r="R123" i="24"/>
  <c r="R125" i="24" s="1"/>
  <c r="U120" i="24"/>
  <c r="I120" i="24"/>
  <c r="G120" i="24"/>
  <c r="E120" i="24"/>
  <c r="E143" i="24" s="1"/>
  <c r="T9" i="24"/>
  <c r="R9" i="24"/>
  <c r="V9" i="24" s="1"/>
  <c r="J5" i="24"/>
  <c r="T138" i="23"/>
  <c r="R138" i="23"/>
  <c r="V138" i="23" s="1"/>
  <c r="T137" i="23"/>
  <c r="R137" i="23"/>
  <c r="V137" i="23" s="1"/>
  <c r="T136" i="23"/>
  <c r="R136" i="23"/>
  <c r="V136" i="23" s="1"/>
  <c r="T135" i="23"/>
  <c r="R135" i="23"/>
  <c r="V135" i="23" s="1"/>
  <c r="T134" i="23"/>
  <c r="R134" i="23"/>
  <c r="V134" i="23" s="1"/>
  <c r="T133" i="23"/>
  <c r="R133" i="23"/>
  <c r="V133" i="23" s="1"/>
  <c r="T132" i="23"/>
  <c r="R132" i="23"/>
  <c r="V132" i="23" s="1"/>
  <c r="T131" i="23"/>
  <c r="R131" i="23"/>
  <c r="V131" i="23" s="1"/>
  <c r="T130" i="23"/>
  <c r="R130" i="23"/>
  <c r="V130" i="23" s="1"/>
  <c r="T129" i="23"/>
  <c r="R129" i="23"/>
  <c r="V129" i="23" s="1"/>
  <c r="Q141" i="23"/>
  <c r="P141" i="23"/>
  <c r="O141" i="23"/>
  <c r="N141" i="23"/>
  <c r="M141" i="23"/>
  <c r="L141" i="23"/>
  <c r="K141" i="23"/>
  <c r="T117" i="23"/>
  <c r="R117" i="23"/>
  <c r="V117" i="23" s="1"/>
  <c r="T116" i="23"/>
  <c r="R116" i="23"/>
  <c r="V116" i="23" s="1"/>
  <c r="T115" i="23"/>
  <c r="R115" i="23"/>
  <c r="V115" i="23" s="1"/>
  <c r="T114" i="23"/>
  <c r="R114" i="23"/>
  <c r="V114" i="23" s="1"/>
  <c r="T113" i="23"/>
  <c r="R113" i="23"/>
  <c r="V113" i="23" s="1"/>
  <c r="T112" i="23"/>
  <c r="R112" i="23"/>
  <c r="V112" i="23" s="1"/>
  <c r="T111" i="23"/>
  <c r="R111" i="23"/>
  <c r="V111" i="23" s="1"/>
  <c r="T110" i="23"/>
  <c r="R110" i="23"/>
  <c r="V110" i="23" s="1"/>
  <c r="T109" i="23"/>
  <c r="R109" i="23"/>
  <c r="V109" i="23" s="1"/>
  <c r="T108" i="23"/>
  <c r="R108" i="23"/>
  <c r="V108" i="23" s="1"/>
  <c r="T107" i="23"/>
  <c r="R107" i="23"/>
  <c r="V107" i="23" s="1"/>
  <c r="T106" i="23"/>
  <c r="R106" i="23"/>
  <c r="V106" i="23" s="1"/>
  <c r="T105" i="23"/>
  <c r="R105" i="23"/>
  <c r="V105" i="23" s="1"/>
  <c r="T104" i="23"/>
  <c r="R104" i="23"/>
  <c r="V104" i="23" s="1"/>
  <c r="T103" i="23"/>
  <c r="R103" i="23"/>
  <c r="V103" i="23" s="1"/>
  <c r="T102" i="23"/>
  <c r="R102" i="23"/>
  <c r="V102" i="23" s="1"/>
  <c r="T101" i="23"/>
  <c r="R101" i="23"/>
  <c r="V101" i="23" s="1"/>
  <c r="T100" i="23"/>
  <c r="R100" i="23"/>
  <c r="V100" i="23" s="1"/>
  <c r="T99" i="23"/>
  <c r="R99" i="23"/>
  <c r="V99" i="23" s="1"/>
  <c r="T98" i="23"/>
  <c r="R98" i="23"/>
  <c r="T97" i="23"/>
  <c r="R97" i="23"/>
  <c r="T96" i="23"/>
  <c r="R96" i="23"/>
  <c r="T95" i="23"/>
  <c r="R95" i="23"/>
  <c r="T94" i="23"/>
  <c r="R94" i="23"/>
  <c r="T93" i="23"/>
  <c r="R93" i="23"/>
  <c r="T92" i="23"/>
  <c r="R92" i="23"/>
  <c r="T91" i="23"/>
  <c r="R91" i="23"/>
  <c r="T90" i="23"/>
  <c r="R90" i="23"/>
  <c r="T89" i="23"/>
  <c r="R89" i="23"/>
  <c r="T88" i="23"/>
  <c r="R88" i="23"/>
  <c r="T87" i="23"/>
  <c r="R87" i="23"/>
  <c r="T86" i="23"/>
  <c r="R86" i="23"/>
  <c r="T85" i="23"/>
  <c r="R85" i="23"/>
  <c r="T84" i="23"/>
  <c r="R84" i="23"/>
  <c r="T83" i="23"/>
  <c r="R83" i="23"/>
  <c r="T82" i="23"/>
  <c r="R82" i="23"/>
  <c r="T81" i="23"/>
  <c r="R81" i="23"/>
  <c r="T80" i="23"/>
  <c r="R80" i="23"/>
  <c r="T79" i="23"/>
  <c r="R79" i="23"/>
  <c r="T78" i="23"/>
  <c r="R78" i="23"/>
  <c r="T77" i="23"/>
  <c r="R77" i="23"/>
  <c r="T76" i="23"/>
  <c r="R76" i="23"/>
  <c r="T75" i="23"/>
  <c r="R75" i="23"/>
  <c r="T74" i="23"/>
  <c r="R74" i="23"/>
  <c r="T73" i="23"/>
  <c r="R73" i="23"/>
  <c r="T72" i="23"/>
  <c r="R72" i="23"/>
  <c r="T71" i="23"/>
  <c r="R71" i="23"/>
  <c r="T70" i="23"/>
  <c r="R70" i="23"/>
  <c r="T69" i="23"/>
  <c r="R69" i="23"/>
  <c r="T68" i="23"/>
  <c r="R68" i="23"/>
  <c r="T67" i="23"/>
  <c r="R67" i="23"/>
  <c r="T66" i="23"/>
  <c r="R66" i="23"/>
  <c r="V66" i="23" s="1"/>
  <c r="T65" i="23"/>
  <c r="R65" i="23"/>
  <c r="V65" i="23" s="1"/>
  <c r="T64" i="23"/>
  <c r="R64" i="23"/>
  <c r="V64" i="23" s="1"/>
  <c r="T63" i="23"/>
  <c r="R63" i="23"/>
  <c r="V63" i="23" s="1"/>
  <c r="T62" i="23"/>
  <c r="R62" i="23"/>
  <c r="V62" i="23" s="1"/>
  <c r="T61" i="23"/>
  <c r="R61" i="23"/>
  <c r="V61" i="23" s="1"/>
  <c r="T60" i="23"/>
  <c r="R60" i="23"/>
  <c r="V60" i="23" s="1"/>
  <c r="T59" i="23"/>
  <c r="R59" i="23"/>
  <c r="V59" i="23" s="1"/>
  <c r="T58" i="23"/>
  <c r="R58" i="23"/>
  <c r="V58" i="23" s="1"/>
  <c r="T57" i="23"/>
  <c r="R57" i="23"/>
  <c r="V57" i="23" s="1"/>
  <c r="T56" i="23"/>
  <c r="R56" i="23"/>
  <c r="T55" i="23"/>
  <c r="R55" i="23"/>
  <c r="T54" i="23"/>
  <c r="R54" i="23"/>
  <c r="T53" i="23"/>
  <c r="R53" i="23"/>
  <c r="T52" i="23"/>
  <c r="R52" i="23"/>
  <c r="T51" i="23"/>
  <c r="R51" i="23"/>
  <c r="T50" i="23"/>
  <c r="R50" i="23"/>
  <c r="T49" i="23"/>
  <c r="R49" i="23"/>
  <c r="T48" i="23"/>
  <c r="R48" i="23"/>
  <c r="T47" i="23"/>
  <c r="R47" i="23"/>
  <c r="T46" i="23"/>
  <c r="R46" i="23"/>
  <c r="T45" i="23"/>
  <c r="R45" i="23"/>
  <c r="T44" i="23"/>
  <c r="R44" i="23"/>
  <c r="T43" i="23"/>
  <c r="R43" i="23"/>
  <c r="T42" i="23"/>
  <c r="R42" i="23"/>
  <c r="T41" i="23"/>
  <c r="R41" i="23"/>
  <c r="T40" i="23"/>
  <c r="R40" i="23"/>
  <c r="T39" i="23"/>
  <c r="R39" i="23"/>
  <c r="T38" i="23"/>
  <c r="R38" i="23"/>
  <c r="T37" i="23"/>
  <c r="R37" i="23"/>
  <c r="T36" i="23"/>
  <c r="R36" i="23"/>
  <c r="T35" i="23"/>
  <c r="R35" i="23"/>
  <c r="T34" i="23"/>
  <c r="R34" i="23"/>
  <c r="T33" i="23"/>
  <c r="R33" i="23"/>
  <c r="T32" i="23"/>
  <c r="R32" i="23"/>
  <c r="T31" i="23"/>
  <c r="R31" i="23"/>
  <c r="T30" i="23"/>
  <c r="R30" i="23"/>
  <c r="T29" i="23"/>
  <c r="R29" i="23"/>
  <c r="T28" i="23"/>
  <c r="R28" i="23"/>
  <c r="T27" i="23"/>
  <c r="R27" i="23"/>
  <c r="T26" i="23"/>
  <c r="R26" i="23"/>
  <c r="T25" i="23"/>
  <c r="R25" i="23"/>
  <c r="T24" i="23"/>
  <c r="R24" i="23"/>
  <c r="T23" i="23"/>
  <c r="R23" i="23"/>
  <c r="T22" i="23"/>
  <c r="R22" i="23"/>
  <c r="T21" i="23"/>
  <c r="R21" i="23"/>
  <c r="T20" i="23"/>
  <c r="R20" i="23"/>
  <c r="T19" i="23"/>
  <c r="R19" i="23"/>
  <c r="T18" i="23"/>
  <c r="R18" i="23"/>
  <c r="T17" i="23"/>
  <c r="R17" i="23"/>
  <c r="T16" i="23"/>
  <c r="R16" i="23"/>
  <c r="T15" i="23"/>
  <c r="R15" i="23"/>
  <c r="T14" i="23"/>
  <c r="R14" i="23"/>
  <c r="V14" i="23" s="1"/>
  <c r="T13" i="23"/>
  <c r="R13" i="23"/>
  <c r="V13" i="23" s="1"/>
  <c r="T12" i="23"/>
  <c r="R12" i="23"/>
  <c r="V12" i="23" s="1"/>
  <c r="T11" i="23"/>
  <c r="R11" i="23"/>
  <c r="V11" i="23" s="1"/>
  <c r="T10" i="23"/>
  <c r="R10" i="23"/>
  <c r="V10" i="23" s="1"/>
  <c r="T9" i="23"/>
  <c r="R9" i="23"/>
  <c r="V9" i="23" s="1"/>
  <c r="T8" i="23"/>
  <c r="R8" i="23"/>
  <c r="V8" i="23" s="1"/>
  <c r="J141" i="23"/>
  <c r="U140" i="23"/>
  <c r="I140" i="23"/>
  <c r="G140" i="23"/>
  <c r="E140" i="23"/>
  <c r="T139" i="23"/>
  <c r="R139" i="23"/>
  <c r="V139" i="23" s="1"/>
  <c r="T128" i="23"/>
  <c r="R128" i="23"/>
  <c r="U123" i="23"/>
  <c r="I123" i="23"/>
  <c r="G123" i="23"/>
  <c r="E123" i="23"/>
  <c r="T122" i="23"/>
  <c r="R122" i="23"/>
  <c r="V122" i="23" s="1"/>
  <c r="T121" i="23"/>
  <c r="T123" i="23" s="1"/>
  <c r="R121" i="23"/>
  <c r="U118" i="23"/>
  <c r="I118" i="23"/>
  <c r="G118" i="23"/>
  <c r="E118" i="23"/>
  <c r="E141" i="23" s="1"/>
  <c r="T7" i="23"/>
  <c r="R7" i="23"/>
  <c r="J3" i="23"/>
  <c r="S129" i="54" l="1"/>
  <c r="S130" i="54"/>
  <c r="S131" i="54"/>
  <c r="S132" i="54"/>
  <c r="S133" i="54"/>
  <c r="S134" i="54"/>
  <c r="S135" i="54"/>
  <c r="R136" i="54"/>
  <c r="S35" i="54"/>
  <c r="S47" i="54"/>
  <c r="S49" i="54"/>
  <c r="S73" i="54"/>
  <c r="S72" i="54"/>
  <c r="S54" i="54"/>
  <c r="S43" i="54"/>
  <c r="S27" i="54"/>
  <c r="S19" i="54"/>
  <c r="S13" i="54"/>
  <c r="S8" i="54"/>
  <c r="S17" i="54"/>
  <c r="S20" i="54"/>
  <c r="S33" i="54"/>
  <c r="S57" i="54"/>
  <c r="S58" i="54"/>
  <c r="S64" i="54"/>
  <c r="S68" i="54"/>
  <c r="S67" i="54"/>
  <c r="S61" i="54"/>
  <c r="S55" i="54"/>
  <c r="S50" i="54"/>
  <c r="S44" i="54"/>
  <c r="S42" i="54"/>
  <c r="S41" i="54"/>
  <c r="S40" i="54"/>
  <c r="S39" i="54"/>
  <c r="S38" i="54"/>
  <c r="S37" i="54"/>
  <c r="S36" i="54"/>
  <c r="S34" i="54"/>
  <c r="S32" i="54"/>
  <c r="S31" i="54"/>
  <c r="S30" i="54"/>
  <c r="S24" i="54"/>
  <c r="S23" i="54"/>
  <c r="S22" i="54"/>
  <c r="S21" i="54"/>
  <c r="S15" i="54"/>
  <c r="S9" i="54"/>
  <c r="S10" i="54"/>
  <c r="S14" i="54"/>
  <c r="S16" i="54"/>
  <c r="S18" i="54"/>
  <c r="S25" i="54"/>
  <c r="S26" i="54"/>
  <c r="S28" i="54"/>
  <c r="S45" i="54"/>
  <c r="S52" i="54"/>
  <c r="S53" i="54"/>
  <c r="S56" i="54"/>
  <c r="S63" i="54"/>
  <c r="S70" i="54"/>
  <c r="S71" i="54"/>
  <c r="S74" i="54"/>
  <c r="S75" i="54"/>
  <c r="S69" i="54"/>
  <c r="S66" i="54"/>
  <c r="S65" i="54"/>
  <c r="R118" i="54"/>
  <c r="S62" i="54"/>
  <c r="S60" i="54"/>
  <c r="S59" i="54"/>
  <c r="S51" i="54"/>
  <c r="S48" i="54"/>
  <c r="S46" i="54"/>
  <c r="S29" i="54"/>
  <c r="S12" i="54"/>
  <c r="S11" i="54"/>
  <c r="T118" i="54"/>
  <c r="T125" i="54" s="1"/>
  <c r="T137" i="54" s="1"/>
  <c r="G137" i="54"/>
  <c r="C3" i="54" s="1"/>
  <c r="S121" i="54"/>
  <c r="V121" i="54"/>
  <c r="S122" i="54"/>
  <c r="U125" i="54"/>
  <c r="U137" i="54" s="1"/>
  <c r="V76" i="54"/>
  <c r="S76" i="54"/>
  <c r="V77" i="54"/>
  <c r="S77" i="54"/>
  <c r="V78" i="54"/>
  <c r="S78" i="54"/>
  <c r="V79" i="54"/>
  <c r="S79" i="54"/>
  <c r="V80" i="54"/>
  <c r="S80" i="54"/>
  <c r="V81" i="54"/>
  <c r="S81" i="54"/>
  <c r="I137" i="54"/>
  <c r="R137" i="54"/>
  <c r="S82" i="54"/>
  <c r="S83" i="54"/>
  <c r="S84" i="54"/>
  <c r="S85" i="54"/>
  <c r="S86" i="54"/>
  <c r="S87" i="54"/>
  <c r="S88" i="54"/>
  <c r="S89" i="54"/>
  <c r="S90" i="54"/>
  <c r="S91" i="54"/>
  <c r="S92" i="54"/>
  <c r="S93" i="54"/>
  <c r="S94" i="54"/>
  <c r="S95" i="54"/>
  <c r="S96" i="54"/>
  <c r="S97" i="54"/>
  <c r="S98" i="54"/>
  <c r="S99" i="54"/>
  <c r="S100" i="54"/>
  <c r="S101" i="54"/>
  <c r="S102" i="54"/>
  <c r="S103" i="54"/>
  <c r="S104" i="54"/>
  <c r="S105" i="54"/>
  <c r="S106" i="54"/>
  <c r="S107" i="54"/>
  <c r="S108" i="54"/>
  <c r="S109" i="54"/>
  <c r="S110" i="54"/>
  <c r="S111" i="54"/>
  <c r="S112" i="54"/>
  <c r="S113" i="54"/>
  <c r="S114" i="54"/>
  <c r="S115" i="54"/>
  <c r="S116" i="54"/>
  <c r="S117" i="54"/>
  <c r="R125" i="54"/>
  <c r="S7" i="54"/>
  <c r="V7" i="54"/>
  <c r="S128" i="54"/>
  <c r="V128" i="54"/>
  <c r="R136" i="53"/>
  <c r="T136" i="53"/>
  <c r="S129" i="53"/>
  <c r="S130" i="53"/>
  <c r="S131" i="53"/>
  <c r="S132" i="53"/>
  <c r="S133" i="53"/>
  <c r="S134" i="53"/>
  <c r="S135" i="53"/>
  <c r="R123" i="53"/>
  <c r="S29" i="53"/>
  <c r="S30" i="53"/>
  <c r="S35" i="53"/>
  <c r="S31" i="53"/>
  <c r="S25" i="53"/>
  <c r="S27" i="53"/>
  <c r="S75" i="53"/>
  <c r="S73" i="53"/>
  <c r="S72" i="53"/>
  <c r="S71" i="53"/>
  <c r="S70" i="53"/>
  <c r="S69" i="53"/>
  <c r="S68" i="53"/>
  <c r="S67" i="53"/>
  <c r="S66" i="53"/>
  <c r="S65" i="53"/>
  <c r="S64" i="53"/>
  <c r="S32" i="53"/>
  <c r="S10" i="53"/>
  <c r="S7" i="53"/>
  <c r="S11" i="53"/>
  <c r="S42" i="53"/>
  <c r="S43" i="53"/>
  <c r="S44" i="53"/>
  <c r="S45" i="53"/>
  <c r="S46" i="53"/>
  <c r="S74" i="53"/>
  <c r="S52" i="53"/>
  <c r="S51" i="53"/>
  <c r="S50" i="53"/>
  <c r="S49" i="53"/>
  <c r="S38" i="53"/>
  <c r="S34" i="53"/>
  <c r="S19" i="53"/>
  <c r="S16" i="53"/>
  <c r="S14" i="53"/>
  <c r="S8" i="53"/>
  <c r="S9" i="53"/>
  <c r="S13" i="53"/>
  <c r="S23" i="53"/>
  <c r="S24" i="53"/>
  <c r="S36" i="53"/>
  <c r="S40" i="53"/>
  <c r="S41" i="53"/>
  <c r="S47" i="53"/>
  <c r="S48" i="53"/>
  <c r="S53" i="53"/>
  <c r="S54" i="53"/>
  <c r="S55" i="53"/>
  <c r="S56" i="53"/>
  <c r="S57" i="53"/>
  <c r="S58" i="53"/>
  <c r="S59" i="53"/>
  <c r="S60" i="53"/>
  <c r="S61" i="53"/>
  <c r="S62" i="53"/>
  <c r="S63" i="53"/>
  <c r="S39" i="53"/>
  <c r="S37" i="53"/>
  <c r="S33" i="53"/>
  <c r="S28" i="53"/>
  <c r="R118" i="53"/>
  <c r="S26" i="53"/>
  <c r="S22" i="53"/>
  <c r="S21" i="53"/>
  <c r="S20" i="53"/>
  <c r="S18" i="53"/>
  <c r="S17" i="53"/>
  <c r="S15" i="53"/>
  <c r="S12" i="53"/>
  <c r="T118" i="53"/>
  <c r="T125" i="53" s="1"/>
  <c r="S128" i="53"/>
  <c r="V128" i="53"/>
  <c r="U125" i="53"/>
  <c r="U137" i="53" s="1"/>
  <c r="V76" i="53"/>
  <c r="S76" i="53"/>
  <c r="V77" i="53"/>
  <c r="S77" i="53"/>
  <c r="V78" i="53"/>
  <c r="S78" i="53"/>
  <c r="V79" i="53"/>
  <c r="S79" i="53"/>
  <c r="V80" i="53"/>
  <c r="S80" i="53"/>
  <c r="V81" i="53"/>
  <c r="S81" i="53"/>
  <c r="V82" i="53"/>
  <c r="S82" i="53"/>
  <c r="V83" i="53"/>
  <c r="S83" i="53"/>
  <c r="V84" i="53"/>
  <c r="S84" i="53"/>
  <c r="V85" i="53"/>
  <c r="S85" i="53"/>
  <c r="V86" i="53"/>
  <c r="S86" i="53"/>
  <c r="E137" i="53"/>
  <c r="I137" i="53"/>
  <c r="R137" i="53"/>
  <c r="S87" i="53"/>
  <c r="S88" i="53"/>
  <c r="S89" i="53"/>
  <c r="S90" i="53"/>
  <c r="S91" i="53"/>
  <c r="S92" i="53"/>
  <c r="S93" i="53"/>
  <c r="S94" i="53"/>
  <c r="S95" i="53"/>
  <c r="S96" i="53"/>
  <c r="S97" i="53"/>
  <c r="S98" i="53"/>
  <c r="S99" i="53"/>
  <c r="S100" i="53"/>
  <c r="S101" i="53"/>
  <c r="S102" i="53"/>
  <c r="S103" i="53"/>
  <c r="S104" i="53"/>
  <c r="S105" i="53"/>
  <c r="S106" i="53"/>
  <c r="S107" i="53"/>
  <c r="S108" i="53"/>
  <c r="S109" i="53"/>
  <c r="S110" i="53"/>
  <c r="S111" i="53"/>
  <c r="S112" i="53"/>
  <c r="S113" i="53"/>
  <c r="S114" i="53"/>
  <c r="S115" i="53"/>
  <c r="S116" i="53"/>
  <c r="S117" i="53"/>
  <c r="S121" i="53"/>
  <c r="V121" i="53"/>
  <c r="S122" i="53"/>
  <c r="T136" i="51"/>
  <c r="R136" i="51"/>
  <c r="S129" i="51"/>
  <c r="S130" i="51"/>
  <c r="S131" i="51"/>
  <c r="S132" i="51"/>
  <c r="S133" i="51"/>
  <c r="S134" i="51"/>
  <c r="S135" i="51"/>
  <c r="S30" i="51"/>
  <c r="S14" i="51"/>
  <c r="S24" i="51"/>
  <c r="S22" i="51"/>
  <c r="S19" i="51"/>
  <c r="S8" i="51"/>
  <c r="T123" i="51"/>
  <c r="R118" i="51"/>
  <c r="R125" i="51" s="1"/>
  <c r="S11" i="51"/>
  <c r="S20" i="51"/>
  <c r="S21" i="51"/>
  <c r="S25" i="51"/>
  <c r="S26" i="51"/>
  <c r="S32" i="51"/>
  <c r="S31" i="51"/>
  <c r="S29" i="51"/>
  <c r="S28" i="51"/>
  <c r="S27" i="51"/>
  <c r="S23" i="51"/>
  <c r="S18" i="51"/>
  <c r="S17" i="51"/>
  <c r="S16" i="51"/>
  <c r="S15" i="51"/>
  <c r="S13" i="51"/>
  <c r="S12" i="51"/>
  <c r="S10" i="51"/>
  <c r="S9" i="51"/>
  <c r="T118" i="51"/>
  <c r="V33" i="51"/>
  <c r="S33" i="51"/>
  <c r="V34" i="51"/>
  <c r="S34" i="51"/>
  <c r="V35" i="51"/>
  <c r="S35" i="51"/>
  <c r="V36" i="51"/>
  <c r="S36" i="51"/>
  <c r="V37" i="51"/>
  <c r="S37" i="51"/>
  <c r="V38" i="51"/>
  <c r="S38" i="51"/>
  <c r="V39" i="51"/>
  <c r="S39" i="51"/>
  <c r="V40" i="51"/>
  <c r="S40" i="51"/>
  <c r="V41" i="51"/>
  <c r="S41" i="51"/>
  <c r="V42" i="51"/>
  <c r="S42" i="51"/>
  <c r="V43" i="51"/>
  <c r="S43" i="51"/>
  <c r="V44" i="51"/>
  <c r="S44" i="51"/>
  <c r="V45" i="51"/>
  <c r="S45" i="51"/>
  <c r="V46" i="51"/>
  <c r="S46" i="51"/>
  <c r="V47" i="51"/>
  <c r="S47" i="51"/>
  <c r="V48" i="51"/>
  <c r="S48" i="51"/>
  <c r="V49" i="51"/>
  <c r="S49" i="51"/>
  <c r="V50" i="51"/>
  <c r="S50" i="51"/>
  <c r="V51" i="51"/>
  <c r="S51" i="51"/>
  <c r="V52" i="51"/>
  <c r="S52" i="51"/>
  <c r="V53" i="51"/>
  <c r="S53" i="51"/>
  <c r="V54" i="51"/>
  <c r="S54" i="51"/>
  <c r="V55" i="51"/>
  <c r="S55" i="51"/>
  <c r="V56" i="51"/>
  <c r="S56" i="51"/>
  <c r="V57" i="51"/>
  <c r="S57" i="51"/>
  <c r="V58" i="51"/>
  <c r="S58" i="51"/>
  <c r="V59" i="51"/>
  <c r="S59" i="51"/>
  <c r="V60" i="51"/>
  <c r="S60" i="51"/>
  <c r="V61" i="51"/>
  <c r="S61" i="51"/>
  <c r="V62" i="51"/>
  <c r="S62" i="51"/>
  <c r="V63" i="51"/>
  <c r="S63" i="51"/>
  <c r="V64" i="51"/>
  <c r="S64" i="51"/>
  <c r="V65" i="51"/>
  <c r="S65" i="51"/>
  <c r="V66" i="51"/>
  <c r="S66" i="51"/>
  <c r="V67" i="51"/>
  <c r="S67" i="51"/>
  <c r="V68" i="51"/>
  <c r="S68" i="51"/>
  <c r="V69" i="51"/>
  <c r="S69" i="51"/>
  <c r="V70" i="51"/>
  <c r="S70" i="51"/>
  <c r="V71" i="51"/>
  <c r="S71" i="51"/>
  <c r="V72" i="51"/>
  <c r="S72" i="51"/>
  <c r="V73" i="51"/>
  <c r="S73" i="51"/>
  <c r="V74" i="51"/>
  <c r="S74" i="51"/>
  <c r="V75" i="51"/>
  <c r="S75" i="51"/>
  <c r="U125" i="51"/>
  <c r="U137" i="51" s="1"/>
  <c r="V76" i="51"/>
  <c r="S76" i="51"/>
  <c r="V77" i="51"/>
  <c r="S77" i="51"/>
  <c r="V78" i="51"/>
  <c r="S78" i="51"/>
  <c r="V79" i="51"/>
  <c r="S79" i="51"/>
  <c r="V80" i="51"/>
  <c r="S80" i="51"/>
  <c r="V81" i="51"/>
  <c r="S81" i="51"/>
  <c r="V82" i="51"/>
  <c r="S82" i="51"/>
  <c r="V83" i="51"/>
  <c r="S83" i="51"/>
  <c r="V84" i="51"/>
  <c r="S84" i="51"/>
  <c r="V85" i="51"/>
  <c r="S85" i="51"/>
  <c r="V86" i="51"/>
  <c r="S86" i="51"/>
  <c r="V87" i="51"/>
  <c r="S87" i="51"/>
  <c r="V88" i="51"/>
  <c r="S88" i="51"/>
  <c r="V89" i="51"/>
  <c r="S89" i="51"/>
  <c r="V90" i="51"/>
  <c r="S90" i="51"/>
  <c r="V91" i="51"/>
  <c r="S91" i="51"/>
  <c r="V92" i="51"/>
  <c r="S92" i="51"/>
  <c r="V93" i="51"/>
  <c r="S93" i="51"/>
  <c r="V94" i="51"/>
  <c r="S94" i="51"/>
  <c r="V95" i="51"/>
  <c r="S95" i="51"/>
  <c r="V96" i="51"/>
  <c r="S96" i="51"/>
  <c r="V97" i="51"/>
  <c r="S97" i="51"/>
  <c r="V98" i="51"/>
  <c r="S98" i="51"/>
  <c r="V99" i="51"/>
  <c r="S99" i="51"/>
  <c r="V100" i="51"/>
  <c r="S100" i="51"/>
  <c r="V101" i="51"/>
  <c r="S101" i="51"/>
  <c r="V102" i="51"/>
  <c r="S102" i="51"/>
  <c r="V103" i="51"/>
  <c r="S103" i="51"/>
  <c r="V104" i="51"/>
  <c r="S104" i="51"/>
  <c r="V105" i="51"/>
  <c r="S105" i="51"/>
  <c r="V106" i="51"/>
  <c r="S106" i="51"/>
  <c r="V107" i="51"/>
  <c r="S107" i="51"/>
  <c r="V108" i="51"/>
  <c r="S108" i="51"/>
  <c r="V109" i="51"/>
  <c r="S109" i="51"/>
  <c r="V110" i="51"/>
  <c r="S110" i="51"/>
  <c r="V111" i="51"/>
  <c r="S111" i="51"/>
  <c r="V112" i="51"/>
  <c r="S112" i="51"/>
  <c r="V113" i="51"/>
  <c r="S113" i="51"/>
  <c r="V114" i="51"/>
  <c r="S114" i="51"/>
  <c r="V115" i="51"/>
  <c r="S115" i="51"/>
  <c r="V116" i="51"/>
  <c r="S116" i="51"/>
  <c r="V117" i="51"/>
  <c r="S117" i="51"/>
  <c r="S7" i="51"/>
  <c r="V7" i="51"/>
  <c r="I137" i="51"/>
  <c r="R137" i="51"/>
  <c r="S121" i="51"/>
  <c r="V121" i="51"/>
  <c r="S122" i="51"/>
  <c r="S128" i="51"/>
  <c r="V128" i="51"/>
  <c r="R130" i="46"/>
  <c r="E131" i="46"/>
  <c r="S129" i="46"/>
  <c r="S128" i="46"/>
  <c r="V128" i="46"/>
  <c r="S10" i="46"/>
  <c r="S16" i="46"/>
  <c r="S73" i="46"/>
  <c r="S48" i="46"/>
  <c r="S68" i="46"/>
  <c r="S44" i="46"/>
  <c r="S40" i="46"/>
  <c r="S38" i="46"/>
  <c r="S18" i="46"/>
  <c r="S11" i="46"/>
  <c r="S9" i="46"/>
  <c r="S8" i="46"/>
  <c r="S12" i="46"/>
  <c r="S14" i="46"/>
  <c r="S15" i="46"/>
  <c r="S17" i="46"/>
  <c r="S22" i="46"/>
  <c r="S27" i="46"/>
  <c r="S28" i="46"/>
  <c r="S30" i="46"/>
  <c r="S31" i="46"/>
  <c r="S32" i="46"/>
  <c r="S33" i="46"/>
  <c r="S34" i="46"/>
  <c r="S35" i="46"/>
  <c r="S36" i="46"/>
  <c r="S37" i="46"/>
  <c r="S41" i="46"/>
  <c r="S42" i="46"/>
  <c r="S43" i="46"/>
  <c r="S45" i="46"/>
  <c r="S46" i="46"/>
  <c r="S49" i="46"/>
  <c r="S51" i="46"/>
  <c r="S52" i="46"/>
  <c r="S53" i="46"/>
  <c r="S54" i="46"/>
  <c r="S55" i="46"/>
  <c r="S56" i="46"/>
  <c r="S57" i="46"/>
  <c r="S58" i="46"/>
  <c r="S59" i="46"/>
  <c r="S64" i="46"/>
  <c r="S65" i="46"/>
  <c r="S71" i="46"/>
  <c r="S74" i="46"/>
  <c r="S75" i="46"/>
  <c r="S72" i="46"/>
  <c r="S70" i="46"/>
  <c r="S69" i="46"/>
  <c r="S67" i="46"/>
  <c r="S66" i="46"/>
  <c r="S63" i="46"/>
  <c r="S62" i="46"/>
  <c r="S61" i="46"/>
  <c r="S60" i="46"/>
  <c r="S50" i="46"/>
  <c r="S47" i="46"/>
  <c r="S39" i="46"/>
  <c r="S29" i="46"/>
  <c r="S26" i="46"/>
  <c r="S25" i="46"/>
  <c r="S24" i="46"/>
  <c r="S23" i="46"/>
  <c r="S21" i="46"/>
  <c r="S20" i="46"/>
  <c r="S19" i="46"/>
  <c r="R118" i="46"/>
  <c r="R125" i="46" s="1"/>
  <c r="S13" i="46"/>
  <c r="T118" i="46"/>
  <c r="T125" i="46" s="1"/>
  <c r="T131" i="46" s="1"/>
  <c r="U125" i="46"/>
  <c r="U131" i="46" s="1"/>
  <c r="S7" i="46"/>
  <c r="V7" i="46"/>
  <c r="G131" i="46"/>
  <c r="C3" i="46" s="1"/>
  <c r="V76" i="46"/>
  <c r="S76" i="46"/>
  <c r="V77" i="46"/>
  <c r="S77" i="46"/>
  <c r="V78" i="46"/>
  <c r="S78" i="46"/>
  <c r="V79" i="46"/>
  <c r="S79" i="46"/>
  <c r="V80" i="46"/>
  <c r="S80" i="46"/>
  <c r="V81" i="46"/>
  <c r="S81" i="46"/>
  <c r="V82" i="46"/>
  <c r="S82" i="46"/>
  <c r="V83" i="46"/>
  <c r="S83" i="46"/>
  <c r="V84" i="46"/>
  <c r="S84" i="46"/>
  <c r="V85" i="46"/>
  <c r="S85" i="46"/>
  <c r="V86" i="46"/>
  <c r="S86" i="46"/>
  <c r="V87" i="46"/>
  <c r="S87" i="46"/>
  <c r="V88" i="46"/>
  <c r="S88" i="46"/>
  <c r="V89" i="46"/>
  <c r="S89" i="46"/>
  <c r="V90" i="46"/>
  <c r="S90" i="46"/>
  <c r="V91" i="46"/>
  <c r="S91" i="46"/>
  <c r="V92" i="46"/>
  <c r="S92" i="46"/>
  <c r="I131" i="46"/>
  <c r="I4" i="46" s="1"/>
  <c r="R131" i="46"/>
  <c r="S93" i="46"/>
  <c r="S94" i="46"/>
  <c r="S95" i="46"/>
  <c r="S96" i="46"/>
  <c r="S97" i="46"/>
  <c r="S98" i="46"/>
  <c r="S99" i="46"/>
  <c r="S100" i="46"/>
  <c r="S101" i="46"/>
  <c r="S102" i="46"/>
  <c r="S103" i="46"/>
  <c r="S104" i="46"/>
  <c r="S105" i="46"/>
  <c r="S106" i="46"/>
  <c r="S107" i="46"/>
  <c r="S108" i="46"/>
  <c r="S109" i="46"/>
  <c r="S110" i="46"/>
  <c r="S111" i="46"/>
  <c r="S112" i="46"/>
  <c r="S113" i="46"/>
  <c r="S114" i="46"/>
  <c r="S115" i="46"/>
  <c r="S116" i="46"/>
  <c r="S117" i="46"/>
  <c r="S121" i="46"/>
  <c r="V121" i="46"/>
  <c r="S122" i="46"/>
  <c r="S132" i="40"/>
  <c r="R136" i="40"/>
  <c r="S135" i="40"/>
  <c r="S134" i="40"/>
  <c r="S133" i="40"/>
  <c r="S131" i="40"/>
  <c r="S130" i="40"/>
  <c r="S129" i="40"/>
  <c r="T136" i="40"/>
  <c r="S58" i="40"/>
  <c r="S55" i="40"/>
  <c r="S57" i="40"/>
  <c r="S56" i="40"/>
  <c r="S51" i="40"/>
  <c r="S121" i="40"/>
  <c r="V121" i="40"/>
  <c r="S122" i="40"/>
  <c r="S52" i="40"/>
  <c r="S54" i="40"/>
  <c r="S59" i="40"/>
  <c r="S53" i="40"/>
  <c r="S49" i="40"/>
  <c r="T118" i="40"/>
  <c r="T125" i="40" s="1"/>
  <c r="T137" i="40" s="1"/>
  <c r="R118" i="40"/>
  <c r="R125" i="40" s="1"/>
  <c r="E137" i="40"/>
  <c r="S8" i="40"/>
  <c r="S9" i="40"/>
  <c r="S10" i="40"/>
  <c r="S50" i="40"/>
  <c r="S60" i="40"/>
  <c r="S61" i="40"/>
  <c r="S62" i="40"/>
  <c r="S63" i="40"/>
  <c r="S64" i="40"/>
  <c r="S65" i="40"/>
  <c r="S66" i="40"/>
  <c r="S67" i="40"/>
  <c r="S68" i="40"/>
  <c r="S69" i="40"/>
  <c r="S70" i="40"/>
  <c r="S71" i="40"/>
  <c r="S72" i="40"/>
  <c r="S73" i="40"/>
  <c r="S74" i="40"/>
  <c r="S75" i="40"/>
  <c r="G137" i="40"/>
  <c r="C3" i="40" s="1"/>
  <c r="U125" i="40"/>
  <c r="U137" i="40" s="1"/>
  <c r="V11" i="40"/>
  <c r="S11" i="40"/>
  <c r="V12" i="40"/>
  <c r="S12" i="40"/>
  <c r="V13" i="40"/>
  <c r="S13" i="40"/>
  <c r="V14" i="40"/>
  <c r="S14" i="40"/>
  <c r="V15" i="40"/>
  <c r="S15" i="40"/>
  <c r="V16" i="40"/>
  <c r="S16" i="40"/>
  <c r="V17" i="40"/>
  <c r="S17" i="40"/>
  <c r="V18" i="40"/>
  <c r="S18" i="40"/>
  <c r="V19" i="40"/>
  <c r="S19" i="40"/>
  <c r="V20" i="40"/>
  <c r="S20" i="40"/>
  <c r="V21" i="40"/>
  <c r="S21" i="40"/>
  <c r="V22" i="40"/>
  <c r="S22" i="40"/>
  <c r="V23" i="40"/>
  <c r="S23" i="40"/>
  <c r="I137" i="40"/>
  <c r="R137" i="40"/>
  <c r="S24" i="40"/>
  <c r="S25" i="40"/>
  <c r="S26" i="40"/>
  <c r="S27" i="40"/>
  <c r="S28" i="40"/>
  <c r="S29" i="40"/>
  <c r="S30" i="40"/>
  <c r="S31" i="40"/>
  <c r="S32" i="40"/>
  <c r="S33" i="40"/>
  <c r="S34" i="40"/>
  <c r="S35" i="40"/>
  <c r="S36" i="40"/>
  <c r="S37" i="40"/>
  <c r="S38" i="40"/>
  <c r="S39" i="40"/>
  <c r="S40" i="40"/>
  <c r="S41" i="40"/>
  <c r="S42" i="40"/>
  <c r="S43" i="40"/>
  <c r="S44" i="40"/>
  <c r="S45" i="40"/>
  <c r="S46" i="40"/>
  <c r="S47" i="40"/>
  <c r="S48" i="40"/>
  <c r="V76" i="40"/>
  <c r="S76" i="40"/>
  <c r="V77" i="40"/>
  <c r="S77" i="40"/>
  <c r="V78" i="40"/>
  <c r="S78" i="40"/>
  <c r="V79" i="40"/>
  <c r="S79" i="40"/>
  <c r="V80" i="40"/>
  <c r="S80" i="40"/>
  <c r="V81" i="40"/>
  <c r="S81" i="40"/>
  <c r="V82" i="40"/>
  <c r="S82" i="40"/>
  <c r="V83" i="40"/>
  <c r="S83" i="40"/>
  <c r="V84" i="40"/>
  <c r="S84" i="40"/>
  <c r="V85" i="40"/>
  <c r="S85" i="40"/>
  <c r="V86" i="40"/>
  <c r="S86" i="40"/>
  <c r="V87" i="40"/>
  <c r="S87" i="40"/>
  <c r="V88" i="40"/>
  <c r="S88" i="40"/>
  <c r="V89" i="40"/>
  <c r="S89" i="40"/>
  <c r="V90" i="40"/>
  <c r="S90" i="40"/>
  <c r="V91" i="40"/>
  <c r="S91" i="40"/>
  <c r="S92" i="40"/>
  <c r="S93" i="40"/>
  <c r="S94" i="40"/>
  <c r="S95" i="40"/>
  <c r="S96" i="40"/>
  <c r="S97" i="40"/>
  <c r="S98" i="40"/>
  <c r="S99" i="40"/>
  <c r="S100" i="40"/>
  <c r="S101" i="40"/>
  <c r="S102" i="40"/>
  <c r="S103" i="40"/>
  <c r="S104" i="40"/>
  <c r="S105" i="40"/>
  <c r="S106" i="40"/>
  <c r="S107" i="40"/>
  <c r="S108" i="40"/>
  <c r="S109" i="40"/>
  <c r="S110" i="40"/>
  <c r="S111" i="40"/>
  <c r="S112" i="40"/>
  <c r="S113" i="40"/>
  <c r="S114" i="40"/>
  <c r="S115" i="40"/>
  <c r="S116" i="40"/>
  <c r="S117" i="40"/>
  <c r="S7" i="40"/>
  <c r="V7" i="40"/>
  <c r="S128" i="40"/>
  <c r="V128" i="40"/>
  <c r="R129" i="33"/>
  <c r="T123" i="33"/>
  <c r="T129" i="33"/>
  <c r="R118" i="33"/>
  <c r="R125" i="33" s="1"/>
  <c r="V33" i="33"/>
  <c r="S33" i="33"/>
  <c r="V34" i="33"/>
  <c r="S34" i="33"/>
  <c r="V35" i="33"/>
  <c r="S35" i="33"/>
  <c r="V36" i="33"/>
  <c r="S36" i="33"/>
  <c r="V37" i="33"/>
  <c r="S37" i="33"/>
  <c r="T118" i="33"/>
  <c r="T125" i="33" s="1"/>
  <c r="U125" i="33"/>
  <c r="U130" i="33" s="1"/>
  <c r="S8" i="33"/>
  <c r="S9" i="33"/>
  <c r="S10" i="33"/>
  <c r="S11" i="33"/>
  <c r="S12" i="33"/>
  <c r="S13" i="33"/>
  <c r="S14" i="33"/>
  <c r="S15" i="33"/>
  <c r="S16" i="33"/>
  <c r="S17" i="33"/>
  <c r="S18" i="33"/>
  <c r="S19" i="33"/>
  <c r="S20" i="33"/>
  <c r="S21" i="33"/>
  <c r="S22" i="33"/>
  <c r="S23" i="33"/>
  <c r="S24" i="33"/>
  <c r="S25" i="33"/>
  <c r="S26" i="33"/>
  <c r="S27" i="33"/>
  <c r="S28" i="33"/>
  <c r="S29" i="33"/>
  <c r="S30" i="33"/>
  <c r="S31" i="33"/>
  <c r="S32" i="33"/>
  <c r="S38" i="33"/>
  <c r="S39" i="33"/>
  <c r="S40" i="33"/>
  <c r="S41" i="33"/>
  <c r="S42" i="33"/>
  <c r="S43" i="33"/>
  <c r="S44" i="33"/>
  <c r="S45" i="33"/>
  <c r="S46" i="33"/>
  <c r="S47" i="33"/>
  <c r="S48" i="33"/>
  <c r="S49" i="33"/>
  <c r="S50" i="33"/>
  <c r="S51" i="33"/>
  <c r="S52" i="33"/>
  <c r="S53" i="33"/>
  <c r="S54" i="33"/>
  <c r="S55" i="33"/>
  <c r="S56" i="33"/>
  <c r="S57" i="33"/>
  <c r="S58" i="33"/>
  <c r="S59" i="33"/>
  <c r="S60" i="33"/>
  <c r="S61" i="33"/>
  <c r="S62" i="33"/>
  <c r="S63" i="33"/>
  <c r="S64" i="33"/>
  <c r="S65" i="33"/>
  <c r="S66" i="33"/>
  <c r="S67" i="33"/>
  <c r="S68" i="33"/>
  <c r="S69" i="33"/>
  <c r="S70" i="33"/>
  <c r="S71" i="33"/>
  <c r="S72" i="33"/>
  <c r="S73" i="33"/>
  <c r="S74" i="33"/>
  <c r="S75" i="33"/>
  <c r="V76" i="33"/>
  <c r="S76" i="33"/>
  <c r="V77" i="33"/>
  <c r="S77" i="33"/>
  <c r="V78" i="33"/>
  <c r="S78" i="33"/>
  <c r="V79" i="33"/>
  <c r="S79" i="33"/>
  <c r="V80" i="33"/>
  <c r="S80" i="33"/>
  <c r="V81" i="33"/>
  <c r="S81" i="33"/>
  <c r="V82" i="33"/>
  <c r="S82" i="33"/>
  <c r="V83" i="33"/>
  <c r="S83" i="33"/>
  <c r="V84" i="33"/>
  <c r="S84" i="33"/>
  <c r="V85" i="33"/>
  <c r="S85" i="33"/>
  <c r="V86" i="33"/>
  <c r="S86" i="33"/>
  <c r="V87" i="33"/>
  <c r="S87" i="33"/>
  <c r="V88" i="33"/>
  <c r="S88" i="33"/>
  <c r="V89" i="33"/>
  <c r="S89" i="33"/>
  <c r="V90" i="33"/>
  <c r="S90" i="33"/>
  <c r="V91" i="33"/>
  <c r="S91" i="33"/>
  <c r="V92" i="33"/>
  <c r="S92" i="33"/>
  <c r="V93" i="33"/>
  <c r="S93" i="33"/>
  <c r="V94" i="33"/>
  <c r="S94" i="33"/>
  <c r="V95" i="33"/>
  <c r="S95" i="33"/>
  <c r="V96" i="33"/>
  <c r="S96" i="33"/>
  <c r="V97" i="33"/>
  <c r="S97" i="33"/>
  <c r="V98" i="33"/>
  <c r="S98" i="33"/>
  <c r="S121" i="33"/>
  <c r="V121" i="33"/>
  <c r="S122" i="33"/>
  <c r="I130" i="33"/>
  <c r="R130" i="33"/>
  <c r="S99" i="33"/>
  <c r="S100" i="33"/>
  <c r="S101" i="33"/>
  <c r="S102" i="33"/>
  <c r="S103" i="33"/>
  <c r="S104" i="33"/>
  <c r="S105" i="33"/>
  <c r="S106" i="33"/>
  <c r="S107" i="33"/>
  <c r="S108" i="33"/>
  <c r="S109" i="33"/>
  <c r="S110" i="33"/>
  <c r="S111" i="33"/>
  <c r="S112" i="33"/>
  <c r="S113" i="33"/>
  <c r="S114" i="33"/>
  <c r="S115" i="33"/>
  <c r="S116" i="33"/>
  <c r="S117" i="33"/>
  <c r="S7" i="33"/>
  <c r="V7" i="33"/>
  <c r="S128" i="33"/>
  <c r="V128" i="33"/>
  <c r="R142" i="24"/>
  <c r="G143" i="24"/>
  <c r="C5" i="24" s="1"/>
  <c r="S131" i="24"/>
  <c r="S132" i="24"/>
  <c r="S133" i="24"/>
  <c r="S134" i="24"/>
  <c r="S135" i="24"/>
  <c r="S136" i="24"/>
  <c r="S137" i="24"/>
  <c r="S138" i="24"/>
  <c r="S139" i="24"/>
  <c r="S140" i="24"/>
  <c r="S11" i="24"/>
  <c r="T142" i="24"/>
  <c r="S10" i="24"/>
  <c r="S9" i="24"/>
  <c r="T120" i="24"/>
  <c r="S12" i="24"/>
  <c r="S13" i="24"/>
  <c r="S14" i="24"/>
  <c r="S15" i="24"/>
  <c r="T125" i="24"/>
  <c r="R120" i="24"/>
  <c r="R127" i="24" s="1"/>
  <c r="I143" i="24"/>
  <c r="R143" i="24"/>
  <c r="V42" i="24"/>
  <c r="S42" i="24"/>
  <c r="V43" i="24"/>
  <c r="S43" i="24"/>
  <c r="V44" i="24"/>
  <c r="S44" i="24"/>
  <c r="V45" i="24"/>
  <c r="S45" i="24"/>
  <c r="V46" i="24"/>
  <c r="S46" i="24"/>
  <c r="V47" i="24"/>
  <c r="S47" i="24"/>
  <c r="V48" i="24"/>
  <c r="S48" i="24"/>
  <c r="V49" i="24"/>
  <c r="S49" i="24"/>
  <c r="V50" i="24"/>
  <c r="S50" i="24"/>
  <c r="V51" i="24"/>
  <c r="S51" i="24"/>
  <c r="V52" i="24"/>
  <c r="S52" i="24"/>
  <c r="V53" i="24"/>
  <c r="S53" i="24"/>
  <c r="V54" i="24"/>
  <c r="S54" i="24"/>
  <c r="V55" i="24"/>
  <c r="S55" i="24"/>
  <c r="V56" i="24"/>
  <c r="S56" i="24"/>
  <c r="V57" i="24"/>
  <c r="S57" i="24"/>
  <c r="V58" i="24"/>
  <c r="S58" i="24"/>
  <c r="V59" i="24"/>
  <c r="S59" i="24"/>
  <c r="V60" i="24"/>
  <c r="S60" i="24"/>
  <c r="V61" i="24"/>
  <c r="S61" i="24"/>
  <c r="V62" i="24"/>
  <c r="S62" i="24"/>
  <c r="V63" i="24"/>
  <c r="S63" i="24"/>
  <c r="V64" i="24"/>
  <c r="S64" i="24"/>
  <c r="V65" i="24"/>
  <c r="S65" i="24"/>
  <c r="V66" i="24"/>
  <c r="S66" i="24"/>
  <c r="V67" i="24"/>
  <c r="S67" i="24"/>
  <c r="V68" i="24"/>
  <c r="S68" i="24"/>
  <c r="V69" i="24"/>
  <c r="S69" i="24"/>
  <c r="V70" i="24"/>
  <c r="S70" i="24"/>
  <c r="V71" i="24"/>
  <c r="S71" i="24"/>
  <c r="V72" i="24"/>
  <c r="S72" i="24"/>
  <c r="V73" i="24"/>
  <c r="S73" i="24"/>
  <c r="V74" i="24"/>
  <c r="S74" i="24"/>
  <c r="V75" i="24"/>
  <c r="S75" i="24"/>
  <c r="V76" i="24"/>
  <c r="S76" i="24"/>
  <c r="V77" i="24"/>
  <c r="S77" i="24"/>
  <c r="U127" i="24"/>
  <c r="U143" i="24" s="1"/>
  <c r="S16" i="24"/>
  <c r="S17" i="24"/>
  <c r="S18" i="24"/>
  <c r="S19" i="24"/>
  <c r="S20" i="24"/>
  <c r="S21" i="24"/>
  <c r="S22" i="24"/>
  <c r="S23" i="24"/>
  <c r="S24" i="24"/>
  <c r="S25" i="24"/>
  <c r="S26" i="24"/>
  <c r="S27" i="24"/>
  <c r="S28" i="24"/>
  <c r="S29" i="24"/>
  <c r="S30" i="24"/>
  <c r="S31" i="24"/>
  <c r="S32" i="24"/>
  <c r="S33" i="24"/>
  <c r="S34" i="24"/>
  <c r="S35" i="24"/>
  <c r="S36" i="24"/>
  <c r="S37" i="24"/>
  <c r="S38" i="24"/>
  <c r="S39" i="24"/>
  <c r="S40" i="24"/>
  <c r="S41" i="24"/>
  <c r="V78" i="24"/>
  <c r="S78" i="24"/>
  <c r="V79" i="24"/>
  <c r="S79" i="24"/>
  <c r="V80" i="24"/>
  <c r="S80" i="24"/>
  <c r="V81" i="24"/>
  <c r="S81" i="24"/>
  <c r="V82" i="24"/>
  <c r="S82" i="24"/>
  <c r="V83" i="24"/>
  <c r="S83" i="24"/>
  <c r="V84" i="24"/>
  <c r="S84" i="24"/>
  <c r="V85" i="24"/>
  <c r="S85" i="24"/>
  <c r="V86" i="24"/>
  <c r="S86" i="24"/>
  <c r="V87" i="24"/>
  <c r="S87" i="24"/>
  <c r="V88" i="24"/>
  <c r="S88" i="24"/>
  <c r="V89" i="24"/>
  <c r="S89" i="24"/>
  <c r="V90" i="24"/>
  <c r="S90" i="24"/>
  <c r="V91" i="24"/>
  <c r="S91" i="24"/>
  <c r="V92" i="24"/>
  <c r="S92" i="24"/>
  <c r="V93" i="24"/>
  <c r="S93" i="24"/>
  <c r="V94" i="24"/>
  <c r="S94" i="24"/>
  <c r="V95" i="24"/>
  <c r="S95" i="24"/>
  <c r="V96" i="24"/>
  <c r="S96" i="24"/>
  <c r="V97" i="24"/>
  <c r="S97" i="24"/>
  <c r="V98" i="24"/>
  <c r="S98" i="24"/>
  <c r="V99" i="24"/>
  <c r="S99" i="24"/>
  <c r="V100" i="24"/>
  <c r="S100" i="24"/>
  <c r="V101" i="24"/>
  <c r="S101" i="24"/>
  <c r="V102" i="24"/>
  <c r="S102" i="24"/>
  <c r="V103" i="24"/>
  <c r="S103" i="24"/>
  <c r="V104" i="24"/>
  <c r="S104" i="24"/>
  <c r="V105" i="24"/>
  <c r="S105" i="24"/>
  <c r="V106" i="24"/>
  <c r="S106" i="24"/>
  <c r="V107" i="24"/>
  <c r="S107" i="24"/>
  <c r="V108" i="24"/>
  <c r="S108" i="24"/>
  <c r="V109" i="24"/>
  <c r="S109" i="24"/>
  <c r="V110" i="24"/>
  <c r="S110" i="24"/>
  <c r="V111" i="24"/>
  <c r="S111" i="24"/>
  <c r="V112" i="24"/>
  <c r="S112" i="24"/>
  <c r="V113" i="24"/>
  <c r="S113" i="24"/>
  <c r="V114" i="24"/>
  <c r="S114" i="24"/>
  <c r="V115" i="24"/>
  <c r="S115" i="24"/>
  <c r="V116" i="24"/>
  <c r="S116" i="24"/>
  <c r="V117" i="24"/>
  <c r="S117" i="24"/>
  <c r="V118" i="24"/>
  <c r="S118" i="24"/>
  <c r="V119" i="24"/>
  <c r="S119" i="24"/>
  <c r="I6" i="24"/>
  <c r="S123" i="24"/>
  <c r="V123" i="24"/>
  <c r="S124" i="24"/>
  <c r="S130" i="24"/>
  <c r="V130" i="24"/>
  <c r="S141" i="24"/>
  <c r="R140" i="23"/>
  <c r="T140" i="23"/>
  <c r="S129" i="23"/>
  <c r="S130" i="23"/>
  <c r="S131" i="23"/>
  <c r="S132" i="23"/>
  <c r="S133" i="23"/>
  <c r="S134" i="23"/>
  <c r="S135" i="23"/>
  <c r="S136" i="23"/>
  <c r="S137" i="23"/>
  <c r="S138" i="23"/>
  <c r="R123" i="23"/>
  <c r="S114" i="23"/>
  <c r="S108" i="23"/>
  <c r="S117" i="23"/>
  <c r="S116" i="23"/>
  <c r="S115" i="23"/>
  <c r="S113" i="23"/>
  <c r="S112" i="23"/>
  <c r="S111" i="23"/>
  <c r="R118" i="23"/>
  <c r="S110" i="23"/>
  <c r="T118" i="23"/>
  <c r="U125" i="23"/>
  <c r="S8" i="23"/>
  <c r="S9" i="23"/>
  <c r="S10" i="23"/>
  <c r="S11" i="23"/>
  <c r="S12" i="23"/>
  <c r="S13" i="23"/>
  <c r="S14" i="23"/>
  <c r="V15" i="23"/>
  <c r="S15" i="23"/>
  <c r="V16" i="23"/>
  <c r="S16" i="23"/>
  <c r="V17" i="23"/>
  <c r="S17" i="23"/>
  <c r="V18" i="23"/>
  <c r="S18" i="23"/>
  <c r="V19" i="23"/>
  <c r="S19" i="23"/>
  <c r="V20" i="23"/>
  <c r="S20" i="23"/>
  <c r="V21" i="23"/>
  <c r="S21" i="23"/>
  <c r="V22" i="23"/>
  <c r="S22" i="23"/>
  <c r="V23" i="23"/>
  <c r="S23" i="23"/>
  <c r="V24" i="23"/>
  <c r="S24" i="23"/>
  <c r="V25" i="23"/>
  <c r="S25" i="23"/>
  <c r="V26" i="23"/>
  <c r="S26" i="23"/>
  <c r="V27" i="23"/>
  <c r="S27" i="23"/>
  <c r="V28" i="23"/>
  <c r="S28" i="23"/>
  <c r="V29" i="23"/>
  <c r="S29" i="23"/>
  <c r="V30" i="23"/>
  <c r="S30" i="23"/>
  <c r="V31" i="23"/>
  <c r="S31" i="23"/>
  <c r="V32" i="23"/>
  <c r="S32" i="23"/>
  <c r="V33" i="23"/>
  <c r="S33" i="23"/>
  <c r="V34" i="23"/>
  <c r="S34" i="23"/>
  <c r="V35" i="23"/>
  <c r="S35" i="23"/>
  <c r="V36" i="23"/>
  <c r="S36" i="23"/>
  <c r="V37" i="23"/>
  <c r="S37" i="23"/>
  <c r="V38" i="23"/>
  <c r="S38" i="23"/>
  <c r="V39" i="23"/>
  <c r="S39" i="23"/>
  <c r="V40" i="23"/>
  <c r="S40" i="23"/>
  <c r="V41" i="23"/>
  <c r="S41" i="23"/>
  <c r="V42" i="23"/>
  <c r="S42" i="23"/>
  <c r="V43" i="23"/>
  <c r="S43" i="23"/>
  <c r="V44" i="23"/>
  <c r="S44" i="23"/>
  <c r="V45" i="23"/>
  <c r="S45" i="23"/>
  <c r="V46" i="23"/>
  <c r="S46" i="23"/>
  <c r="V47" i="23"/>
  <c r="S47" i="23"/>
  <c r="V48" i="23"/>
  <c r="S48" i="23"/>
  <c r="V49" i="23"/>
  <c r="S49" i="23"/>
  <c r="V50" i="23"/>
  <c r="S50" i="23"/>
  <c r="V51" i="23"/>
  <c r="S51" i="23"/>
  <c r="V52" i="23"/>
  <c r="S52" i="23"/>
  <c r="V53" i="23"/>
  <c r="S53" i="23"/>
  <c r="V54" i="23"/>
  <c r="S54" i="23"/>
  <c r="V55" i="23"/>
  <c r="S55" i="23"/>
  <c r="V56" i="23"/>
  <c r="S56" i="23"/>
  <c r="S109" i="23"/>
  <c r="S57" i="23"/>
  <c r="S58" i="23"/>
  <c r="S59" i="23"/>
  <c r="S60" i="23"/>
  <c r="S61" i="23"/>
  <c r="S62" i="23"/>
  <c r="S63" i="23"/>
  <c r="S64" i="23"/>
  <c r="S65" i="23"/>
  <c r="S66" i="23"/>
  <c r="V67" i="23"/>
  <c r="S67" i="23"/>
  <c r="V68" i="23"/>
  <c r="S68" i="23"/>
  <c r="V69" i="23"/>
  <c r="S69" i="23"/>
  <c r="V70" i="23"/>
  <c r="S70" i="23"/>
  <c r="V71" i="23"/>
  <c r="S71" i="23"/>
  <c r="V72" i="23"/>
  <c r="S72" i="23"/>
  <c r="V73" i="23"/>
  <c r="S73" i="23"/>
  <c r="V74" i="23"/>
  <c r="S74" i="23"/>
  <c r="V75" i="23"/>
  <c r="S75" i="23"/>
  <c r="V76" i="23"/>
  <c r="S76" i="23"/>
  <c r="V77" i="23"/>
  <c r="S77" i="23"/>
  <c r="V78" i="23"/>
  <c r="S78" i="23"/>
  <c r="V79" i="23"/>
  <c r="S79" i="23"/>
  <c r="V80" i="23"/>
  <c r="S80" i="23"/>
  <c r="V81" i="23"/>
  <c r="S81" i="23"/>
  <c r="V82" i="23"/>
  <c r="S82" i="23"/>
  <c r="V83" i="23"/>
  <c r="S83" i="23"/>
  <c r="V84" i="23"/>
  <c r="S84" i="23"/>
  <c r="V85" i="23"/>
  <c r="S85" i="23"/>
  <c r="V86" i="23"/>
  <c r="S86" i="23"/>
  <c r="V87" i="23"/>
  <c r="S87" i="23"/>
  <c r="V88" i="23"/>
  <c r="S88" i="23"/>
  <c r="V89" i="23"/>
  <c r="S89" i="23"/>
  <c r="V90" i="23"/>
  <c r="S90" i="23"/>
  <c r="V91" i="23"/>
  <c r="S91" i="23"/>
  <c r="V92" i="23"/>
  <c r="S92" i="23"/>
  <c r="V93" i="23"/>
  <c r="S93" i="23"/>
  <c r="V94" i="23"/>
  <c r="S94" i="23"/>
  <c r="V95" i="23"/>
  <c r="S95" i="23"/>
  <c r="V96" i="23"/>
  <c r="S96" i="23"/>
  <c r="V97" i="23"/>
  <c r="S97" i="23"/>
  <c r="V98" i="23"/>
  <c r="S98" i="23"/>
  <c r="T125" i="23"/>
  <c r="T141" i="23" s="1"/>
  <c r="G141" i="23"/>
  <c r="C3" i="23" s="1"/>
  <c r="S121" i="23"/>
  <c r="V121" i="23"/>
  <c r="S122" i="23"/>
  <c r="I141" i="23"/>
  <c r="R141" i="23"/>
  <c r="S99" i="23"/>
  <c r="S100" i="23"/>
  <c r="S101" i="23"/>
  <c r="S102" i="23"/>
  <c r="S103" i="23"/>
  <c r="S104" i="23"/>
  <c r="S105" i="23"/>
  <c r="S106" i="23"/>
  <c r="S107" i="23"/>
  <c r="R125" i="23"/>
  <c r="U141" i="23"/>
  <c r="S7" i="23"/>
  <c r="V7" i="23"/>
  <c r="S128" i="23"/>
  <c r="V128" i="23"/>
  <c r="S139" i="23"/>
  <c r="T138" i="22"/>
  <c r="R138" i="22"/>
  <c r="V138" i="22" s="1"/>
  <c r="T137" i="22"/>
  <c r="R137" i="22"/>
  <c r="V137" i="22" s="1"/>
  <c r="T136" i="22"/>
  <c r="R136" i="22"/>
  <c r="V136" i="22" s="1"/>
  <c r="T135" i="22"/>
  <c r="R135" i="22"/>
  <c r="V135" i="22" s="1"/>
  <c r="T134" i="22"/>
  <c r="R134" i="22"/>
  <c r="V134" i="22" s="1"/>
  <c r="T133" i="22"/>
  <c r="R133" i="22"/>
  <c r="V133" i="22" s="1"/>
  <c r="T132" i="22"/>
  <c r="R132" i="22"/>
  <c r="V132" i="22" s="1"/>
  <c r="T131" i="22"/>
  <c r="R131" i="22"/>
  <c r="V131" i="22" s="1"/>
  <c r="T130" i="22"/>
  <c r="R130" i="22"/>
  <c r="V130" i="22" s="1"/>
  <c r="T129" i="22"/>
  <c r="R129" i="22"/>
  <c r="V129" i="22" s="1"/>
  <c r="Q141" i="22"/>
  <c r="P141" i="22"/>
  <c r="O141" i="22"/>
  <c r="N141" i="22"/>
  <c r="M141" i="22"/>
  <c r="L141" i="22"/>
  <c r="K141" i="22"/>
  <c r="T117" i="22"/>
  <c r="R117" i="22"/>
  <c r="T116" i="22"/>
  <c r="R116" i="22"/>
  <c r="T115" i="22"/>
  <c r="R115" i="22"/>
  <c r="T114" i="22"/>
  <c r="R114" i="22"/>
  <c r="T113" i="22"/>
  <c r="R113" i="22"/>
  <c r="T112" i="22"/>
  <c r="R112" i="22"/>
  <c r="T111" i="22"/>
  <c r="R111" i="22"/>
  <c r="T110" i="22"/>
  <c r="R110" i="22"/>
  <c r="T109" i="22"/>
  <c r="R109" i="22"/>
  <c r="T108" i="22"/>
  <c r="R108" i="22"/>
  <c r="T107" i="22"/>
  <c r="R107" i="22"/>
  <c r="T106" i="22"/>
  <c r="R106" i="22"/>
  <c r="T105" i="22"/>
  <c r="R105" i="22"/>
  <c r="T104" i="22"/>
  <c r="R104" i="22"/>
  <c r="T103" i="22"/>
  <c r="R103" i="22"/>
  <c r="T102" i="22"/>
  <c r="R102" i="22"/>
  <c r="T101" i="22"/>
  <c r="R101" i="22"/>
  <c r="T100" i="22"/>
  <c r="R100" i="22"/>
  <c r="T99" i="22"/>
  <c r="R99" i="22"/>
  <c r="T98" i="22"/>
  <c r="R98" i="22"/>
  <c r="T97" i="22"/>
  <c r="R97" i="22"/>
  <c r="T96" i="22"/>
  <c r="R96" i="22"/>
  <c r="T95" i="22"/>
  <c r="R95" i="22"/>
  <c r="T94" i="22"/>
  <c r="R94" i="22"/>
  <c r="T93" i="22"/>
  <c r="R93" i="22"/>
  <c r="T92" i="22"/>
  <c r="R92" i="22"/>
  <c r="T91" i="22"/>
  <c r="R91" i="22"/>
  <c r="T90" i="22"/>
  <c r="R90" i="22"/>
  <c r="T89" i="22"/>
  <c r="R89" i="22"/>
  <c r="T88" i="22"/>
  <c r="R88" i="22"/>
  <c r="T87" i="22"/>
  <c r="R87" i="22"/>
  <c r="T86" i="22"/>
  <c r="R86" i="22"/>
  <c r="T85" i="22"/>
  <c r="R85" i="22"/>
  <c r="T84" i="22"/>
  <c r="R84" i="22"/>
  <c r="T83" i="22"/>
  <c r="R83" i="22"/>
  <c r="T82" i="22"/>
  <c r="R82" i="22"/>
  <c r="T81" i="22"/>
  <c r="R81" i="22"/>
  <c r="T80" i="22"/>
  <c r="R80" i="22"/>
  <c r="T79" i="22"/>
  <c r="R79" i="22"/>
  <c r="T78" i="22"/>
  <c r="R78" i="22"/>
  <c r="T77" i="22"/>
  <c r="R77" i="22"/>
  <c r="T76" i="22"/>
  <c r="R76" i="22"/>
  <c r="T75" i="22"/>
  <c r="R75" i="22"/>
  <c r="V75" i="22" s="1"/>
  <c r="T74" i="22"/>
  <c r="R74" i="22"/>
  <c r="V74" i="22" s="1"/>
  <c r="T73" i="22"/>
  <c r="R73" i="22"/>
  <c r="V73" i="22" s="1"/>
  <c r="T72" i="22"/>
  <c r="R72" i="22"/>
  <c r="V72" i="22" s="1"/>
  <c r="T71" i="22"/>
  <c r="R71" i="22"/>
  <c r="V71" i="22" s="1"/>
  <c r="T70" i="22"/>
  <c r="R70" i="22"/>
  <c r="V70" i="22" s="1"/>
  <c r="T69" i="22"/>
  <c r="R69" i="22"/>
  <c r="V69" i="22" s="1"/>
  <c r="T68" i="22"/>
  <c r="R68" i="22"/>
  <c r="V68" i="22" s="1"/>
  <c r="T67" i="22"/>
  <c r="R67" i="22"/>
  <c r="V67" i="22" s="1"/>
  <c r="T66" i="22"/>
  <c r="R66" i="22"/>
  <c r="V66" i="22" s="1"/>
  <c r="T65" i="22"/>
  <c r="R65" i="22"/>
  <c r="V65" i="22" s="1"/>
  <c r="T64" i="22"/>
  <c r="R64" i="22"/>
  <c r="V64" i="22" s="1"/>
  <c r="T63" i="22"/>
  <c r="R63" i="22"/>
  <c r="V63" i="22" s="1"/>
  <c r="T62" i="22"/>
  <c r="R62" i="22"/>
  <c r="V62" i="22" s="1"/>
  <c r="T61" i="22"/>
  <c r="R61" i="22"/>
  <c r="V61" i="22" s="1"/>
  <c r="T60" i="22"/>
  <c r="R60" i="22"/>
  <c r="V60" i="22" s="1"/>
  <c r="T59" i="22"/>
  <c r="R59" i="22"/>
  <c r="V59" i="22" s="1"/>
  <c r="T58" i="22"/>
  <c r="R58" i="22"/>
  <c r="V58" i="22" s="1"/>
  <c r="T57" i="22"/>
  <c r="R57" i="22"/>
  <c r="V57" i="22" s="1"/>
  <c r="T56" i="22"/>
  <c r="R56" i="22"/>
  <c r="V56" i="22" s="1"/>
  <c r="T55" i="22"/>
  <c r="R55" i="22"/>
  <c r="V55" i="22" s="1"/>
  <c r="T54" i="22"/>
  <c r="R54" i="22"/>
  <c r="V54" i="22" s="1"/>
  <c r="T53" i="22"/>
  <c r="R53" i="22"/>
  <c r="V53" i="22" s="1"/>
  <c r="T52" i="22"/>
  <c r="R52" i="22"/>
  <c r="V52" i="22" s="1"/>
  <c r="T51" i="22"/>
  <c r="R51" i="22"/>
  <c r="V51" i="22" s="1"/>
  <c r="T50" i="22"/>
  <c r="R50" i="22"/>
  <c r="V50" i="22" s="1"/>
  <c r="T49" i="22"/>
  <c r="R49" i="22"/>
  <c r="V49" i="22" s="1"/>
  <c r="T48" i="22"/>
  <c r="R48" i="22"/>
  <c r="V48" i="22" s="1"/>
  <c r="T47" i="22"/>
  <c r="R47" i="22"/>
  <c r="V47" i="22" s="1"/>
  <c r="T46" i="22"/>
  <c r="R46" i="22"/>
  <c r="V46" i="22" s="1"/>
  <c r="T45" i="22"/>
  <c r="R45" i="22"/>
  <c r="T44" i="22"/>
  <c r="R44" i="22"/>
  <c r="T43" i="22"/>
  <c r="R43" i="22"/>
  <c r="T42" i="22"/>
  <c r="R42" i="22"/>
  <c r="T41" i="22"/>
  <c r="R41" i="22"/>
  <c r="T40" i="22"/>
  <c r="R40" i="22"/>
  <c r="T39" i="22"/>
  <c r="R39" i="22"/>
  <c r="T38" i="22"/>
  <c r="R38" i="22"/>
  <c r="T37" i="22"/>
  <c r="R37" i="22"/>
  <c r="T36" i="22"/>
  <c r="R36" i="22"/>
  <c r="T35" i="22"/>
  <c r="R35" i="22"/>
  <c r="T34" i="22"/>
  <c r="R34" i="22"/>
  <c r="T33" i="22"/>
  <c r="R33" i="22"/>
  <c r="T32" i="22"/>
  <c r="R32" i="22"/>
  <c r="V32" i="22" s="1"/>
  <c r="T31" i="22"/>
  <c r="R31" i="22"/>
  <c r="V31" i="22" s="1"/>
  <c r="T30" i="22"/>
  <c r="R30" i="22"/>
  <c r="V30" i="22" s="1"/>
  <c r="T29" i="22"/>
  <c r="R29" i="22"/>
  <c r="V29" i="22" s="1"/>
  <c r="T28" i="22"/>
  <c r="R28" i="22"/>
  <c r="V28" i="22" s="1"/>
  <c r="T27" i="22"/>
  <c r="R27" i="22"/>
  <c r="V27" i="22" s="1"/>
  <c r="T26" i="22"/>
  <c r="R26" i="22"/>
  <c r="V26" i="22" s="1"/>
  <c r="T25" i="22"/>
  <c r="R25" i="22"/>
  <c r="V25" i="22" s="1"/>
  <c r="T24" i="22"/>
  <c r="R24" i="22"/>
  <c r="V24" i="22" s="1"/>
  <c r="T23" i="22"/>
  <c r="R23" i="22"/>
  <c r="V23" i="22" s="1"/>
  <c r="T22" i="22"/>
  <c r="R22" i="22"/>
  <c r="V22" i="22" s="1"/>
  <c r="T21" i="22"/>
  <c r="R21" i="22"/>
  <c r="V21" i="22" s="1"/>
  <c r="T20" i="22"/>
  <c r="R20" i="22"/>
  <c r="V20" i="22" s="1"/>
  <c r="T19" i="22"/>
  <c r="R19" i="22"/>
  <c r="V19" i="22" s="1"/>
  <c r="T18" i="22"/>
  <c r="R18" i="22"/>
  <c r="V18" i="22" s="1"/>
  <c r="T17" i="22"/>
  <c r="R17" i="22"/>
  <c r="V17" i="22" s="1"/>
  <c r="T16" i="22"/>
  <c r="R16" i="22"/>
  <c r="V16" i="22" s="1"/>
  <c r="T15" i="22"/>
  <c r="R15" i="22"/>
  <c r="V15" i="22" s="1"/>
  <c r="T14" i="22"/>
  <c r="R14" i="22"/>
  <c r="V14" i="22" s="1"/>
  <c r="T13" i="22"/>
  <c r="R13" i="22"/>
  <c r="V13" i="22" s="1"/>
  <c r="T12" i="22"/>
  <c r="R12" i="22"/>
  <c r="V12" i="22" s="1"/>
  <c r="T11" i="22"/>
  <c r="R11" i="22"/>
  <c r="V11" i="22" s="1"/>
  <c r="T10" i="22"/>
  <c r="R10" i="22"/>
  <c r="V10" i="22" s="1"/>
  <c r="T9" i="22"/>
  <c r="R9" i="22"/>
  <c r="V9" i="22" s="1"/>
  <c r="T8" i="22"/>
  <c r="R8" i="22"/>
  <c r="V8" i="22" s="1"/>
  <c r="J141" i="22"/>
  <c r="U140" i="22"/>
  <c r="I140" i="22"/>
  <c r="G140" i="22"/>
  <c r="E140" i="22"/>
  <c r="T139" i="22"/>
  <c r="R139" i="22"/>
  <c r="V139" i="22" s="1"/>
  <c r="T128" i="22"/>
  <c r="T140" i="22" s="1"/>
  <c r="R128" i="22"/>
  <c r="U123" i="22"/>
  <c r="I123" i="22"/>
  <c r="G123" i="22"/>
  <c r="E123" i="22"/>
  <c r="T122" i="22"/>
  <c r="R122" i="22"/>
  <c r="V122" i="22" s="1"/>
  <c r="T121" i="22"/>
  <c r="T123" i="22" s="1"/>
  <c r="R121" i="22"/>
  <c r="R123" i="22" s="1"/>
  <c r="U118" i="22"/>
  <c r="I118" i="22"/>
  <c r="G118" i="22"/>
  <c r="E118" i="22"/>
  <c r="E141" i="22" s="1"/>
  <c r="T7" i="22"/>
  <c r="T118" i="22" s="1"/>
  <c r="R7" i="22"/>
  <c r="J3" i="22"/>
  <c r="T143" i="21"/>
  <c r="R143" i="21"/>
  <c r="V143" i="21" s="1"/>
  <c r="T142" i="21"/>
  <c r="R142" i="21"/>
  <c r="V142" i="21" s="1"/>
  <c r="T141" i="21"/>
  <c r="R141" i="21"/>
  <c r="V141" i="21" s="1"/>
  <c r="T140" i="21"/>
  <c r="R140" i="21"/>
  <c r="V140" i="21" s="1"/>
  <c r="T139" i="21"/>
  <c r="R139" i="21"/>
  <c r="V139" i="21" s="1"/>
  <c r="T138" i="21"/>
  <c r="R138" i="21"/>
  <c r="V138" i="21" s="1"/>
  <c r="T137" i="21"/>
  <c r="R137" i="21"/>
  <c r="V137" i="21" s="1"/>
  <c r="T136" i="21"/>
  <c r="R136" i="21"/>
  <c r="V136" i="21" s="1"/>
  <c r="T135" i="21"/>
  <c r="R135" i="21"/>
  <c r="V135" i="21" s="1"/>
  <c r="T134" i="21"/>
  <c r="R134" i="21"/>
  <c r="V134" i="21" s="1"/>
  <c r="Q146" i="21"/>
  <c r="P146" i="21"/>
  <c r="O146" i="21"/>
  <c r="N146" i="21"/>
  <c r="M146" i="21"/>
  <c r="L146" i="21"/>
  <c r="K146" i="21"/>
  <c r="T122" i="21"/>
  <c r="R122" i="21"/>
  <c r="T121" i="21"/>
  <c r="R121" i="21"/>
  <c r="T120" i="21"/>
  <c r="R120" i="21"/>
  <c r="T119" i="21"/>
  <c r="R119" i="21"/>
  <c r="T118" i="21"/>
  <c r="R118" i="21"/>
  <c r="T117" i="21"/>
  <c r="R117" i="21"/>
  <c r="T116" i="21"/>
  <c r="R116" i="21"/>
  <c r="T115" i="21"/>
  <c r="R115" i="21"/>
  <c r="T114" i="21"/>
  <c r="R114" i="21"/>
  <c r="T113" i="21"/>
  <c r="R113" i="21"/>
  <c r="T112" i="21"/>
  <c r="R112" i="21"/>
  <c r="T111" i="21"/>
  <c r="R111" i="21"/>
  <c r="T110" i="21"/>
  <c r="R110" i="21"/>
  <c r="T109" i="21"/>
  <c r="R109" i="21"/>
  <c r="T108" i="21"/>
  <c r="R108" i="21"/>
  <c r="T107" i="21"/>
  <c r="R107" i="21"/>
  <c r="T106" i="21"/>
  <c r="R106" i="21"/>
  <c r="T105" i="21"/>
  <c r="R105" i="21"/>
  <c r="T104" i="21"/>
  <c r="R104" i="21"/>
  <c r="T103" i="21"/>
  <c r="R103" i="21"/>
  <c r="T102" i="21"/>
  <c r="R102" i="21"/>
  <c r="T101" i="21"/>
  <c r="R101" i="21"/>
  <c r="T100" i="21"/>
  <c r="R100" i="21"/>
  <c r="T99" i="21"/>
  <c r="R99" i="21"/>
  <c r="T98" i="21"/>
  <c r="R98" i="21"/>
  <c r="T97" i="21"/>
  <c r="R97" i="21"/>
  <c r="T96" i="21"/>
  <c r="R96" i="21"/>
  <c r="T95" i="21"/>
  <c r="R95" i="21"/>
  <c r="T94" i="21"/>
  <c r="R94" i="21"/>
  <c r="T93" i="21"/>
  <c r="R93" i="21"/>
  <c r="T92" i="21"/>
  <c r="R92" i="21"/>
  <c r="T91" i="21"/>
  <c r="R91" i="21"/>
  <c r="T90" i="21"/>
  <c r="R90" i="21"/>
  <c r="T89" i="21"/>
  <c r="R89" i="21"/>
  <c r="T88" i="21"/>
  <c r="R88" i="21"/>
  <c r="T87" i="21"/>
  <c r="R87" i="21"/>
  <c r="T86" i="21"/>
  <c r="R86" i="21"/>
  <c r="T85" i="21"/>
  <c r="R85" i="21"/>
  <c r="T84" i="21"/>
  <c r="R84" i="21"/>
  <c r="T83" i="21"/>
  <c r="R83" i="21"/>
  <c r="T82" i="21"/>
  <c r="R82" i="21"/>
  <c r="T81" i="21"/>
  <c r="R81" i="21"/>
  <c r="T80" i="21"/>
  <c r="R80" i="21"/>
  <c r="V80" i="21" s="1"/>
  <c r="T79" i="21"/>
  <c r="R79" i="21"/>
  <c r="V79" i="21" s="1"/>
  <c r="T78" i="21"/>
  <c r="R78" i="21"/>
  <c r="V78" i="21" s="1"/>
  <c r="T77" i="21"/>
  <c r="R77" i="21"/>
  <c r="V77" i="21" s="1"/>
  <c r="T76" i="21"/>
  <c r="R76" i="21"/>
  <c r="V76" i="21" s="1"/>
  <c r="T75" i="21"/>
  <c r="R75" i="21"/>
  <c r="T74" i="21"/>
  <c r="R74" i="21"/>
  <c r="T73" i="21"/>
  <c r="R73" i="21"/>
  <c r="T72" i="21"/>
  <c r="R72" i="21"/>
  <c r="T71" i="21"/>
  <c r="R71" i="21"/>
  <c r="T70" i="21"/>
  <c r="R70" i="21"/>
  <c r="T69" i="21"/>
  <c r="R69" i="21"/>
  <c r="T68" i="21"/>
  <c r="R68" i="21"/>
  <c r="T67" i="21"/>
  <c r="R67" i="21"/>
  <c r="T66" i="21"/>
  <c r="R66" i="21"/>
  <c r="T65" i="21"/>
  <c r="R65" i="21"/>
  <c r="T64" i="21"/>
  <c r="R64" i="21"/>
  <c r="T63" i="21"/>
  <c r="R63" i="21"/>
  <c r="T62" i="21"/>
  <c r="R62" i="21"/>
  <c r="T61" i="21"/>
  <c r="R61" i="21"/>
  <c r="T60" i="21"/>
  <c r="R60" i="21"/>
  <c r="T59" i="21"/>
  <c r="R59" i="21"/>
  <c r="T58" i="21"/>
  <c r="R58" i="21"/>
  <c r="T57" i="21"/>
  <c r="R57" i="21"/>
  <c r="T56" i="21"/>
  <c r="R56" i="21"/>
  <c r="T55" i="21"/>
  <c r="R55" i="21"/>
  <c r="T54" i="21"/>
  <c r="R54" i="21"/>
  <c r="T53" i="21"/>
  <c r="R53" i="21"/>
  <c r="T52" i="21"/>
  <c r="R52" i="21"/>
  <c r="T51" i="21"/>
  <c r="R51" i="21"/>
  <c r="T50" i="21"/>
  <c r="R50" i="21"/>
  <c r="T49" i="21"/>
  <c r="R49" i="21"/>
  <c r="T48" i="21"/>
  <c r="R48" i="21"/>
  <c r="T47" i="21"/>
  <c r="R47" i="21"/>
  <c r="T46" i="21"/>
  <c r="R46" i="21"/>
  <c r="T45" i="21"/>
  <c r="R45" i="21"/>
  <c r="T44" i="21"/>
  <c r="R44" i="21"/>
  <c r="V44" i="21" s="1"/>
  <c r="T43" i="21"/>
  <c r="R43" i="21"/>
  <c r="V43" i="21" s="1"/>
  <c r="T42" i="21"/>
  <c r="R42" i="21"/>
  <c r="V42" i="21" s="1"/>
  <c r="T41" i="21"/>
  <c r="R41" i="21"/>
  <c r="V41" i="21" s="1"/>
  <c r="T40" i="21"/>
  <c r="R40" i="21"/>
  <c r="V40" i="21" s="1"/>
  <c r="T39" i="21"/>
  <c r="R39" i="21"/>
  <c r="V39" i="21" s="1"/>
  <c r="T38" i="21"/>
  <c r="R38" i="21"/>
  <c r="V38" i="21" s="1"/>
  <c r="T37" i="21"/>
  <c r="R37" i="21"/>
  <c r="V37" i="21" s="1"/>
  <c r="T36" i="21"/>
  <c r="R36" i="21"/>
  <c r="V36" i="21" s="1"/>
  <c r="T35" i="21"/>
  <c r="R35" i="21"/>
  <c r="V35" i="21" s="1"/>
  <c r="T34" i="21"/>
  <c r="R34" i="21"/>
  <c r="V34" i="21" s="1"/>
  <c r="T33" i="21"/>
  <c r="R33" i="21"/>
  <c r="V33" i="21" s="1"/>
  <c r="T32" i="21"/>
  <c r="R32" i="21"/>
  <c r="V32" i="21" s="1"/>
  <c r="T31" i="21"/>
  <c r="R31" i="21"/>
  <c r="V31" i="21" s="1"/>
  <c r="T30" i="21"/>
  <c r="R30" i="21"/>
  <c r="V30" i="21" s="1"/>
  <c r="T29" i="21"/>
  <c r="R29" i="21"/>
  <c r="V29" i="21" s="1"/>
  <c r="T28" i="21"/>
  <c r="R28" i="21"/>
  <c r="V28" i="21" s="1"/>
  <c r="T27" i="21"/>
  <c r="R27" i="21"/>
  <c r="V27" i="21" s="1"/>
  <c r="T26" i="21"/>
  <c r="R26" i="21"/>
  <c r="V26" i="21" s="1"/>
  <c r="T25" i="21"/>
  <c r="R25" i="21"/>
  <c r="V25" i="21" s="1"/>
  <c r="T24" i="21"/>
  <c r="R24" i="21"/>
  <c r="V24" i="21" s="1"/>
  <c r="T23" i="21"/>
  <c r="R23" i="21"/>
  <c r="V23" i="21" s="1"/>
  <c r="T22" i="21"/>
  <c r="R22" i="21"/>
  <c r="V22" i="21" s="1"/>
  <c r="T21" i="21"/>
  <c r="R21" i="21"/>
  <c r="V21" i="21" s="1"/>
  <c r="T20" i="21"/>
  <c r="R20" i="21"/>
  <c r="V20" i="21" s="1"/>
  <c r="T19" i="21"/>
  <c r="R19" i="21"/>
  <c r="V19" i="21" s="1"/>
  <c r="T18" i="21"/>
  <c r="R18" i="21"/>
  <c r="V18" i="21" s="1"/>
  <c r="T17" i="21"/>
  <c r="R17" i="21"/>
  <c r="V17" i="21" s="1"/>
  <c r="T16" i="21"/>
  <c r="R16" i="21"/>
  <c r="V16" i="21" s="1"/>
  <c r="T15" i="21"/>
  <c r="R15" i="21"/>
  <c r="V15" i="21" s="1"/>
  <c r="T14" i="21"/>
  <c r="R14" i="21"/>
  <c r="V14" i="21" s="1"/>
  <c r="T13" i="21"/>
  <c r="R13" i="21"/>
  <c r="V13" i="21" s="1"/>
  <c r="T12" i="21"/>
  <c r="R12" i="21"/>
  <c r="V12" i="21" s="1"/>
  <c r="T11" i="21"/>
  <c r="R11" i="21"/>
  <c r="V11" i="21" s="1"/>
  <c r="T10" i="21"/>
  <c r="R10" i="21"/>
  <c r="V10" i="21" s="1"/>
  <c r="T9" i="21"/>
  <c r="R9" i="21"/>
  <c r="V9" i="21" s="1"/>
  <c r="T8" i="21"/>
  <c r="R8" i="21"/>
  <c r="V8" i="21" s="1"/>
  <c r="J146" i="21"/>
  <c r="U145" i="21"/>
  <c r="I145" i="21"/>
  <c r="G145" i="21"/>
  <c r="E145" i="21"/>
  <c r="T144" i="21"/>
  <c r="R144" i="21"/>
  <c r="V144" i="21" s="1"/>
  <c r="T133" i="21"/>
  <c r="R133" i="21"/>
  <c r="U128" i="21"/>
  <c r="I128" i="21"/>
  <c r="G128" i="21"/>
  <c r="E128" i="21"/>
  <c r="T127" i="21"/>
  <c r="R127" i="21"/>
  <c r="V127" i="21" s="1"/>
  <c r="T126" i="21"/>
  <c r="R126" i="21"/>
  <c r="U123" i="21"/>
  <c r="I123" i="21"/>
  <c r="G123" i="21"/>
  <c r="E123" i="21"/>
  <c r="T7" i="21"/>
  <c r="R7" i="21"/>
  <c r="J3" i="21"/>
  <c r="G24" i="8"/>
  <c r="E24" i="8"/>
  <c r="S123" i="54" l="1"/>
  <c r="S137" i="54"/>
  <c r="I4" i="54"/>
  <c r="S136" i="54"/>
  <c r="S118" i="54"/>
  <c r="S125" i="54" s="1"/>
  <c r="R125" i="53"/>
  <c r="T137" i="53"/>
  <c r="S137" i="53"/>
  <c r="I4" i="53"/>
  <c r="S118" i="53"/>
  <c r="S136" i="53"/>
  <c r="S123" i="53"/>
  <c r="T125" i="51"/>
  <c r="T137" i="51" s="1"/>
  <c r="S137" i="51"/>
  <c r="I4" i="51"/>
  <c r="S118" i="51"/>
  <c r="S123" i="51"/>
  <c r="S136" i="51"/>
  <c r="S130" i="46"/>
  <c r="S131" i="46"/>
  <c r="S118" i="46"/>
  <c r="S123" i="46"/>
  <c r="S123" i="40"/>
  <c r="S137" i="40"/>
  <c r="I4" i="40"/>
  <c r="S136" i="40"/>
  <c r="S118" i="40"/>
  <c r="S125" i="40" s="1"/>
  <c r="T130" i="33"/>
  <c r="S123" i="33"/>
  <c r="S130" i="33"/>
  <c r="I4" i="33"/>
  <c r="S129" i="33"/>
  <c r="S118" i="33"/>
  <c r="S125" i="33" s="1"/>
  <c r="T127" i="24"/>
  <c r="T143" i="24"/>
  <c r="S143" i="24"/>
  <c r="S120" i="24"/>
  <c r="S142" i="24"/>
  <c r="S125" i="24"/>
  <c r="S141" i="23"/>
  <c r="S123" i="23"/>
  <c r="I4" i="23"/>
  <c r="S140" i="23"/>
  <c r="S118" i="23"/>
  <c r="R140" i="22"/>
  <c r="S129" i="22"/>
  <c r="S130" i="22"/>
  <c r="S131" i="22"/>
  <c r="S132" i="22"/>
  <c r="S133" i="22"/>
  <c r="S134" i="22"/>
  <c r="S135" i="22"/>
  <c r="S136" i="22"/>
  <c r="S137" i="22"/>
  <c r="S138" i="22"/>
  <c r="S121" i="22"/>
  <c r="V121" i="22"/>
  <c r="S122" i="22"/>
  <c r="V33" i="22"/>
  <c r="S33" i="22"/>
  <c r="V34" i="22"/>
  <c r="S34" i="22"/>
  <c r="V35" i="22"/>
  <c r="S35" i="22"/>
  <c r="V36" i="22"/>
  <c r="S36" i="22"/>
  <c r="V37" i="22"/>
  <c r="S37" i="22"/>
  <c r="V38" i="22"/>
  <c r="S38" i="22"/>
  <c r="V39" i="22"/>
  <c r="S39" i="22"/>
  <c r="V40" i="22"/>
  <c r="S40" i="22"/>
  <c r="V41" i="22"/>
  <c r="S41" i="22"/>
  <c r="V42" i="22"/>
  <c r="S42" i="22"/>
  <c r="V43" i="22"/>
  <c r="S43" i="22"/>
  <c r="V44" i="22"/>
  <c r="S44" i="22"/>
  <c r="V45" i="22"/>
  <c r="S45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T125" i="22"/>
  <c r="T141" i="22" s="1"/>
  <c r="G141" i="22"/>
  <c r="C3" i="22" s="1"/>
  <c r="U125" i="22"/>
  <c r="U141" i="22" s="1"/>
  <c r="V76" i="22"/>
  <c r="S76" i="22"/>
  <c r="V77" i="22"/>
  <c r="S77" i="22"/>
  <c r="V78" i="22"/>
  <c r="S78" i="22"/>
  <c r="V79" i="22"/>
  <c r="S79" i="22"/>
  <c r="V80" i="22"/>
  <c r="S80" i="22"/>
  <c r="V81" i="22"/>
  <c r="S81" i="22"/>
  <c r="V82" i="22"/>
  <c r="S82" i="22"/>
  <c r="V83" i="22"/>
  <c r="S83" i="22"/>
  <c r="V84" i="22"/>
  <c r="S84" i="22"/>
  <c r="V85" i="22"/>
  <c r="S85" i="22"/>
  <c r="V86" i="22"/>
  <c r="S86" i="22"/>
  <c r="V87" i="22"/>
  <c r="S87" i="22"/>
  <c r="V88" i="22"/>
  <c r="S88" i="22"/>
  <c r="V89" i="22"/>
  <c r="S89" i="22"/>
  <c r="V90" i="22"/>
  <c r="S90" i="22"/>
  <c r="V91" i="22"/>
  <c r="S91" i="22"/>
  <c r="V92" i="22"/>
  <c r="S92" i="22"/>
  <c r="V93" i="22"/>
  <c r="S93" i="22"/>
  <c r="V94" i="22"/>
  <c r="S94" i="22"/>
  <c r="V95" i="22"/>
  <c r="S95" i="22"/>
  <c r="V96" i="22"/>
  <c r="S96" i="22"/>
  <c r="V97" i="22"/>
  <c r="S97" i="22"/>
  <c r="V98" i="22"/>
  <c r="S98" i="22"/>
  <c r="V99" i="22"/>
  <c r="S99" i="22"/>
  <c r="V100" i="22"/>
  <c r="S100" i="22"/>
  <c r="V101" i="22"/>
  <c r="S101" i="22"/>
  <c r="V102" i="22"/>
  <c r="S102" i="22"/>
  <c r="V103" i="22"/>
  <c r="S103" i="22"/>
  <c r="V104" i="22"/>
  <c r="S104" i="22"/>
  <c r="V105" i="22"/>
  <c r="S105" i="22"/>
  <c r="V106" i="22"/>
  <c r="S106" i="22"/>
  <c r="V107" i="22"/>
  <c r="S107" i="22"/>
  <c r="V108" i="22"/>
  <c r="S108" i="22"/>
  <c r="V109" i="22"/>
  <c r="S109" i="22"/>
  <c r="V110" i="22"/>
  <c r="S110" i="22"/>
  <c r="V111" i="22"/>
  <c r="S111" i="22"/>
  <c r="V112" i="22"/>
  <c r="S112" i="22"/>
  <c r="V113" i="22"/>
  <c r="S113" i="22"/>
  <c r="V114" i="22"/>
  <c r="S114" i="22"/>
  <c r="V115" i="22"/>
  <c r="S115" i="22"/>
  <c r="V116" i="22"/>
  <c r="S116" i="22"/>
  <c r="V117" i="22"/>
  <c r="S117" i="22"/>
  <c r="R118" i="22"/>
  <c r="R125" i="22" s="1"/>
  <c r="I141" i="22"/>
  <c r="R141" i="22"/>
  <c r="S7" i="22"/>
  <c r="V7" i="22"/>
  <c r="S128" i="22"/>
  <c r="V128" i="22"/>
  <c r="S139" i="22"/>
  <c r="R145" i="21"/>
  <c r="T145" i="21"/>
  <c r="R128" i="21"/>
  <c r="S134" i="21"/>
  <c r="S135" i="21"/>
  <c r="S136" i="21"/>
  <c r="S137" i="21"/>
  <c r="S138" i="21"/>
  <c r="S139" i="21"/>
  <c r="S140" i="21"/>
  <c r="S141" i="21"/>
  <c r="S142" i="21"/>
  <c r="S143" i="21"/>
  <c r="T128" i="21"/>
  <c r="S126" i="21"/>
  <c r="V126" i="21"/>
  <c r="S127" i="21"/>
  <c r="T123" i="21"/>
  <c r="R123" i="21"/>
  <c r="R130" i="21" s="1"/>
  <c r="E146" i="21"/>
  <c r="S8" i="21"/>
  <c r="S9" i="21"/>
  <c r="S10" i="21"/>
  <c r="S11" i="21"/>
  <c r="S12" i="21"/>
  <c r="S13" i="21"/>
  <c r="S14" i="21"/>
  <c r="S15" i="21"/>
  <c r="S16" i="21"/>
  <c r="S17" i="21"/>
  <c r="S18" i="21"/>
  <c r="S19" i="21"/>
  <c r="S20" i="21"/>
  <c r="S21" i="21"/>
  <c r="S22" i="21"/>
  <c r="S23" i="21"/>
  <c r="S24" i="21"/>
  <c r="S25" i="21"/>
  <c r="S26" i="21"/>
  <c r="S27" i="21"/>
  <c r="S28" i="21"/>
  <c r="S29" i="21"/>
  <c r="S30" i="21"/>
  <c r="S31" i="21"/>
  <c r="S32" i="21"/>
  <c r="S33" i="21"/>
  <c r="S34" i="21"/>
  <c r="S35" i="21"/>
  <c r="S36" i="21"/>
  <c r="S37" i="21"/>
  <c r="S38" i="21"/>
  <c r="S39" i="21"/>
  <c r="S40" i="21"/>
  <c r="S41" i="21"/>
  <c r="S42" i="21"/>
  <c r="S43" i="21"/>
  <c r="S44" i="21"/>
  <c r="I146" i="21"/>
  <c r="R146" i="21"/>
  <c r="V45" i="21"/>
  <c r="S45" i="21"/>
  <c r="V46" i="21"/>
  <c r="S46" i="21"/>
  <c r="V47" i="21"/>
  <c r="S47" i="21"/>
  <c r="V48" i="21"/>
  <c r="S48" i="21"/>
  <c r="V49" i="21"/>
  <c r="S49" i="21"/>
  <c r="V50" i="21"/>
  <c r="S50" i="21"/>
  <c r="V51" i="21"/>
  <c r="S51" i="21"/>
  <c r="V52" i="21"/>
  <c r="S52" i="21"/>
  <c r="V53" i="21"/>
  <c r="S53" i="21"/>
  <c r="V54" i="21"/>
  <c r="S54" i="21"/>
  <c r="V55" i="21"/>
  <c r="S55" i="21"/>
  <c r="V56" i="21"/>
  <c r="S56" i="21"/>
  <c r="V57" i="21"/>
  <c r="S57" i="21"/>
  <c r="V58" i="21"/>
  <c r="S58" i="21"/>
  <c r="V59" i="21"/>
  <c r="S59" i="21"/>
  <c r="V60" i="21"/>
  <c r="S60" i="21"/>
  <c r="V61" i="21"/>
  <c r="S61" i="21"/>
  <c r="V62" i="21"/>
  <c r="S62" i="21"/>
  <c r="V63" i="21"/>
  <c r="S63" i="21"/>
  <c r="V64" i="21"/>
  <c r="S64" i="21"/>
  <c r="V65" i="21"/>
  <c r="S65" i="21"/>
  <c r="V66" i="21"/>
  <c r="S66" i="21"/>
  <c r="V67" i="21"/>
  <c r="S67" i="21"/>
  <c r="V68" i="21"/>
  <c r="S68" i="21"/>
  <c r="V69" i="21"/>
  <c r="S69" i="21"/>
  <c r="V70" i="21"/>
  <c r="S70" i="21"/>
  <c r="V71" i="21"/>
  <c r="S71" i="21"/>
  <c r="V72" i="21"/>
  <c r="S72" i="21"/>
  <c r="V73" i="21"/>
  <c r="S73" i="21"/>
  <c r="V74" i="21"/>
  <c r="S74" i="21"/>
  <c r="V75" i="21"/>
  <c r="S75" i="21"/>
  <c r="T130" i="21"/>
  <c r="T146" i="21" s="1"/>
  <c r="G146" i="21"/>
  <c r="C3" i="21" s="1"/>
  <c r="U130" i="21"/>
  <c r="U146" i="21" s="1"/>
  <c r="S76" i="21"/>
  <c r="S77" i="21"/>
  <c r="S78" i="21"/>
  <c r="S79" i="21"/>
  <c r="S80" i="21"/>
  <c r="V81" i="21"/>
  <c r="S81" i="21"/>
  <c r="V82" i="21"/>
  <c r="S82" i="21"/>
  <c r="V83" i="21"/>
  <c r="S83" i="21"/>
  <c r="V84" i="21"/>
  <c r="S84" i="21"/>
  <c r="V85" i="21"/>
  <c r="S85" i="21"/>
  <c r="V86" i="21"/>
  <c r="S86" i="21"/>
  <c r="V87" i="21"/>
  <c r="S87" i="21"/>
  <c r="V88" i="21"/>
  <c r="S88" i="21"/>
  <c r="V89" i="21"/>
  <c r="S89" i="21"/>
  <c r="V90" i="21"/>
  <c r="S90" i="21"/>
  <c r="V91" i="21"/>
  <c r="S91" i="21"/>
  <c r="V92" i="21"/>
  <c r="S92" i="21"/>
  <c r="V93" i="21"/>
  <c r="S93" i="21"/>
  <c r="V94" i="21"/>
  <c r="S94" i="21"/>
  <c r="V95" i="21"/>
  <c r="S95" i="21"/>
  <c r="V96" i="21"/>
  <c r="S96" i="21"/>
  <c r="V97" i="21"/>
  <c r="S97" i="21"/>
  <c r="V98" i="21"/>
  <c r="S98" i="21"/>
  <c r="V99" i="21"/>
  <c r="S99" i="21"/>
  <c r="V100" i="21"/>
  <c r="S100" i="21"/>
  <c r="V101" i="21"/>
  <c r="S101" i="21"/>
  <c r="V102" i="21"/>
  <c r="S102" i="21"/>
  <c r="V103" i="21"/>
  <c r="S103" i="21"/>
  <c r="V104" i="21"/>
  <c r="S104" i="21"/>
  <c r="V105" i="21"/>
  <c r="S105" i="21"/>
  <c r="V106" i="21"/>
  <c r="S106" i="21"/>
  <c r="V107" i="21"/>
  <c r="S107" i="21"/>
  <c r="V108" i="21"/>
  <c r="S108" i="21"/>
  <c r="V109" i="21"/>
  <c r="S109" i="21"/>
  <c r="V110" i="21"/>
  <c r="S110" i="21"/>
  <c r="V111" i="21"/>
  <c r="S111" i="21"/>
  <c r="V112" i="21"/>
  <c r="S112" i="21"/>
  <c r="V113" i="21"/>
  <c r="S113" i="21"/>
  <c r="V114" i="21"/>
  <c r="S114" i="21"/>
  <c r="V115" i="21"/>
  <c r="S115" i="21"/>
  <c r="V116" i="21"/>
  <c r="S116" i="21"/>
  <c r="V117" i="21"/>
  <c r="S117" i="21"/>
  <c r="V118" i="21"/>
  <c r="S118" i="21"/>
  <c r="V119" i="21"/>
  <c r="S119" i="21"/>
  <c r="V120" i="21"/>
  <c r="S120" i="21"/>
  <c r="V121" i="21"/>
  <c r="S121" i="21"/>
  <c r="V122" i="21"/>
  <c r="S122" i="21"/>
  <c r="I4" i="21"/>
  <c r="S7" i="21"/>
  <c r="V7" i="21"/>
  <c r="S133" i="21"/>
  <c r="V133" i="21"/>
  <c r="S144" i="21"/>
  <c r="I24" i="8"/>
  <c r="K24" i="8"/>
  <c r="J24" i="8"/>
  <c r="N24" i="8"/>
  <c r="E23" i="8"/>
  <c r="G23" i="8"/>
  <c r="I23" i="8"/>
  <c r="O24" i="8"/>
  <c r="O23" i="8"/>
  <c r="L23" i="8"/>
  <c r="N23" i="8"/>
  <c r="M23" i="8"/>
  <c r="S125" i="53" l="1"/>
  <c r="S125" i="51"/>
  <c r="S125" i="46"/>
  <c r="S127" i="24"/>
  <c r="S125" i="23"/>
  <c r="S141" i="22"/>
  <c r="S123" i="22"/>
  <c r="I4" i="22"/>
  <c r="S140" i="22"/>
  <c r="S118" i="22"/>
  <c r="S128" i="21"/>
  <c r="S146" i="21"/>
  <c r="S123" i="21"/>
  <c r="S130" i="21" s="1"/>
  <c r="S145" i="21"/>
  <c r="N22" i="8"/>
  <c r="L22" i="8"/>
  <c r="P22" i="8" s="1"/>
  <c r="S125" i="22" l="1"/>
  <c r="M22" i="8"/>
  <c r="N15" i="8" l="1"/>
  <c r="L15" i="8"/>
  <c r="P15" i="8" s="1"/>
  <c r="J5" i="8"/>
  <c r="L9" i="8"/>
  <c r="M9" i="8" s="1"/>
  <c r="N9" i="8"/>
  <c r="P9" i="8"/>
  <c r="L10" i="8"/>
  <c r="M10" i="8" s="1"/>
  <c r="N10" i="8"/>
  <c r="E11" i="8"/>
  <c r="G11" i="8"/>
  <c r="I11" i="8"/>
  <c r="O11" i="8"/>
  <c r="L14" i="8"/>
  <c r="M14" i="8" s="1"/>
  <c r="N14" i="8"/>
  <c r="E16" i="8"/>
  <c r="G16" i="8"/>
  <c r="I16" i="8"/>
  <c r="N16" i="8"/>
  <c r="O16" i="8"/>
  <c r="L21" i="8"/>
  <c r="N21" i="8"/>
  <c r="P21" i="8"/>
  <c r="I6" i="8"/>
  <c r="C5" i="8" l="1"/>
  <c r="O18" i="8"/>
  <c r="M21" i="8"/>
  <c r="L24" i="8"/>
  <c r="M24" i="8" s="1"/>
  <c r="M15" i="8"/>
  <c r="M16" i="8" s="1"/>
  <c r="L16" i="8"/>
  <c r="P14" i="8"/>
  <c r="N11" i="8"/>
  <c r="N18" i="8" s="1"/>
  <c r="L11" i="8"/>
  <c r="P10" i="8"/>
  <c r="M11" i="8"/>
  <c r="L18" i="8" l="1"/>
  <c r="M18" i="8"/>
</calcChain>
</file>

<file path=xl/sharedStrings.xml><?xml version="1.0" encoding="utf-8"?>
<sst xmlns="http://schemas.openxmlformats.org/spreadsheetml/2006/main" count="3599" uniqueCount="150">
  <si>
    <t>工事件名</t>
    <rPh sb="0" eb="2">
      <t>コウジ</t>
    </rPh>
    <rPh sb="2" eb="4">
      <t>ケンメイ</t>
    </rPh>
    <phoneticPr fontId="4"/>
  </si>
  <si>
    <t>更新日</t>
    <rPh sb="0" eb="2">
      <t>コウシン</t>
    </rPh>
    <phoneticPr fontId="4"/>
  </si>
  <si>
    <t>実行予算時利益額（上司修正済後の金額）</t>
    <rPh sb="0" eb="2">
      <t>ジッコウ</t>
    </rPh>
    <rPh sb="2" eb="4">
      <t>ヨサン</t>
    </rPh>
    <rPh sb="4" eb="5">
      <t>ジ</t>
    </rPh>
    <rPh sb="5" eb="7">
      <t>リエキ</t>
    </rPh>
    <rPh sb="7" eb="8">
      <t>ガク</t>
    </rPh>
    <phoneticPr fontId="4"/>
  </si>
  <si>
    <t>最終請負金額</t>
    <phoneticPr fontId="4"/>
  </si>
  <si>
    <t>実行予算時利益率</t>
    <rPh sb="0" eb="2">
      <t>ジッコウ</t>
    </rPh>
    <rPh sb="2" eb="4">
      <t>ヨサン</t>
    </rPh>
    <rPh sb="4" eb="5">
      <t>ジ</t>
    </rPh>
    <rPh sb="5" eb="7">
      <t>リエキ</t>
    </rPh>
    <rPh sb="7" eb="8">
      <t>リツ</t>
    </rPh>
    <phoneticPr fontId="4"/>
  </si>
  <si>
    <t>取極め後利益額</t>
    <rPh sb="0" eb="2">
      <t>トリキ</t>
    </rPh>
    <rPh sb="3" eb="4">
      <t>ゴ</t>
    </rPh>
    <rPh sb="4" eb="6">
      <t>リエキ</t>
    </rPh>
    <rPh sb="6" eb="7">
      <t>ガク</t>
    </rPh>
    <phoneticPr fontId="4"/>
  </si>
  <si>
    <t>取極業者名　　　　　　　　　　　　　　</t>
    <rPh sb="0" eb="2">
      <t>トリキ</t>
    </rPh>
    <rPh sb="2" eb="4">
      <t>ギョウシャ</t>
    </rPh>
    <rPh sb="4" eb="5">
      <t>メイ</t>
    </rPh>
    <phoneticPr fontId="4"/>
  </si>
  <si>
    <t>支払合計</t>
    <rPh sb="0" eb="2">
      <t>シハラ</t>
    </rPh>
    <rPh sb="2" eb="4">
      <t>ゴウケイ</t>
    </rPh>
    <phoneticPr fontId="4"/>
  </si>
  <si>
    <t>支払残金</t>
    <rPh sb="0" eb="2">
      <t>シハライ</t>
    </rPh>
    <rPh sb="2" eb="4">
      <t>ザンキン</t>
    </rPh>
    <phoneticPr fontId="4"/>
  </si>
  <si>
    <t>予算増減金額　     　　　　（実行予算-取極め金額）</t>
    <rPh sb="0" eb="2">
      <t>ヨサン</t>
    </rPh>
    <rPh sb="2" eb="4">
      <t>ゾウゲン</t>
    </rPh>
    <rPh sb="4" eb="5">
      <t>キン</t>
    </rPh>
    <rPh sb="5" eb="6">
      <t>ガク</t>
    </rPh>
    <rPh sb="17" eb="19">
      <t>ジッコウ</t>
    </rPh>
    <rPh sb="19" eb="21">
      <t>ヨサン</t>
    </rPh>
    <rPh sb="22" eb="24">
      <t>トリキ</t>
    </rPh>
    <rPh sb="25" eb="27">
      <t>キンガク</t>
    </rPh>
    <phoneticPr fontId="4"/>
  </si>
  <si>
    <t>人工</t>
    <rPh sb="0" eb="2">
      <t>ニンク</t>
    </rPh>
    <phoneticPr fontId="4"/>
  </si>
  <si>
    <t>1人工
単価</t>
    <rPh sb="1" eb="3">
      <t>ニンク</t>
    </rPh>
    <rPh sb="4" eb="6">
      <t>タンカ</t>
    </rPh>
    <phoneticPr fontId="4"/>
  </si>
  <si>
    <t>本工事利益増減金額合計</t>
    <rPh sb="0" eb="3">
      <t>ホンコウジ</t>
    </rPh>
    <rPh sb="3" eb="5">
      <t>リエキ</t>
    </rPh>
    <rPh sb="5" eb="7">
      <t>ゾウゲン</t>
    </rPh>
    <rPh sb="7" eb="9">
      <t>キンガク</t>
    </rPh>
    <rPh sb="9" eb="11">
      <t>ゴウケイ</t>
    </rPh>
    <phoneticPr fontId="4"/>
  </si>
  <si>
    <t>【追加工事】</t>
    <rPh sb="1" eb="3">
      <t>ツイカ</t>
    </rPh>
    <rPh sb="3" eb="5">
      <t>コウジ</t>
    </rPh>
    <phoneticPr fontId="4"/>
  </si>
  <si>
    <t>実行予算額</t>
    <phoneticPr fontId="4"/>
  </si>
  <si>
    <t>取極・見込額　</t>
    <phoneticPr fontId="4"/>
  </si>
  <si>
    <t>B.実行予算外工事合計</t>
    <rPh sb="2" eb="4">
      <t>ジッコウ</t>
    </rPh>
    <rPh sb="4" eb="6">
      <t>ヨサン</t>
    </rPh>
    <rPh sb="6" eb="7">
      <t>ガイ</t>
    </rPh>
    <rPh sb="7" eb="9">
      <t>コウジ</t>
    </rPh>
    <rPh sb="9" eb="11">
      <t>ゴウケイ</t>
    </rPh>
    <phoneticPr fontId="4"/>
  </si>
  <si>
    <t>最終利益増減金額計（A+B）</t>
    <rPh sb="0" eb="2">
      <t>サイシュウ</t>
    </rPh>
    <rPh sb="2" eb="4">
      <t>リエキ</t>
    </rPh>
    <rPh sb="4" eb="6">
      <t>ゾウゲン</t>
    </rPh>
    <rPh sb="6" eb="8">
      <t>キンガク</t>
    </rPh>
    <rPh sb="8" eb="9">
      <t>ケイ</t>
    </rPh>
    <phoneticPr fontId="4"/>
  </si>
  <si>
    <t>合計</t>
    <rPh sb="0" eb="2">
      <t>ゴウケイ</t>
    </rPh>
    <phoneticPr fontId="4"/>
  </si>
  <si>
    <t>課題</t>
    <rPh sb="0" eb="2">
      <t>カダイ</t>
    </rPh>
    <phoneticPr fontId="4"/>
  </si>
  <si>
    <t>既存の清算書出力には、支払日付・元積金額・実行予算額、発注番号がない</t>
  </si>
  <si>
    <t>実行予算に仕入先が入っていなことが多い</t>
    <phoneticPr fontId="4"/>
  </si>
  <si>
    <t>Zだけ大・中項目で終わり</t>
    <rPh sb="3" eb="4">
      <t>オオ</t>
    </rPh>
    <rPh sb="5" eb="6">
      <t>チュウ</t>
    </rPh>
    <rPh sb="6" eb="8">
      <t>コウモク</t>
    </rPh>
    <rPh sb="9" eb="10">
      <t>オ</t>
    </rPh>
    <phoneticPr fontId="4"/>
  </si>
  <si>
    <t>元積額</t>
    <rPh sb="0" eb="2">
      <t>モトヅ</t>
    </rPh>
    <rPh sb="2" eb="3">
      <t>ガク</t>
    </rPh>
    <phoneticPr fontId="4"/>
  </si>
  <si>
    <t>精算書（支払台帳）書式サンプル</t>
    <rPh sb="0" eb="2">
      <t>セイサン</t>
    </rPh>
    <rPh sb="9" eb="11">
      <t>ショシキ</t>
    </rPh>
    <phoneticPr fontId="4"/>
  </si>
  <si>
    <t>請負金額</t>
    <phoneticPr fontId="4"/>
  </si>
  <si>
    <t>工事コード</t>
    <rPh sb="0" eb="2">
      <t>コウジ</t>
    </rPh>
    <phoneticPr fontId="4"/>
  </si>
  <si>
    <t>追加変更金額</t>
    <phoneticPr fontId="4"/>
  </si>
  <si>
    <t>工種コード</t>
    <rPh sb="0" eb="2">
      <t>コウシュ</t>
    </rPh>
    <phoneticPr fontId="4"/>
  </si>
  <si>
    <t>注文書番号</t>
    <rPh sb="0" eb="3">
      <t>チュウモンショ</t>
    </rPh>
    <rPh sb="3" eb="5">
      <t>バンゴウ</t>
    </rPh>
    <phoneticPr fontId="4"/>
  </si>
  <si>
    <t>実行予算額</t>
    <rPh sb="0" eb="2">
      <t>ジッコウ</t>
    </rPh>
    <rPh sb="2" eb="4">
      <t>ヨサン</t>
    </rPh>
    <rPh sb="4" eb="5">
      <t>ガク</t>
    </rPh>
    <phoneticPr fontId="4"/>
  </si>
  <si>
    <r>
      <t>取極・見込額　</t>
    </r>
    <r>
      <rPr>
        <sz val="10"/>
        <color indexed="10"/>
        <rFont val="メイリオ"/>
        <family val="3"/>
        <charset val="128"/>
      </rPr>
      <t>　　　　</t>
    </r>
    <rPh sb="0" eb="2">
      <t>トリキ</t>
    </rPh>
    <rPh sb="3" eb="5">
      <t>ミコミ</t>
    </rPh>
    <rPh sb="5" eb="6">
      <t>ガク</t>
    </rPh>
    <phoneticPr fontId="4"/>
  </si>
  <si>
    <t>元積額</t>
    <rPh sb="0" eb="2">
      <t>モトヅ</t>
    </rPh>
    <phoneticPr fontId="4"/>
  </si>
  <si>
    <t>「精算書（支払台帳）ボタンをクリックして、読み込むCSVファイルを選択してください」</t>
  </si>
  <si>
    <t>経費合計</t>
    <rPh sb="0" eb="2">
      <t>ケイヒ</t>
    </rPh>
    <rPh sb="2" eb="4">
      <t>ゴウケイ</t>
    </rPh>
    <phoneticPr fontId="4"/>
  </si>
  <si>
    <t>オーベル練馬スマーティア　大規模修繕工事</t>
  </si>
  <si>
    <t>9000730269-001</t>
  </si>
  <si>
    <t>A001
共通仮設工事</t>
  </si>
  <si>
    <t>有限会社義人総建</t>
  </si>
  <si>
    <t>A300</t>
  </si>
  <si>
    <t>0000017859</t>
  </si>
  <si>
    <t>輝龍株式会社　</t>
  </si>
  <si>
    <t>A400</t>
  </si>
  <si>
    <t/>
  </si>
  <si>
    <t>株式会社ゲットクリーンコート</t>
  </si>
  <si>
    <t>A301</t>
  </si>
  <si>
    <t>有限会社近藤電設</t>
  </si>
  <si>
    <t>A200</t>
  </si>
  <si>
    <t>0000018132</t>
  </si>
  <si>
    <t>新和環境株式会社</t>
  </si>
  <si>
    <t>A500</t>
  </si>
  <si>
    <t>有限会社青柳勘重商店</t>
  </si>
  <si>
    <t>株式会社大空リサイクルセンター</t>
  </si>
  <si>
    <t>化研マテリアル株式会社</t>
  </si>
  <si>
    <t>株式会社グローリージャパン</t>
  </si>
  <si>
    <t>野口興産株式会社南関東支店</t>
  </si>
  <si>
    <t>株式会社キャドプラス</t>
  </si>
  <si>
    <t>A100</t>
  </si>
  <si>
    <t>株式会社インテリジェンスドローン</t>
  </si>
  <si>
    <t>輝進株式会社</t>
  </si>
  <si>
    <t>ファインアート合同会社</t>
  </si>
  <si>
    <t>三栄機材株式会社</t>
  </si>
  <si>
    <t>0000017815</t>
  </si>
  <si>
    <t>仕訳データ</t>
  </si>
  <si>
    <t>A401</t>
  </si>
  <si>
    <t>B001
足場架設工事</t>
  </si>
  <si>
    <t>株式会社砂川工業</t>
  </si>
  <si>
    <t>B200</t>
  </si>
  <si>
    <t>0000017820</t>
  </si>
  <si>
    <t>B201</t>
  </si>
  <si>
    <t>B700</t>
  </si>
  <si>
    <t>B701</t>
  </si>
  <si>
    <t>B800</t>
  </si>
  <si>
    <t>B801</t>
  </si>
  <si>
    <t>C001
シーリング工事</t>
  </si>
  <si>
    <t>C100</t>
  </si>
  <si>
    <t>C101</t>
  </si>
  <si>
    <t>D001
躯体補修工事</t>
  </si>
  <si>
    <t>D100</t>
  </si>
  <si>
    <t>D200</t>
  </si>
  <si>
    <t>D300</t>
  </si>
  <si>
    <t>D101</t>
  </si>
  <si>
    <t>D201</t>
  </si>
  <si>
    <t>小瀧窯業株式会社</t>
  </si>
  <si>
    <t>小野タイル</t>
  </si>
  <si>
    <t>D301</t>
  </si>
  <si>
    <t>E001
外壁塗装工事</t>
  </si>
  <si>
    <t>E100</t>
  </si>
  <si>
    <t>E101</t>
  </si>
  <si>
    <t>竹内化成株式会社</t>
  </si>
  <si>
    <t>F001
鉄部塗装工事</t>
  </si>
  <si>
    <t>F200</t>
  </si>
  <si>
    <t>F300</t>
  </si>
  <si>
    <t>F201</t>
  </si>
  <si>
    <t>F301</t>
  </si>
  <si>
    <t>H001
屋上防水工事</t>
  </si>
  <si>
    <t>H100</t>
  </si>
  <si>
    <t>H200</t>
  </si>
  <si>
    <t>H101</t>
  </si>
  <si>
    <t>株式会社トラストホーム</t>
  </si>
  <si>
    <t>0000018232</t>
  </si>
  <si>
    <t>0000018330</t>
  </si>
  <si>
    <t>株式会社クワノ技建</t>
  </si>
  <si>
    <t>H300</t>
  </si>
  <si>
    <t>0000018185</t>
  </si>
  <si>
    <t>H201</t>
  </si>
  <si>
    <t>I001
ルーフバルコニー防水工事</t>
  </si>
  <si>
    <t>I100</t>
  </si>
  <si>
    <t>I101</t>
  </si>
  <si>
    <t>J001
バルコニー防水工事</t>
  </si>
  <si>
    <t>J100</t>
  </si>
  <si>
    <t>J400</t>
  </si>
  <si>
    <t>J101</t>
  </si>
  <si>
    <t>J401</t>
  </si>
  <si>
    <t>K001
廊下･階段防水工事</t>
  </si>
  <si>
    <t>K100</t>
  </si>
  <si>
    <t>K400</t>
  </si>
  <si>
    <t>K101</t>
  </si>
  <si>
    <t>K401</t>
  </si>
  <si>
    <t>P001
その他防水工事</t>
  </si>
  <si>
    <t>P100</t>
  </si>
  <si>
    <t>P101</t>
  </si>
  <si>
    <t>Q001
建築工事</t>
  </si>
  <si>
    <t>Q900</t>
  </si>
  <si>
    <t>小林鉄工所</t>
  </si>
  <si>
    <t>0000018274</t>
  </si>
  <si>
    <t>Q500</t>
  </si>
  <si>
    <t>0000017816</t>
  </si>
  <si>
    <t>株式会社ミリオンアルミ販売</t>
  </si>
  <si>
    <t>GOOD　MAN　COMPANY株式会社</t>
  </si>
  <si>
    <t>Q501</t>
  </si>
  <si>
    <t>Q901</t>
  </si>
  <si>
    <t>S001
クリーニング工事</t>
  </si>
  <si>
    <t>S100</t>
  </si>
  <si>
    <t>S101</t>
  </si>
  <si>
    <t>Z001
経費</t>
  </si>
  <si>
    <t>01月</t>
  </si>
  <si>
    <t>02月</t>
    <phoneticPr fontId="2"/>
  </si>
  <si>
    <t>03月</t>
    <phoneticPr fontId="2"/>
  </si>
  <si>
    <t>04月</t>
    <phoneticPr fontId="2"/>
  </si>
  <si>
    <t>05月</t>
    <phoneticPr fontId="2"/>
  </si>
  <si>
    <t>06月</t>
    <phoneticPr fontId="2"/>
  </si>
  <si>
    <t>07月</t>
    <phoneticPr fontId="2"/>
  </si>
  <si>
    <t>08月</t>
    <phoneticPr fontId="2"/>
  </si>
  <si>
    <t>ヤマト運輸本社　ヤマト運輸株式会社横浜主管支店</t>
  </si>
  <si>
    <t>ソロエルアリーナ（株式会社マツザキ）</t>
  </si>
  <si>
    <t>給与配賦</t>
  </si>
  <si>
    <t>社内振替</t>
  </si>
  <si>
    <t>ＥＸ経費</t>
  </si>
  <si>
    <t>有限会社義人総建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</si>
</sst>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¥&quot;#,##0;&quot;¥&quot;\-#,##0"/>
    <numFmt numFmtId="6" formatCode="&quot;¥&quot;#,##0;[Red]&quot;¥&quot;\-#,##0"/>
    <numFmt numFmtId="176" formatCode="&quot;¥&quot;#,##0_);[Red]\(&quot;¥&quot;#,##0\)"/>
    <numFmt numFmtId="177" formatCode="0.0%"/>
    <numFmt numFmtId="178" formatCode="0_);[Red]\(0\)"/>
    <numFmt numFmtId="179" formatCode="&quot;¥&quot;#,##0;&quot;¥&quot;&quot;▲&quot;#,##0"/>
    <numFmt numFmtId="180" formatCode="&quot;¥&quot;#,##0_);\(&quot;¥&quot;#,##0\)"/>
    <numFmt numFmtId="184" formatCode="\\#,##0"/>
    <numFmt numFmtId="185" formatCode="yyyy/mm/dd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4"/>
      <name val="メイリオ"/>
      <family val="3"/>
      <charset val="128"/>
    </font>
    <font>
      <sz val="6"/>
      <name val="ＭＳ Ｐゴシック"/>
      <family val="3"/>
      <charset val="128"/>
    </font>
    <font>
      <sz val="11"/>
      <name val="メイリオ"/>
      <family val="3"/>
      <charset val="128"/>
    </font>
    <font>
      <sz val="11"/>
      <name val="ＭＳ Ｐ明朝"/>
      <family val="1"/>
      <charset val="128"/>
    </font>
    <font>
      <b/>
      <sz val="11"/>
      <name val="メイリオ"/>
      <family val="3"/>
      <charset val="128"/>
    </font>
    <font>
      <sz val="12"/>
      <name val="メイリオ"/>
      <family val="3"/>
      <charset val="128"/>
    </font>
    <font>
      <b/>
      <sz val="12"/>
      <name val="メイリオ"/>
      <family val="3"/>
      <charset val="128"/>
    </font>
    <font>
      <sz val="8"/>
      <name val="メイリオ"/>
      <family val="3"/>
      <charset val="128"/>
    </font>
    <font>
      <sz val="10"/>
      <name val="メイリオ"/>
      <family val="3"/>
      <charset val="128"/>
    </font>
    <font>
      <sz val="10"/>
      <color indexed="10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1"/>
      <color indexed="63"/>
      <name val="メイリオ"/>
      <family val="3"/>
      <charset val="128"/>
    </font>
    <font>
      <sz val="11"/>
      <color rgb="FFFF0000"/>
      <name val="メイリオ"/>
      <family val="3"/>
      <charset val="128"/>
    </font>
    <font>
      <sz val="8"/>
      <color theme="1"/>
      <name val="メイリオ"/>
      <family val="3"/>
      <charset val="128"/>
    </font>
    <font>
      <sz val="11"/>
      <color theme="4" tint="-0.499984740745262"/>
      <name val="メイリオ"/>
      <family val="3"/>
      <charset val="128"/>
    </font>
    <font>
      <b/>
      <sz val="14"/>
      <name val="メイリオ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 diagonalUp="1">
      <left/>
      <right style="thin">
        <color indexed="64"/>
      </right>
      <top/>
      <bottom style="double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double">
        <color indexed="64"/>
      </bottom>
      <diagonal style="thin">
        <color indexed="64"/>
      </diagonal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 diagonalUp="1">
      <left style="thin">
        <color indexed="64"/>
      </left>
      <right/>
      <top style="double">
        <color indexed="64"/>
      </top>
      <bottom style="double">
        <color indexed="64"/>
      </bottom>
      <diagonal style="thin">
        <color indexed="64"/>
      </diagonal>
    </border>
    <border diagonalUp="1">
      <left/>
      <right style="thin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double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 style="hair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/>
      <right style="medium">
        <color theme="1"/>
      </right>
      <top style="thin">
        <color indexed="64"/>
      </top>
      <bottom style="hair">
        <color indexed="64"/>
      </bottom>
      <diagonal/>
    </border>
    <border>
      <left style="medium">
        <color theme="1"/>
      </left>
      <right style="thin">
        <color indexed="64"/>
      </right>
      <top/>
      <bottom/>
      <diagonal/>
    </border>
    <border diagonalUp="1">
      <left style="thin">
        <color indexed="64"/>
      </left>
      <right style="medium">
        <color theme="1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 style="medium">
        <color theme="1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theme="1"/>
      </right>
      <top style="double">
        <color indexed="64"/>
      </top>
      <bottom style="double">
        <color indexed="64"/>
      </bottom>
      <diagonal/>
    </border>
    <border>
      <left style="medium">
        <color theme="1"/>
      </left>
      <right style="thin">
        <color indexed="64"/>
      </right>
      <top/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indexed="64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ck">
        <color indexed="64"/>
      </right>
      <top style="thin">
        <color theme="1"/>
      </top>
      <bottom/>
      <diagonal/>
    </border>
    <border>
      <left style="thick">
        <color indexed="64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indexed="64"/>
      </left>
      <right style="thin">
        <color indexed="64"/>
      </right>
      <top style="thin">
        <color theme="1"/>
      </top>
      <bottom/>
      <diagonal/>
    </border>
    <border>
      <left style="thick">
        <color indexed="64"/>
      </left>
      <right style="thick">
        <color indexed="64"/>
      </right>
      <top style="thin">
        <color theme="1"/>
      </top>
      <bottom/>
      <diagonal/>
    </border>
    <border>
      <left style="thick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 style="thick">
        <color indexed="64"/>
      </right>
      <top style="thin">
        <color indexed="64"/>
      </top>
      <bottom style="thin">
        <color theme="1"/>
      </bottom>
      <diagonal/>
    </border>
    <border>
      <left style="thick">
        <color indexed="64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theme="1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hair">
        <color indexed="64"/>
      </top>
      <bottom style="thin">
        <color indexed="64"/>
      </bottom>
      <diagonal/>
    </border>
    <border diagonalUp="1">
      <left style="thin">
        <color indexed="64"/>
      </left>
      <right style="medium">
        <color theme="1"/>
      </right>
      <top/>
      <bottom style="double">
        <color indexed="64"/>
      </bottom>
      <diagonal style="thin">
        <color indexed="64"/>
      </diagonal>
    </border>
    <border>
      <left style="thin">
        <color theme="1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auto="1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theme="1"/>
      </left>
      <right style="thin">
        <color theme="1"/>
      </right>
      <top style="dotted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thin">
        <color indexed="64"/>
      </top>
      <bottom/>
      <diagonal/>
    </border>
    <border>
      <left/>
      <right style="medium">
        <color rgb="FF000000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dotted">
        <color indexed="64"/>
      </top>
      <bottom/>
      <diagonal/>
    </border>
    <border>
      <left style="thin">
        <color rgb="FF000000"/>
      </left>
      <right style="thin">
        <color auto="1"/>
      </right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theme="1"/>
      </top>
      <bottom style="thin">
        <color rgb="FF000000"/>
      </bottom>
      <diagonal/>
    </border>
    <border>
      <left/>
      <right style="thin">
        <color indexed="64"/>
      </right>
      <top style="thin">
        <color theme="1"/>
      </top>
      <bottom style="thin">
        <color rgb="FF000000"/>
      </bottom>
      <diagonal/>
    </border>
    <border>
      <left/>
      <right style="thick">
        <color indexed="64"/>
      </right>
      <top style="thin">
        <color theme="1"/>
      </top>
      <bottom style="thin">
        <color rgb="FF000000"/>
      </bottom>
      <diagonal/>
    </border>
    <border>
      <left style="thick">
        <color indexed="64"/>
      </left>
      <right/>
      <top style="thin">
        <color theme="1"/>
      </top>
      <bottom style="thin">
        <color rgb="FF000000"/>
      </bottom>
      <diagonal/>
    </border>
    <border>
      <left/>
      <right/>
      <top style="thin">
        <color theme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rgb="FF000000"/>
      </bottom>
      <diagonal/>
    </border>
    <border>
      <left style="thick">
        <color indexed="64"/>
      </left>
      <right style="thin">
        <color indexed="64"/>
      </right>
      <top style="thin">
        <color theme="1"/>
      </top>
      <bottom style="thin">
        <color rgb="FF000000"/>
      </bottom>
      <diagonal/>
    </border>
    <border>
      <left style="thick">
        <color indexed="64"/>
      </left>
      <right style="thick">
        <color indexed="64"/>
      </right>
      <top style="thin">
        <color theme="1"/>
      </top>
      <bottom style="thin">
        <color rgb="FF000000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000000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>
      <alignment vertical="center"/>
    </xf>
  </cellStyleXfs>
  <cellXfs count="368">
    <xf numFmtId="0" fontId="0" fillId="0" borderId="0" xfId="0"/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 shrinkToFit="1"/>
    </xf>
    <xf numFmtId="176" fontId="5" fillId="0" borderId="0" xfId="0" applyNumberFormat="1" applyFont="1" applyAlignment="1">
      <alignment horizontal="center" vertical="center" shrinkToFit="1"/>
    </xf>
    <xf numFmtId="5" fontId="5" fillId="0" borderId="0" xfId="0" applyNumberFormat="1" applyFont="1" applyAlignment="1">
      <alignment vertical="center" shrinkToFit="1"/>
    </xf>
    <xf numFmtId="6" fontId="5" fillId="0" borderId="0" xfId="0" applyNumberFormat="1" applyFont="1" applyAlignment="1">
      <alignment vertical="center" shrinkToFit="1"/>
    </xf>
    <xf numFmtId="0" fontId="5" fillId="0" borderId="0" xfId="0" applyFont="1" applyAlignment="1">
      <alignment vertical="center" shrinkToFit="1"/>
    </xf>
    <xf numFmtId="0" fontId="6" fillId="0" borderId="0" xfId="0" applyFont="1" applyAlignment="1">
      <alignment vertical="center" shrinkToFit="1"/>
    </xf>
    <xf numFmtId="0" fontId="5" fillId="0" borderId="0" xfId="0" applyFont="1" applyAlignment="1" applyProtection="1">
      <alignment horizontal="center" vertical="center" shrinkToFit="1"/>
      <protection locked="0"/>
    </xf>
    <xf numFmtId="176" fontId="5" fillId="0" borderId="0" xfId="0" applyNumberFormat="1" applyFont="1" applyAlignment="1" applyProtection="1">
      <alignment horizontal="center" vertical="center" shrinkToFit="1"/>
      <protection locked="0"/>
    </xf>
    <xf numFmtId="5" fontId="5" fillId="0" borderId="0" xfId="0" applyNumberFormat="1" applyFont="1" applyAlignment="1" applyProtection="1">
      <alignment vertical="center" shrinkToFit="1"/>
      <protection locked="0"/>
    </xf>
    <xf numFmtId="5" fontId="7" fillId="0" borderId="0" xfId="0" applyNumberFormat="1" applyFont="1" applyAlignment="1" applyProtection="1">
      <alignment horizontal="left" vertical="center" shrinkToFit="1"/>
      <protection locked="0"/>
    </xf>
    <xf numFmtId="177" fontId="8" fillId="0" borderId="5" xfId="0" applyNumberFormat="1" applyFont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center" vertical="center" shrinkToFit="1"/>
    </xf>
    <xf numFmtId="0" fontId="8" fillId="0" borderId="12" xfId="0" applyFont="1" applyBorder="1" applyAlignment="1" applyProtection="1">
      <alignment horizontal="center" vertical="center" shrinkToFit="1"/>
      <protection locked="0"/>
    </xf>
    <xf numFmtId="5" fontId="8" fillId="0" borderId="19" xfId="0" applyNumberFormat="1" applyFont="1" applyBorder="1" applyAlignment="1">
      <alignment horizontal="center" vertical="center" shrinkToFit="1"/>
    </xf>
    <xf numFmtId="5" fontId="8" fillId="2" borderId="22" xfId="0" applyNumberFormat="1" applyFont="1" applyFill="1" applyBorder="1" applyAlignment="1">
      <alignment horizontal="center" vertical="center" shrinkToFit="1"/>
    </xf>
    <xf numFmtId="178" fontId="7" fillId="3" borderId="28" xfId="0" applyNumberFormat="1" applyFont="1" applyFill="1" applyBorder="1" applyAlignment="1" applyProtection="1">
      <alignment vertical="center" shrinkToFit="1"/>
      <protection locked="0"/>
    </xf>
    <xf numFmtId="5" fontId="5" fillId="0" borderId="33" xfId="0" applyNumberFormat="1" applyFont="1" applyBorder="1" applyAlignment="1" applyProtection="1">
      <alignment horizontal="center" vertical="center" shrinkToFit="1"/>
      <protection locked="0"/>
    </xf>
    <xf numFmtId="0" fontId="5" fillId="0" borderId="35" xfId="0" applyFont="1" applyBorder="1" applyAlignment="1" applyProtection="1">
      <alignment horizontal="center" vertical="center" shrinkToFit="1"/>
      <protection locked="0"/>
    </xf>
    <xf numFmtId="179" fontId="5" fillId="0" borderId="38" xfId="0" applyNumberFormat="1" applyFont="1" applyBorder="1" applyAlignment="1" applyProtection="1">
      <alignment vertical="center" shrinkToFit="1"/>
      <protection locked="0"/>
    </xf>
    <xf numFmtId="179" fontId="5" fillId="0" borderId="39" xfId="0" applyNumberFormat="1" applyFont="1" applyBorder="1" applyAlignment="1" applyProtection="1">
      <alignment vertical="center" shrinkToFit="1"/>
      <protection locked="0"/>
    </xf>
    <xf numFmtId="179" fontId="5" fillId="2" borderId="40" xfId="0" applyNumberFormat="1" applyFont="1" applyFill="1" applyBorder="1" applyAlignment="1" applyProtection="1">
      <alignment vertical="center" shrinkToFit="1"/>
      <protection locked="0"/>
    </xf>
    <xf numFmtId="6" fontId="15" fillId="2" borderId="39" xfId="0" applyNumberFormat="1" applyFont="1" applyFill="1" applyBorder="1" applyAlignment="1">
      <alignment vertical="center" shrinkToFit="1"/>
    </xf>
    <xf numFmtId="6" fontId="15" fillId="2" borderId="41" xfId="0" applyNumberFormat="1" applyFont="1" applyFill="1" applyBorder="1" applyAlignment="1">
      <alignment horizontal="center" vertical="center" shrinkToFit="1"/>
    </xf>
    <xf numFmtId="38" fontId="5" fillId="2" borderId="38" xfId="1" applyFont="1" applyFill="1" applyBorder="1" applyAlignment="1">
      <alignment vertical="center" shrinkToFit="1"/>
    </xf>
    <xf numFmtId="0" fontId="6" fillId="0" borderId="42" xfId="0" applyFont="1" applyBorder="1" applyAlignment="1">
      <alignment vertical="center" shrinkToFit="1"/>
    </xf>
    <xf numFmtId="0" fontId="5" fillId="0" borderId="30" xfId="0" applyFont="1" applyBorder="1" applyAlignment="1" applyProtection="1">
      <alignment horizontal="center" vertical="center" shrinkToFit="1"/>
      <protection locked="0"/>
    </xf>
    <xf numFmtId="5" fontId="5" fillId="0" borderId="22" xfId="0" applyNumberFormat="1" applyFont="1" applyBorder="1" applyAlignment="1" applyProtection="1">
      <alignment horizontal="center" vertical="center" shrinkToFit="1"/>
      <protection locked="0"/>
    </xf>
    <xf numFmtId="5" fontId="5" fillId="0" borderId="23" xfId="0" applyNumberFormat="1" applyFont="1" applyBorder="1" applyAlignment="1" applyProtection="1">
      <alignment horizontal="center" vertical="center" shrinkToFit="1"/>
      <protection locked="0"/>
    </xf>
    <xf numFmtId="179" fontId="5" fillId="0" borderId="43" xfId="0" applyNumberFormat="1" applyFont="1" applyBorder="1" applyAlignment="1" applyProtection="1">
      <alignment vertical="center" shrinkToFit="1"/>
      <protection locked="0"/>
    </xf>
    <xf numFmtId="179" fontId="5" fillId="0" borderId="44" xfId="0" applyNumberFormat="1" applyFont="1" applyBorder="1" applyAlignment="1" applyProtection="1">
      <alignment vertical="center" shrinkToFit="1"/>
      <protection locked="0"/>
    </xf>
    <xf numFmtId="179" fontId="5" fillId="2" borderId="30" xfId="0" applyNumberFormat="1" applyFont="1" applyFill="1" applyBorder="1" applyAlignment="1" applyProtection="1">
      <alignment vertical="center" shrinkToFit="1"/>
      <protection locked="0"/>
    </xf>
    <xf numFmtId="179" fontId="5" fillId="2" borderId="31" xfId="0" applyNumberFormat="1" applyFont="1" applyFill="1" applyBorder="1" applyAlignment="1" applyProtection="1">
      <alignment vertical="center" shrinkToFit="1"/>
      <protection locked="0"/>
    </xf>
    <xf numFmtId="6" fontId="15" fillId="2" borderId="43" xfId="0" applyNumberFormat="1" applyFont="1" applyFill="1" applyBorder="1" applyAlignment="1">
      <alignment horizontal="center" vertical="center" shrinkToFit="1"/>
    </xf>
    <xf numFmtId="0" fontId="17" fillId="2" borderId="22" xfId="0" applyFont="1" applyFill="1" applyBorder="1" applyAlignment="1">
      <alignment horizontal="center" vertical="center" shrinkToFit="1"/>
    </xf>
    <xf numFmtId="0" fontId="17" fillId="2" borderId="23" xfId="0" applyFont="1" applyFill="1" applyBorder="1" applyAlignment="1">
      <alignment horizontal="center" vertical="center" shrinkToFit="1"/>
    </xf>
    <xf numFmtId="179" fontId="14" fillId="2" borderId="22" xfId="0" applyNumberFormat="1" applyFont="1" applyFill="1" applyBorder="1" applyAlignment="1">
      <alignment horizontal="center" vertical="center" shrinkToFit="1"/>
    </xf>
    <xf numFmtId="179" fontId="14" fillId="0" borderId="44" xfId="0" applyNumberFormat="1" applyFont="1" applyBorder="1" applyAlignment="1">
      <alignment vertical="center" shrinkToFit="1"/>
    </xf>
    <xf numFmtId="179" fontId="14" fillId="2" borderId="30" xfId="0" applyNumberFormat="1" applyFont="1" applyFill="1" applyBorder="1" applyAlignment="1">
      <alignment vertical="center" shrinkToFit="1"/>
    </xf>
    <xf numFmtId="6" fontId="14" fillId="2" borderId="30" xfId="0" applyNumberFormat="1" applyFont="1" applyFill="1" applyBorder="1" applyAlignment="1">
      <alignment vertical="center" shrinkToFit="1"/>
    </xf>
    <xf numFmtId="6" fontId="14" fillId="2" borderId="30" xfId="0" applyNumberFormat="1" applyFont="1" applyFill="1" applyBorder="1" applyAlignment="1">
      <alignment horizontal="center" vertical="center" shrinkToFit="1"/>
    </xf>
    <xf numFmtId="178" fontId="14" fillId="2" borderId="30" xfId="0" applyNumberFormat="1" applyFont="1" applyFill="1" applyBorder="1" applyAlignment="1">
      <alignment horizontal="center" vertical="center" shrinkToFit="1"/>
    </xf>
    <xf numFmtId="0" fontId="10" fillId="0" borderId="48" xfId="0" applyFont="1" applyBorder="1" applyAlignment="1" applyProtection="1">
      <alignment horizontal="center" vertical="center" shrinkToFit="1"/>
      <protection locked="0"/>
    </xf>
    <xf numFmtId="179" fontId="5" fillId="0" borderId="48" xfId="0" applyNumberFormat="1" applyFont="1" applyBorder="1" applyAlignment="1" applyProtection="1">
      <alignment vertical="center" shrinkToFit="1"/>
      <protection locked="0"/>
    </xf>
    <xf numFmtId="179" fontId="18" fillId="0" borderId="48" xfId="0" applyNumberFormat="1" applyFont="1" applyBorder="1" applyAlignment="1" applyProtection="1">
      <alignment vertical="center" shrinkToFit="1"/>
      <protection locked="0"/>
    </xf>
    <xf numFmtId="6" fontId="15" fillId="0" borderId="48" xfId="0" applyNumberFormat="1" applyFont="1" applyBorder="1" applyAlignment="1" applyProtection="1">
      <alignment vertical="center" shrinkToFit="1"/>
      <protection locked="0"/>
    </xf>
    <xf numFmtId="6" fontId="15" fillId="0" borderId="48" xfId="0" applyNumberFormat="1" applyFont="1" applyBorder="1" applyAlignment="1" applyProtection="1">
      <alignment horizontal="center" vertical="center" shrinkToFit="1"/>
      <protection locked="0"/>
    </xf>
    <xf numFmtId="178" fontId="15" fillId="0" borderId="48" xfId="0" applyNumberFormat="1" applyFont="1" applyBorder="1" applyAlignment="1" applyProtection="1">
      <alignment horizontal="center" vertical="center" shrinkToFit="1"/>
      <protection locked="0"/>
    </xf>
    <xf numFmtId="179" fontId="5" fillId="0" borderId="51" xfId="0" applyNumberFormat="1" applyFont="1" applyBorder="1" applyAlignment="1" applyProtection="1">
      <alignment vertical="center" shrinkToFit="1"/>
      <protection locked="0"/>
    </xf>
    <xf numFmtId="179" fontId="5" fillId="2" borderId="48" xfId="0" applyNumberFormat="1" applyFont="1" applyFill="1" applyBorder="1" applyAlignment="1" applyProtection="1">
      <alignment vertical="center" shrinkToFit="1"/>
      <protection locked="0"/>
    </xf>
    <xf numFmtId="6" fontId="15" fillId="2" borderId="48" xfId="0" applyNumberFormat="1" applyFont="1" applyFill="1" applyBorder="1" applyAlignment="1" applyProtection="1">
      <alignment vertical="center" shrinkToFit="1"/>
      <protection locked="0"/>
    </xf>
    <xf numFmtId="0" fontId="5" fillId="0" borderId="24" xfId="0" applyFont="1" applyBorder="1" applyAlignment="1" applyProtection="1">
      <alignment horizontal="center" vertical="center" shrinkToFit="1"/>
      <protection locked="0"/>
    </xf>
    <xf numFmtId="179" fontId="5" fillId="2" borderId="21" xfId="0" applyNumberFormat="1" applyFont="1" applyFill="1" applyBorder="1" applyAlignment="1">
      <alignment horizontal="center" vertical="center" shrinkToFit="1"/>
    </xf>
    <xf numFmtId="179" fontId="5" fillId="2" borderId="21" xfId="0" applyNumberFormat="1" applyFont="1" applyFill="1" applyBorder="1" applyAlignment="1">
      <alignment vertical="center" shrinkToFit="1"/>
    </xf>
    <xf numFmtId="6" fontId="5" fillId="2" borderId="21" xfId="0" applyNumberFormat="1" applyFont="1" applyFill="1" applyBorder="1" applyAlignment="1">
      <alignment vertical="center" shrinkToFit="1"/>
    </xf>
    <xf numFmtId="6" fontId="5" fillId="2" borderId="21" xfId="0" applyNumberFormat="1" applyFont="1" applyFill="1" applyBorder="1" applyAlignment="1">
      <alignment horizontal="center" vertical="center" shrinkToFit="1"/>
    </xf>
    <xf numFmtId="178" fontId="5" fillId="2" borderId="21" xfId="0" applyNumberFormat="1" applyFont="1" applyFill="1" applyBorder="1" applyAlignment="1">
      <alignment horizontal="center" vertical="center" shrinkToFit="1"/>
    </xf>
    <xf numFmtId="6" fontId="19" fillId="2" borderId="53" xfId="0" applyNumberFormat="1" applyFont="1" applyFill="1" applyBorder="1" applyAlignment="1">
      <alignment horizontal="center" vertical="center" shrinkToFit="1"/>
    </xf>
    <xf numFmtId="0" fontId="6" fillId="0" borderId="0" xfId="0" applyFont="1" applyAlignment="1" applyProtection="1">
      <alignment horizontal="center" vertical="center" shrinkToFit="1"/>
      <protection locked="0"/>
    </xf>
    <xf numFmtId="176" fontId="6" fillId="0" borderId="0" xfId="0" applyNumberFormat="1" applyFont="1" applyAlignment="1" applyProtection="1">
      <alignment horizontal="center" vertical="center" shrinkToFit="1"/>
      <protection locked="0"/>
    </xf>
    <xf numFmtId="5" fontId="6" fillId="0" borderId="0" xfId="0" applyNumberFormat="1" applyFont="1" applyAlignment="1" applyProtection="1">
      <alignment vertical="center" shrinkToFit="1"/>
      <protection locked="0"/>
    </xf>
    <xf numFmtId="6" fontId="6" fillId="0" borderId="0" xfId="0" applyNumberFormat="1" applyFont="1" applyAlignment="1" applyProtection="1">
      <alignment vertical="center" shrinkToFit="1"/>
      <protection locked="0"/>
    </xf>
    <xf numFmtId="176" fontId="6" fillId="0" borderId="0" xfId="0" applyNumberFormat="1" applyFont="1" applyAlignment="1">
      <alignment horizontal="center" vertical="center" shrinkToFit="1"/>
    </xf>
    <xf numFmtId="5" fontId="6" fillId="0" borderId="0" xfId="0" applyNumberFormat="1" applyFont="1" applyAlignment="1">
      <alignment vertical="center" shrinkToFit="1"/>
    </xf>
    <xf numFmtId="6" fontId="6" fillId="0" borderId="0" xfId="0" applyNumberFormat="1" applyFont="1" applyAlignment="1">
      <alignment vertical="center" shrinkToFit="1"/>
    </xf>
    <xf numFmtId="0" fontId="5" fillId="0" borderId="34" xfId="0" applyFont="1" applyBorder="1" applyAlignment="1" applyProtection="1">
      <alignment horizontal="center" vertical="center" shrinkToFit="1"/>
      <protection locked="0"/>
    </xf>
    <xf numFmtId="0" fontId="20" fillId="0" borderId="0" xfId="0" applyFont="1"/>
    <xf numFmtId="178" fontId="5" fillId="0" borderId="39" xfId="0" applyNumberFormat="1" applyFont="1" applyBorder="1" applyAlignment="1">
      <alignment horizontal="center" vertical="center" shrinkToFit="1"/>
    </xf>
    <xf numFmtId="178" fontId="5" fillId="0" borderId="21" xfId="0" applyNumberFormat="1" applyFont="1" applyBorder="1" applyAlignment="1">
      <alignment horizontal="center" vertical="center" shrinkToFit="1"/>
    </xf>
    <xf numFmtId="0" fontId="5" fillId="0" borderId="55" xfId="0" applyFont="1" applyBorder="1" applyAlignment="1" applyProtection="1">
      <alignment horizontal="center" vertical="center" shrinkToFit="1"/>
      <protection locked="0"/>
    </xf>
    <xf numFmtId="0" fontId="5" fillId="0" borderId="56" xfId="0" applyFont="1" applyBorder="1" applyAlignment="1" applyProtection="1">
      <alignment horizontal="center" vertical="center" shrinkToFit="1"/>
      <protection locked="0"/>
    </xf>
    <xf numFmtId="179" fontId="5" fillId="2" borderId="59" xfId="0" applyNumberFormat="1" applyFont="1" applyFill="1" applyBorder="1" applyAlignment="1" applyProtection="1">
      <alignment vertical="center" shrinkToFit="1"/>
      <protection locked="0"/>
    </xf>
    <xf numFmtId="6" fontId="15" fillId="2" borderId="60" xfId="0" applyNumberFormat="1" applyFont="1" applyFill="1" applyBorder="1" applyAlignment="1">
      <alignment vertical="center" shrinkToFit="1"/>
    </xf>
    <xf numFmtId="6" fontId="15" fillId="2" borderId="57" xfId="0" applyNumberFormat="1" applyFont="1" applyFill="1" applyBorder="1" applyAlignment="1">
      <alignment horizontal="center" vertical="center" shrinkToFit="1"/>
    </xf>
    <xf numFmtId="38" fontId="5" fillId="2" borderId="58" xfId="1" applyFont="1" applyFill="1" applyBorder="1" applyAlignment="1">
      <alignment vertical="center" shrinkToFit="1"/>
    </xf>
    <xf numFmtId="179" fontId="5" fillId="0" borderId="58" xfId="0" applyNumberFormat="1" applyFont="1" applyBorder="1" applyAlignment="1" applyProtection="1">
      <alignment vertical="center" shrinkToFit="1"/>
      <protection locked="0"/>
    </xf>
    <xf numFmtId="179" fontId="5" fillId="0" borderId="60" xfId="0" applyNumberFormat="1" applyFont="1" applyBorder="1" applyAlignment="1" applyProtection="1">
      <alignment vertical="center" shrinkToFit="1"/>
      <protection locked="0"/>
    </xf>
    <xf numFmtId="0" fontId="5" fillId="0" borderId="24" xfId="0" applyFont="1" applyBorder="1" applyAlignment="1">
      <alignment horizontal="center" vertical="center" shrinkToFit="1"/>
    </xf>
    <xf numFmtId="0" fontId="5" fillId="0" borderId="25" xfId="0" applyFont="1" applyBorder="1" applyAlignment="1">
      <alignment vertical="center" shrinkToFit="1"/>
    </xf>
    <xf numFmtId="0" fontId="5" fillId="0" borderId="62" xfId="0" applyFont="1" applyBorder="1" applyAlignment="1" applyProtection="1">
      <alignment horizontal="center" vertical="center" shrinkToFit="1"/>
      <protection locked="0"/>
    </xf>
    <xf numFmtId="179" fontId="5" fillId="2" borderId="38" xfId="0" applyNumberFormat="1" applyFont="1" applyFill="1" applyBorder="1" applyAlignment="1" applyProtection="1">
      <alignment vertical="center" shrinkToFit="1"/>
      <protection locked="0"/>
    </xf>
    <xf numFmtId="178" fontId="15" fillId="0" borderId="66" xfId="0" applyNumberFormat="1" applyFont="1" applyBorder="1" applyAlignment="1">
      <alignment horizontal="center" vertical="center" shrinkToFit="1"/>
    </xf>
    <xf numFmtId="178" fontId="15" fillId="0" borderId="67" xfId="0" applyNumberFormat="1" applyFont="1" applyBorder="1" applyAlignment="1">
      <alignment horizontal="center" vertical="center" shrinkToFit="1"/>
    </xf>
    <xf numFmtId="178" fontId="15" fillId="2" borderId="68" xfId="0" applyNumberFormat="1" applyFont="1" applyFill="1" applyBorder="1" applyAlignment="1">
      <alignment horizontal="center" vertical="center" shrinkToFit="1"/>
    </xf>
    <xf numFmtId="179" fontId="14" fillId="0" borderId="69" xfId="0" applyNumberFormat="1" applyFont="1" applyBorder="1" applyAlignment="1" applyProtection="1">
      <alignment horizontal="center" vertical="center" shrinkToFit="1"/>
      <protection locked="0"/>
    </xf>
    <xf numFmtId="179" fontId="14" fillId="0" borderId="60" xfId="0" applyNumberFormat="1" applyFont="1" applyBorder="1" applyAlignment="1" applyProtection="1">
      <alignment horizontal="center" vertical="center" shrinkToFit="1"/>
      <protection locked="0"/>
    </xf>
    <xf numFmtId="179" fontId="5" fillId="2" borderId="21" xfId="0" applyNumberFormat="1" applyFont="1" applyFill="1" applyBorder="1" applyAlignment="1" applyProtection="1">
      <alignment horizontal="center" vertical="center" shrinkToFit="1"/>
      <protection locked="0"/>
    </xf>
    <xf numFmtId="6" fontId="5" fillId="2" borderId="70" xfId="0" applyNumberFormat="1" applyFont="1" applyFill="1" applyBorder="1" applyAlignment="1">
      <alignment vertical="center" shrinkToFit="1"/>
    </xf>
    <xf numFmtId="0" fontId="14" fillId="0" borderId="71" xfId="0" applyFont="1" applyBorder="1" applyAlignment="1" applyProtection="1">
      <alignment horizontal="center" vertical="center" shrinkToFit="1"/>
      <protection locked="0"/>
    </xf>
    <xf numFmtId="0" fontId="5" fillId="0" borderId="73" xfId="0" applyFont="1" applyBorder="1" applyAlignment="1" applyProtection="1">
      <alignment horizontal="center" vertical="center" shrinkToFit="1"/>
      <protection locked="0"/>
    </xf>
    <xf numFmtId="6" fontId="15" fillId="2" borderId="74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75" xfId="0" applyFont="1" applyBorder="1" applyAlignment="1" applyProtection="1">
      <alignment horizontal="center" vertical="center" shrinkToFit="1"/>
      <protection locked="0"/>
    </xf>
    <xf numFmtId="0" fontId="10" fillId="0" borderId="30" xfId="0" applyFont="1" applyBorder="1" applyAlignment="1" applyProtection="1">
      <alignment horizontal="center" vertical="center" shrinkToFit="1"/>
      <protection locked="0"/>
    </xf>
    <xf numFmtId="6" fontId="15" fillId="2" borderId="30" xfId="0" applyNumberFormat="1" applyFont="1" applyFill="1" applyBorder="1" applyAlignment="1">
      <alignment horizontal="center" vertical="center" shrinkToFit="1"/>
    </xf>
    <xf numFmtId="178" fontId="15" fillId="2" borderId="30" xfId="0" applyNumberFormat="1" applyFont="1" applyFill="1" applyBorder="1" applyAlignment="1">
      <alignment horizontal="center" vertical="center" shrinkToFit="1"/>
    </xf>
    <xf numFmtId="6" fontId="15" fillId="2" borderId="72" xfId="0" applyNumberFormat="1" applyFont="1" applyFill="1" applyBorder="1" applyAlignment="1">
      <alignment horizontal="center" vertical="center" shrinkToFit="1"/>
    </xf>
    <xf numFmtId="0" fontId="5" fillId="0" borderId="76" xfId="0" applyFont="1" applyBorder="1" applyAlignment="1" applyProtection="1">
      <alignment horizontal="center" vertical="center" shrinkToFit="1"/>
      <protection locked="0"/>
    </xf>
    <xf numFmtId="5" fontId="14" fillId="0" borderId="77" xfId="0" applyNumberFormat="1" applyFont="1" applyBorder="1" applyAlignment="1" applyProtection="1">
      <alignment horizontal="center" vertical="center" shrinkToFit="1"/>
      <protection locked="0"/>
    </xf>
    <xf numFmtId="5" fontId="14" fillId="0" borderId="78" xfId="0" applyNumberFormat="1" applyFont="1" applyBorder="1" applyAlignment="1" applyProtection="1">
      <alignment horizontal="center" vertical="center" shrinkToFit="1"/>
      <protection locked="0"/>
    </xf>
    <xf numFmtId="179" fontId="14" fillId="0" borderId="77" xfId="0" applyNumberFormat="1" applyFont="1" applyBorder="1" applyAlignment="1" applyProtection="1">
      <alignment horizontal="center" vertical="center" shrinkToFit="1"/>
      <protection locked="0"/>
    </xf>
    <xf numFmtId="179" fontId="16" fillId="0" borderId="77" xfId="0" applyNumberFormat="1" applyFont="1" applyBorder="1" applyAlignment="1" applyProtection="1">
      <alignment vertical="center" shrinkToFit="1"/>
      <protection locked="0"/>
    </xf>
    <xf numFmtId="6" fontId="16" fillId="0" borderId="77" xfId="0" applyNumberFormat="1" applyFont="1" applyBorder="1" applyAlignment="1">
      <alignment vertical="center" shrinkToFit="1"/>
    </xf>
    <xf numFmtId="6" fontId="16" fillId="0" borderId="77" xfId="0" applyNumberFormat="1" applyFont="1" applyBorder="1" applyAlignment="1">
      <alignment horizontal="center" vertical="center" shrinkToFit="1"/>
    </xf>
    <xf numFmtId="6" fontId="16" fillId="0" borderId="80" xfId="0" applyNumberFormat="1" applyFont="1" applyBorder="1" applyAlignment="1">
      <alignment horizontal="center" vertical="center" shrinkToFit="1"/>
    </xf>
    <xf numFmtId="0" fontId="5" fillId="0" borderId="81" xfId="0" applyFont="1" applyBorder="1" applyAlignment="1" applyProtection="1">
      <alignment horizontal="center" vertical="center" wrapText="1" shrinkToFit="1"/>
      <protection locked="0"/>
    </xf>
    <xf numFmtId="0" fontId="5" fillId="0" borderId="82" xfId="0" applyFont="1" applyBorder="1" applyAlignment="1" applyProtection="1">
      <alignment horizontal="center" vertical="center" shrinkToFit="1"/>
      <protection locked="0"/>
    </xf>
    <xf numFmtId="0" fontId="5" fillId="0" borderId="39" xfId="0" applyFont="1" applyBorder="1" applyAlignment="1" applyProtection="1">
      <alignment horizontal="center" vertical="center" shrinkToFit="1"/>
      <protection locked="0"/>
    </xf>
    <xf numFmtId="179" fontId="14" fillId="0" borderId="39" xfId="0" applyNumberFormat="1" applyFont="1" applyBorder="1" applyAlignment="1" applyProtection="1">
      <alignment horizontal="center" vertical="center" shrinkToFit="1"/>
      <protection locked="0"/>
    </xf>
    <xf numFmtId="0" fontId="5" fillId="0" borderId="60" xfId="0" applyFont="1" applyBorder="1" applyAlignment="1" applyProtection="1">
      <alignment horizontal="center" vertical="center" shrinkToFit="1"/>
      <protection locked="0"/>
    </xf>
    <xf numFmtId="179" fontId="14" fillId="0" borderId="21" xfId="0" applyNumberFormat="1" applyFont="1" applyBorder="1" applyAlignment="1" applyProtection="1">
      <alignment horizontal="center" vertical="center" shrinkToFit="1"/>
      <protection locked="0"/>
    </xf>
    <xf numFmtId="179" fontId="5" fillId="0" borderId="25" xfId="0" applyNumberFormat="1" applyFont="1" applyBorder="1" applyAlignment="1" applyProtection="1">
      <alignment vertical="center" shrinkToFit="1"/>
      <protection locked="0"/>
    </xf>
    <xf numFmtId="179" fontId="5" fillId="0" borderId="21" xfId="0" applyNumberFormat="1" applyFont="1" applyBorder="1" applyAlignment="1" applyProtection="1">
      <alignment vertical="center" shrinkToFit="1"/>
      <protection locked="0"/>
    </xf>
    <xf numFmtId="0" fontId="5" fillId="0" borderId="21" xfId="0" applyFont="1" applyBorder="1" applyAlignment="1" applyProtection="1">
      <alignment horizontal="center" vertical="center" shrinkToFit="1"/>
      <protection locked="0"/>
    </xf>
    <xf numFmtId="5" fontId="5" fillId="0" borderId="78" xfId="0" applyNumberFormat="1" applyFont="1" applyBorder="1" applyAlignment="1">
      <alignment horizontal="center" vertical="center" shrinkToFit="1"/>
    </xf>
    <xf numFmtId="5" fontId="5" fillId="0" borderId="79" xfId="0" applyNumberFormat="1" applyFont="1" applyBorder="1" applyAlignment="1">
      <alignment vertical="center" shrinkToFit="1"/>
    </xf>
    <xf numFmtId="5" fontId="5" fillId="0" borderId="84" xfId="0" applyNumberFormat="1" applyFont="1" applyBorder="1" applyAlignment="1">
      <alignment horizontal="center" vertical="center" shrinkToFit="1"/>
    </xf>
    <xf numFmtId="179" fontId="5" fillId="0" borderId="77" xfId="0" applyNumberFormat="1" applyFont="1" applyBorder="1" applyAlignment="1" applyProtection="1">
      <alignment horizontal="center" vertical="center" shrinkToFit="1"/>
      <protection locked="0"/>
    </xf>
    <xf numFmtId="179" fontId="5" fillId="0" borderId="77" xfId="0" applyNumberFormat="1" applyFont="1" applyBorder="1" applyAlignment="1" applyProtection="1">
      <alignment vertical="center" shrinkToFit="1"/>
      <protection locked="0"/>
    </xf>
    <xf numFmtId="179" fontId="5" fillId="2" borderId="87" xfId="0" applyNumberFormat="1" applyFont="1" applyFill="1" applyBorder="1" applyAlignment="1" applyProtection="1">
      <alignment vertical="center" shrinkToFit="1"/>
      <protection locked="0"/>
    </xf>
    <xf numFmtId="6" fontId="15" fillId="2" borderId="77" xfId="0" applyNumberFormat="1" applyFont="1" applyFill="1" applyBorder="1" applyAlignment="1">
      <alignment vertical="center" shrinkToFit="1"/>
    </xf>
    <xf numFmtId="6" fontId="15" fillId="2" borderId="78" xfId="0" applyNumberFormat="1" applyFont="1" applyFill="1" applyBorder="1" applyAlignment="1">
      <alignment horizontal="center" vertical="center" shrinkToFit="1"/>
    </xf>
    <xf numFmtId="178" fontId="15" fillId="0" borderId="88" xfId="0" applyNumberFormat="1" applyFont="1" applyBorder="1" applyAlignment="1">
      <alignment horizontal="center" vertical="center" shrinkToFit="1"/>
    </xf>
    <xf numFmtId="6" fontId="5" fillId="2" borderId="89" xfId="0" applyNumberFormat="1" applyFont="1" applyFill="1" applyBorder="1" applyAlignment="1">
      <alignment vertical="center" shrinkToFit="1"/>
    </xf>
    <xf numFmtId="5" fontId="5" fillId="0" borderId="90" xfId="0" applyNumberFormat="1" applyFont="1" applyBorder="1" applyAlignment="1">
      <alignment horizontal="center" vertical="center" shrinkToFit="1"/>
    </xf>
    <xf numFmtId="5" fontId="5" fillId="0" borderId="91" xfId="0" applyNumberFormat="1" applyFont="1" applyBorder="1" applyAlignment="1">
      <alignment vertical="center" shrinkToFit="1"/>
    </xf>
    <xf numFmtId="5" fontId="5" fillId="0" borderId="92" xfId="0" applyNumberFormat="1" applyFont="1" applyBorder="1" applyAlignment="1">
      <alignment horizontal="center" vertical="center" shrinkToFit="1"/>
    </xf>
    <xf numFmtId="179" fontId="5" fillId="0" borderId="95" xfId="0" applyNumberFormat="1" applyFont="1" applyBorder="1" applyAlignment="1" applyProtection="1">
      <alignment horizontal="center" vertical="center" shrinkToFit="1"/>
      <protection locked="0"/>
    </xf>
    <xf numFmtId="179" fontId="5" fillId="0" borderId="95" xfId="0" applyNumberFormat="1" applyFont="1" applyBorder="1" applyAlignment="1" applyProtection="1">
      <alignment vertical="center" shrinkToFit="1"/>
      <protection locked="0"/>
    </xf>
    <xf numFmtId="179" fontId="5" fillId="2" borderId="96" xfId="0" applyNumberFormat="1" applyFont="1" applyFill="1" applyBorder="1" applyAlignment="1" applyProtection="1">
      <alignment vertical="center" shrinkToFit="1"/>
      <protection locked="0"/>
    </xf>
    <xf numFmtId="6" fontId="15" fillId="2" borderId="95" xfId="0" applyNumberFormat="1" applyFont="1" applyFill="1" applyBorder="1" applyAlignment="1">
      <alignment vertical="center" shrinkToFit="1"/>
    </xf>
    <xf numFmtId="6" fontId="15" fillId="2" borderId="90" xfId="0" applyNumberFormat="1" applyFont="1" applyFill="1" applyBorder="1" applyAlignment="1">
      <alignment horizontal="center" vertical="center" shrinkToFit="1"/>
    </xf>
    <xf numFmtId="178" fontId="15" fillId="0" borderId="97" xfId="0" applyNumberFormat="1" applyFont="1" applyBorder="1" applyAlignment="1">
      <alignment horizontal="center" vertical="center" shrinkToFit="1"/>
    </xf>
    <xf numFmtId="6" fontId="5" fillId="2" borderId="98" xfId="0" applyNumberFormat="1" applyFont="1" applyFill="1" applyBorder="1" applyAlignment="1">
      <alignment vertical="center" shrinkToFit="1"/>
    </xf>
    <xf numFmtId="0" fontId="5" fillId="0" borderId="21" xfId="0" applyFont="1" applyBorder="1" applyAlignment="1">
      <alignment horizontal="center" vertical="center" shrinkToFit="1"/>
    </xf>
    <xf numFmtId="179" fontId="5" fillId="2" borderId="99" xfId="0" applyNumberFormat="1" applyFont="1" applyFill="1" applyBorder="1" applyAlignment="1" applyProtection="1">
      <alignment horizontal="center" vertical="center" shrinkToFit="1"/>
      <protection locked="0"/>
    </xf>
    <xf numFmtId="178" fontId="15" fillId="2" borderId="63" xfId="0" applyNumberFormat="1" applyFont="1" applyFill="1" applyBorder="1" applyAlignment="1">
      <alignment horizontal="center" vertical="center" shrinkToFit="1"/>
    </xf>
    <xf numFmtId="0" fontId="5" fillId="0" borderId="102" xfId="0" applyFont="1" applyBorder="1" applyAlignment="1" applyProtection="1">
      <alignment horizontal="center" vertical="center" shrinkToFit="1"/>
      <protection locked="0"/>
    </xf>
    <xf numFmtId="0" fontId="10" fillId="0" borderId="103" xfId="0" applyFont="1" applyBorder="1" applyAlignment="1" applyProtection="1">
      <alignment horizontal="center" vertical="center" shrinkToFit="1"/>
      <protection locked="0"/>
    </xf>
    <xf numFmtId="179" fontId="5" fillId="0" borderId="103" xfId="0" applyNumberFormat="1" applyFont="1" applyBorder="1" applyAlignment="1" applyProtection="1">
      <alignment vertical="center" shrinkToFit="1"/>
      <protection locked="0"/>
    </xf>
    <xf numFmtId="179" fontId="18" fillId="0" borderId="103" xfId="0" applyNumberFormat="1" applyFont="1" applyBorder="1" applyAlignment="1" applyProtection="1">
      <alignment vertical="center" shrinkToFit="1"/>
      <protection locked="0"/>
    </xf>
    <xf numFmtId="6" fontId="15" fillId="0" borderId="103" xfId="0" applyNumberFormat="1" applyFont="1" applyBorder="1" applyAlignment="1" applyProtection="1">
      <alignment vertical="center" shrinkToFit="1"/>
      <protection locked="0"/>
    </xf>
    <xf numFmtId="6" fontId="15" fillId="0" borderId="103" xfId="0" applyNumberFormat="1" applyFont="1" applyBorder="1" applyAlignment="1" applyProtection="1">
      <alignment horizontal="center" vertical="center" shrinkToFit="1"/>
      <protection locked="0"/>
    </xf>
    <xf numFmtId="178" fontId="15" fillId="0" borderId="103" xfId="0" applyNumberFormat="1" applyFont="1" applyBorder="1" applyAlignment="1" applyProtection="1">
      <alignment horizontal="center" vertical="center" shrinkToFit="1"/>
      <protection locked="0"/>
    </xf>
    <xf numFmtId="6" fontId="15" fillId="0" borderId="61" xfId="0" applyNumberFormat="1" applyFont="1" applyBorder="1" applyAlignment="1" applyProtection="1">
      <alignment horizontal="center" vertical="center" shrinkToFit="1"/>
      <protection locked="0"/>
    </xf>
    <xf numFmtId="0" fontId="5" fillId="0" borderId="95" xfId="0" applyFont="1" applyBorder="1" applyAlignment="1" applyProtection="1">
      <alignment horizontal="center" vertical="center" shrinkToFit="1"/>
      <protection locked="0"/>
    </xf>
    <xf numFmtId="0" fontId="10" fillId="0" borderId="95" xfId="0" applyFont="1" applyBorder="1" applyAlignment="1" applyProtection="1">
      <alignment horizontal="center" vertical="center" shrinkToFit="1"/>
      <protection locked="0"/>
    </xf>
    <xf numFmtId="179" fontId="18" fillId="0" borderId="95" xfId="0" applyNumberFormat="1" applyFont="1" applyBorder="1" applyAlignment="1" applyProtection="1">
      <alignment vertical="center" shrinkToFit="1"/>
      <protection locked="0"/>
    </xf>
    <xf numFmtId="6" fontId="15" fillId="0" borderId="95" xfId="0" applyNumberFormat="1" applyFont="1" applyBorder="1" applyAlignment="1" applyProtection="1">
      <alignment vertical="center" shrinkToFit="1"/>
      <protection locked="0"/>
    </xf>
    <xf numFmtId="6" fontId="15" fillId="0" borderId="95" xfId="0" applyNumberFormat="1" applyFont="1" applyBorder="1" applyAlignment="1" applyProtection="1">
      <alignment horizontal="center" vertical="center" shrinkToFit="1"/>
      <protection locked="0"/>
    </xf>
    <xf numFmtId="178" fontId="15" fillId="0" borderId="95" xfId="0" applyNumberFormat="1" applyFont="1" applyBorder="1" applyAlignment="1" applyProtection="1">
      <alignment horizontal="center" vertical="center" shrinkToFit="1"/>
      <protection locked="0"/>
    </xf>
    <xf numFmtId="5" fontId="5" fillId="0" borderId="99" xfId="0" applyNumberFormat="1" applyFont="1" applyBorder="1" applyAlignment="1" applyProtection="1">
      <alignment horizontal="center" vertical="center" shrinkToFit="1"/>
      <protection locked="0"/>
    </xf>
    <xf numFmtId="5" fontId="8" fillId="0" borderId="5" xfId="0" applyNumberFormat="1" applyFont="1" applyBorder="1" applyAlignment="1" applyProtection="1">
      <alignment horizontal="center" vertical="center" shrinkToFit="1"/>
      <protection locked="0"/>
    </xf>
    <xf numFmtId="5" fontId="8" fillId="0" borderId="12" xfId="0" applyNumberFormat="1" applyFont="1" applyBorder="1" applyAlignment="1">
      <alignment horizontal="center" vertical="center" shrinkToFit="1"/>
    </xf>
    <xf numFmtId="5" fontId="8" fillId="0" borderId="19" xfId="0" applyNumberFormat="1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49" fontId="5" fillId="0" borderId="36" xfId="0" applyNumberFormat="1" applyFont="1" applyBorder="1" applyAlignment="1" applyProtection="1">
      <alignment horizontal="center" vertical="center" shrinkToFit="1"/>
      <protection locked="0"/>
    </xf>
    <xf numFmtId="49" fontId="5" fillId="0" borderId="57" xfId="0" applyNumberFormat="1" applyFont="1" applyBorder="1" applyAlignment="1" applyProtection="1">
      <alignment horizontal="center" vertical="center" shrinkToFit="1"/>
      <protection locked="0"/>
    </xf>
    <xf numFmtId="49" fontId="5" fillId="0" borderId="41" xfId="0" applyNumberFormat="1" applyFont="1" applyBorder="1" applyAlignment="1" applyProtection="1">
      <alignment horizontal="center" vertical="center" shrinkToFit="1"/>
      <protection locked="0"/>
    </xf>
    <xf numFmtId="6" fontId="14" fillId="2" borderId="106" xfId="0" applyNumberFormat="1" applyFont="1" applyFill="1" applyBorder="1" applyAlignment="1">
      <alignment horizontal="center" vertical="center" shrinkToFit="1"/>
    </xf>
    <xf numFmtId="6" fontId="5" fillId="2" borderId="105" xfId="0" applyNumberFormat="1" applyFont="1" applyFill="1" applyBorder="1" applyAlignment="1">
      <alignment vertical="center" shrinkToFit="1"/>
    </xf>
    <xf numFmtId="0" fontId="8" fillId="0" borderId="76" xfId="0" applyFont="1" applyBorder="1" applyAlignment="1" applyProtection="1">
      <alignment horizontal="center" vertical="center" shrinkToFit="1"/>
      <protection locked="0"/>
    </xf>
    <xf numFmtId="0" fontId="8" fillId="0" borderId="83" xfId="0" applyFont="1" applyBorder="1" applyAlignment="1" applyProtection="1">
      <alignment horizontal="center" vertical="center" shrinkToFit="1"/>
      <protection locked="0"/>
    </xf>
    <xf numFmtId="5" fontId="5" fillId="0" borderId="93" xfId="0" applyNumberFormat="1" applyFont="1" applyBorder="1" applyAlignment="1" applyProtection="1">
      <alignment horizontal="center" vertical="center" shrinkToFit="1"/>
      <protection locked="0"/>
    </xf>
    <xf numFmtId="5" fontId="5" fillId="0" borderId="94" xfId="0" applyNumberFormat="1" applyFont="1" applyBorder="1" applyAlignment="1" applyProtection="1">
      <alignment horizontal="center" vertical="center" shrinkToFit="1"/>
      <protection locked="0"/>
    </xf>
    <xf numFmtId="5" fontId="5" fillId="0" borderId="90" xfId="0" applyNumberFormat="1" applyFont="1" applyBorder="1" applyAlignment="1" applyProtection="1">
      <alignment horizontal="center" vertical="center" shrinkToFit="1"/>
      <protection locked="0"/>
    </xf>
    <xf numFmtId="5" fontId="5" fillId="0" borderId="91" xfId="0" applyNumberFormat="1" applyFont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left" vertical="center" shrinkToFit="1"/>
    </xf>
    <xf numFmtId="180" fontId="14" fillId="2" borderId="31" xfId="0" applyNumberFormat="1" applyFont="1" applyFill="1" applyBorder="1" applyAlignment="1">
      <alignment horizontal="center" vertical="center" shrinkToFit="1"/>
    </xf>
    <xf numFmtId="180" fontId="14" fillId="2" borderId="32" xfId="0" applyNumberFormat="1" applyFont="1" applyFill="1" applyBorder="1" applyAlignment="1">
      <alignment horizontal="center" vertical="center" shrinkToFit="1"/>
    </xf>
    <xf numFmtId="0" fontId="10" fillId="0" borderId="49" xfId="0" applyFont="1" applyBorder="1" applyAlignment="1" applyProtection="1">
      <alignment horizontal="center" vertical="center" shrinkToFit="1"/>
      <protection locked="0"/>
    </xf>
    <xf numFmtId="0" fontId="10" fillId="0" borderId="50" xfId="0" applyFont="1" applyBorder="1" applyAlignment="1" applyProtection="1">
      <alignment horizontal="center" vertical="center" shrinkToFit="1"/>
      <protection locked="0"/>
    </xf>
    <xf numFmtId="5" fontId="5" fillId="0" borderId="85" xfId="0" applyNumberFormat="1" applyFont="1" applyBorder="1" applyAlignment="1" applyProtection="1">
      <alignment horizontal="center" vertical="center" shrinkToFit="1"/>
      <protection locked="0"/>
    </xf>
    <xf numFmtId="5" fontId="5" fillId="0" borderId="86" xfId="0" applyNumberFormat="1" applyFont="1" applyBorder="1" applyAlignment="1" applyProtection="1">
      <alignment horizontal="center" vertical="center" shrinkToFit="1"/>
      <protection locked="0"/>
    </xf>
    <xf numFmtId="5" fontId="5" fillId="0" borderId="78" xfId="0" applyNumberFormat="1" applyFont="1" applyBorder="1" applyAlignment="1" applyProtection="1">
      <alignment horizontal="center" vertical="center" shrinkToFit="1"/>
      <protection locked="0"/>
    </xf>
    <xf numFmtId="5" fontId="5" fillId="0" borderId="79" xfId="0" applyNumberFormat="1" applyFont="1" applyBorder="1" applyAlignment="1" applyProtection="1">
      <alignment horizontal="center" vertical="center" shrinkToFit="1"/>
      <protection locked="0"/>
    </xf>
    <xf numFmtId="0" fontId="5" fillId="0" borderId="24" xfId="0" applyFont="1" applyBorder="1" applyAlignment="1">
      <alignment horizontal="center" vertical="center" shrinkToFit="1"/>
    </xf>
    <xf numFmtId="0" fontId="5" fillId="0" borderId="25" xfId="0" applyFont="1" applyBorder="1" applyAlignment="1">
      <alignment horizontal="center" vertical="center" shrinkToFit="1"/>
    </xf>
    <xf numFmtId="179" fontId="5" fillId="2" borderId="52" xfId="0" applyNumberFormat="1" applyFont="1" applyFill="1" applyBorder="1" applyAlignment="1">
      <alignment horizontal="center" vertical="center" shrinkToFit="1"/>
    </xf>
    <xf numFmtId="179" fontId="5" fillId="2" borderId="25" xfId="0" applyNumberFormat="1" applyFont="1" applyFill="1" applyBorder="1" applyAlignment="1">
      <alignment horizontal="center" vertical="center" shrinkToFit="1"/>
    </xf>
    <xf numFmtId="5" fontId="5" fillId="2" borderId="104" xfId="0" applyNumberFormat="1" applyFont="1" applyFill="1" applyBorder="1" applyAlignment="1">
      <alignment horizontal="center" vertical="center" shrinkToFit="1"/>
    </xf>
    <xf numFmtId="0" fontId="5" fillId="2" borderId="101" xfId="0" applyFont="1" applyFill="1" applyBorder="1" applyAlignment="1">
      <alignment vertical="center" shrinkToFit="1"/>
    </xf>
    <xf numFmtId="5" fontId="5" fillId="2" borderId="100" xfId="0" applyNumberFormat="1" applyFont="1" applyFill="1" applyBorder="1" applyAlignment="1">
      <alignment horizontal="center" vertical="center" shrinkToFit="1"/>
    </xf>
    <xf numFmtId="179" fontId="5" fillId="0" borderId="41" xfId="0" applyNumberFormat="1" applyFont="1" applyBorder="1" applyAlignment="1" applyProtection="1">
      <alignment horizontal="center" vertical="center" shrinkToFit="1"/>
      <protection locked="0"/>
    </xf>
    <xf numFmtId="0" fontId="5" fillId="0" borderId="38" xfId="0" applyFont="1" applyBorder="1" applyAlignment="1" applyProtection="1">
      <alignment horizontal="center" vertical="center" shrinkToFit="1"/>
      <protection locked="0"/>
    </xf>
    <xf numFmtId="179" fontId="5" fillId="0" borderId="57" xfId="0" applyNumberFormat="1" applyFont="1" applyBorder="1" applyAlignment="1" applyProtection="1">
      <alignment horizontal="center" vertical="center" shrinkToFit="1"/>
      <protection locked="0"/>
    </xf>
    <xf numFmtId="0" fontId="5" fillId="0" borderId="58" xfId="0" applyFont="1" applyBorder="1" applyAlignment="1" applyProtection="1">
      <alignment horizontal="center" vertical="center" shrinkToFit="1"/>
      <protection locked="0"/>
    </xf>
    <xf numFmtId="5" fontId="5" fillId="2" borderId="24" xfId="0" applyNumberFormat="1" applyFont="1" applyFill="1" applyBorder="1" applyAlignment="1">
      <alignment horizontal="center" vertical="center" shrinkToFit="1"/>
    </xf>
    <xf numFmtId="0" fontId="5" fillId="2" borderId="25" xfId="0" applyFont="1" applyFill="1" applyBorder="1" applyAlignment="1">
      <alignment vertical="center" shrinkToFit="1"/>
    </xf>
    <xf numFmtId="0" fontId="5" fillId="0" borderId="45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5" fillId="0" borderId="0" xfId="0" applyFont="1" applyAlignment="1" applyProtection="1">
      <alignment horizontal="center" vertical="center" shrinkToFit="1"/>
      <protection locked="0"/>
    </xf>
    <xf numFmtId="0" fontId="5" fillId="0" borderId="47" xfId="0" applyFont="1" applyBorder="1" applyAlignment="1" applyProtection="1">
      <alignment horizontal="center" vertical="center" shrinkToFit="1"/>
      <protection locked="0"/>
    </xf>
    <xf numFmtId="5" fontId="14" fillId="0" borderId="78" xfId="0" applyNumberFormat="1" applyFont="1" applyBorder="1" applyAlignment="1" applyProtection="1">
      <alignment horizontal="center" vertical="center" shrinkToFit="1"/>
      <protection locked="0"/>
    </xf>
    <xf numFmtId="5" fontId="14" fillId="0" borderId="79" xfId="0" applyNumberFormat="1" applyFont="1" applyBorder="1" applyAlignment="1" applyProtection="1">
      <alignment horizontal="center" vertical="center" shrinkToFit="1"/>
      <protection locked="0"/>
    </xf>
    <xf numFmtId="5" fontId="5" fillId="2" borderId="14" xfId="0" applyNumberFormat="1" applyFont="1" applyFill="1" applyBorder="1" applyAlignment="1" applyProtection="1">
      <alignment horizontal="center" vertical="center" shrinkToFit="1"/>
      <protection locked="0"/>
    </xf>
    <xf numFmtId="6" fontId="5" fillId="2" borderId="14" xfId="0" applyNumberFormat="1" applyFont="1" applyFill="1" applyBorder="1" applyAlignment="1">
      <alignment horizontal="center" vertical="center" shrinkToFit="1"/>
    </xf>
    <xf numFmtId="0" fontId="13" fillId="2" borderId="23" xfId="0" applyFont="1" applyFill="1" applyBorder="1" applyAlignment="1">
      <alignment horizontal="center" vertical="center" wrapText="1" shrinkToFit="1"/>
    </xf>
    <xf numFmtId="0" fontId="5" fillId="2" borderId="23" xfId="0" applyFont="1" applyFill="1" applyBorder="1" applyAlignment="1">
      <alignment horizontal="center" vertical="center" shrinkToFit="1"/>
    </xf>
    <xf numFmtId="0" fontId="5" fillId="0" borderId="54" xfId="0" applyFont="1" applyBorder="1" applyAlignment="1">
      <alignment horizontal="center" vertical="center" wrapText="1" shrinkToFit="1"/>
    </xf>
    <xf numFmtId="0" fontId="5" fillId="0" borderId="29" xfId="0" applyFont="1" applyBorder="1" applyAlignment="1">
      <alignment horizontal="center" vertical="center" wrapText="1" shrinkToFit="1"/>
    </xf>
    <xf numFmtId="0" fontId="10" fillId="0" borderId="26" xfId="0" applyFont="1" applyBorder="1" applyAlignment="1">
      <alignment horizontal="center" vertical="center" wrapText="1" shrinkToFit="1"/>
    </xf>
    <xf numFmtId="0" fontId="10" fillId="0" borderId="30" xfId="0" applyFont="1" applyBorder="1" applyAlignment="1">
      <alignment horizontal="center" vertical="center" wrapText="1" shrinkToFit="1"/>
    </xf>
    <xf numFmtId="0" fontId="10" fillId="0" borderId="27" xfId="0" applyFont="1" applyBorder="1" applyAlignment="1">
      <alignment horizontal="center" vertical="center" wrapText="1" shrinkToFit="1"/>
    </xf>
    <xf numFmtId="0" fontId="10" fillId="0" borderId="31" xfId="0" applyFont="1" applyBorder="1" applyAlignment="1">
      <alignment horizontal="center" vertical="center" wrapText="1" shrinkToFit="1"/>
    </xf>
    <xf numFmtId="176" fontId="5" fillId="0" borderId="27" xfId="0" applyNumberFormat="1" applyFont="1" applyBorder="1" applyAlignment="1">
      <alignment horizontal="center" vertical="center" shrinkToFit="1"/>
    </xf>
    <xf numFmtId="0" fontId="5" fillId="0" borderId="8" xfId="0" applyFont="1" applyBorder="1" applyAlignment="1">
      <alignment horizontal="center" vertical="center" shrinkToFit="1"/>
    </xf>
    <xf numFmtId="0" fontId="5" fillId="0" borderId="31" xfId="0" applyFont="1" applyBorder="1" applyAlignment="1">
      <alignment horizontal="center" vertical="center" shrinkToFit="1"/>
    </xf>
    <xf numFmtId="0" fontId="5" fillId="0" borderId="32" xfId="0" applyFont="1" applyBorder="1" applyAlignment="1">
      <alignment horizontal="center" vertical="center" shrinkToFit="1"/>
    </xf>
    <xf numFmtId="5" fontId="8" fillId="0" borderId="23" xfId="0" applyNumberFormat="1" applyFont="1" applyBorder="1" applyAlignment="1" applyProtection="1">
      <alignment horizontal="center" vertical="center" shrinkToFit="1"/>
      <protection locked="0"/>
    </xf>
    <xf numFmtId="5" fontId="8" fillId="0" borderId="0" xfId="0" applyNumberFormat="1" applyFont="1" applyAlignment="1" applyProtection="1">
      <alignment horizontal="center" vertical="center" shrinkToFit="1"/>
      <protection locked="0"/>
    </xf>
    <xf numFmtId="0" fontId="5" fillId="2" borderId="64" xfId="0" applyFont="1" applyFill="1" applyBorder="1" applyAlignment="1">
      <alignment horizontal="center" vertical="center" shrinkToFit="1"/>
    </xf>
    <xf numFmtId="0" fontId="5" fillId="2" borderId="65" xfId="0" applyFont="1" applyFill="1" applyBorder="1" applyAlignment="1">
      <alignment horizontal="center" vertical="center" shrinkToFit="1"/>
    </xf>
    <xf numFmtId="0" fontId="5" fillId="2" borderId="14" xfId="0" applyFont="1" applyFill="1" applyBorder="1" applyAlignment="1">
      <alignment horizontal="center" vertical="center" wrapText="1" shrinkToFit="1"/>
    </xf>
    <xf numFmtId="179" fontId="5" fillId="0" borderId="36" xfId="0" applyNumberFormat="1" applyFont="1" applyBorder="1" applyAlignment="1" applyProtection="1">
      <alignment horizontal="center" vertical="center" shrinkToFit="1"/>
      <protection locked="0"/>
    </xf>
    <xf numFmtId="0" fontId="5" fillId="0" borderId="37" xfId="0" applyFont="1" applyBorder="1" applyAlignment="1" applyProtection="1">
      <alignment horizontal="center" vertical="center" shrinkToFit="1"/>
      <protection locked="0"/>
    </xf>
    <xf numFmtId="5" fontId="11" fillId="0" borderId="54" xfId="0" applyNumberFormat="1" applyFont="1" applyBorder="1" applyAlignment="1" applyProtection="1">
      <alignment horizontal="center" vertical="center" wrapText="1" shrinkToFit="1"/>
      <protection locked="0"/>
    </xf>
    <xf numFmtId="5" fontId="11" fillId="0" borderId="29" xfId="0" applyNumberFormat="1" applyFont="1" applyBorder="1" applyAlignment="1" applyProtection="1">
      <alignment horizontal="center" vertical="center" wrapText="1" shrinkToFit="1"/>
      <protection locked="0"/>
    </xf>
    <xf numFmtId="5" fontId="7" fillId="0" borderId="0" xfId="0" applyNumberFormat="1" applyFont="1" applyAlignment="1" applyProtection="1">
      <alignment horizontal="left" vertical="center" shrinkToFit="1"/>
      <protection locked="0"/>
    </xf>
    <xf numFmtId="177" fontId="8" fillId="0" borderId="1" xfId="0" applyNumberFormat="1" applyFont="1" applyBorder="1" applyAlignment="1">
      <alignment horizontal="center" vertical="center" shrinkToFit="1"/>
    </xf>
    <xf numFmtId="177" fontId="8" fillId="0" borderId="2" xfId="0" applyNumberFormat="1" applyFont="1" applyBorder="1" applyAlignment="1">
      <alignment horizontal="center" vertical="center" shrinkToFit="1"/>
    </xf>
    <xf numFmtId="177" fontId="8" fillId="0" borderId="1" xfId="0" applyNumberFormat="1" applyFont="1" applyBorder="1" applyAlignment="1" applyProtection="1">
      <alignment horizontal="center" vertical="center" shrinkToFit="1"/>
      <protection locked="0"/>
    </xf>
    <xf numFmtId="177" fontId="8" fillId="0" borderId="3" xfId="0" applyNumberFormat="1" applyFont="1" applyBorder="1" applyAlignment="1" applyProtection="1">
      <alignment horizontal="center" vertical="center" shrinkToFit="1"/>
      <protection locked="0"/>
    </xf>
    <xf numFmtId="177" fontId="8" fillId="0" borderId="4" xfId="0" applyNumberFormat="1" applyFont="1" applyBorder="1" applyAlignment="1" applyProtection="1">
      <alignment horizontal="center" vertical="center" shrinkToFit="1"/>
      <protection locked="0"/>
    </xf>
    <xf numFmtId="5" fontId="8" fillId="0" borderId="6" xfId="0" applyNumberFormat="1" applyFont="1" applyBorder="1" applyAlignment="1" applyProtection="1">
      <alignment horizontal="center" vertical="center" shrinkToFit="1"/>
      <protection locked="0"/>
    </xf>
    <xf numFmtId="5" fontId="8" fillId="0" borderId="5" xfId="0" applyNumberFormat="1" applyFont="1" applyBorder="1" applyAlignment="1" applyProtection="1">
      <alignment horizontal="center" vertical="center" shrinkToFit="1"/>
      <protection locked="0"/>
    </xf>
    <xf numFmtId="5" fontId="8" fillId="0" borderId="7" xfId="0" applyNumberFormat="1" applyFont="1" applyBorder="1" applyAlignment="1" applyProtection="1">
      <alignment horizontal="center" vertical="center" shrinkToFit="1"/>
      <protection locked="0"/>
    </xf>
    <xf numFmtId="5" fontId="8" fillId="0" borderId="8" xfId="0" applyNumberFormat="1" applyFont="1" applyBorder="1" applyAlignment="1" applyProtection="1">
      <alignment horizontal="center" vertical="center" shrinkToFit="1"/>
      <protection locked="0"/>
    </xf>
    <xf numFmtId="5" fontId="8" fillId="0" borderId="14" xfId="0" applyNumberFormat="1" applyFont="1" applyBorder="1" applyAlignment="1" applyProtection="1">
      <alignment horizontal="center" vertical="center" shrinkToFit="1"/>
      <protection locked="0"/>
    </xf>
    <xf numFmtId="5" fontId="8" fillId="0" borderId="24" xfId="0" applyNumberFormat="1" applyFont="1" applyBorder="1" applyAlignment="1" applyProtection="1">
      <alignment horizontal="center" vertical="center" shrinkToFit="1"/>
      <protection locked="0"/>
    </xf>
    <xf numFmtId="5" fontId="8" fillId="0" borderId="25" xfId="0" applyNumberFormat="1" applyFont="1" applyBorder="1" applyAlignment="1" applyProtection="1">
      <alignment horizontal="center" vertical="center" shrinkToFit="1"/>
      <protection locked="0"/>
    </xf>
    <xf numFmtId="0" fontId="9" fillId="0" borderId="54" xfId="0" applyFont="1" applyBorder="1" applyAlignment="1" applyProtection="1">
      <alignment horizontal="center" vertical="center" shrinkToFit="1"/>
      <protection locked="0"/>
    </xf>
    <xf numFmtId="177" fontId="8" fillId="0" borderId="9" xfId="0" applyNumberFormat="1" applyFont="1" applyBorder="1" applyAlignment="1">
      <alignment horizontal="center" vertical="center" shrinkToFit="1"/>
    </xf>
    <xf numFmtId="177" fontId="8" fillId="0" borderId="10" xfId="0" applyNumberFormat="1" applyFont="1" applyBorder="1" applyAlignment="1">
      <alignment horizontal="center" vertical="center" shrinkToFit="1"/>
    </xf>
    <xf numFmtId="0" fontId="8" fillId="0" borderId="9" xfId="0" applyFont="1" applyBorder="1" applyAlignment="1" applyProtection="1">
      <alignment horizontal="center" vertical="center" shrinkToFit="1"/>
      <protection locked="0"/>
    </xf>
    <xf numFmtId="0" fontId="8" fillId="0" borderId="54" xfId="0" applyFont="1" applyBorder="1" applyAlignment="1" applyProtection="1">
      <alignment horizontal="center" vertical="center" shrinkToFit="1"/>
      <protection locked="0"/>
    </xf>
    <xf numFmtId="0" fontId="8" fillId="0" borderId="11" xfId="0" applyFont="1" applyBorder="1" applyAlignment="1" applyProtection="1">
      <alignment horizontal="center" vertical="center" shrinkToFit="1"/>
      <protection locked="0"/>
    </xf>
    <xf numFmtId="5" fontId="8" fillId="0" borderId="13" xfId="0" applyNumberFormat="1" applyFont="1" applyBorder="1" applyAlignment="1">
      <alignment horizontal="center" vertical="center" shrinkToFit="1"/>
    </xf>
    <xf numFmtId="5" fontId="8" fillId="0" borderId="12" xfId="0" applyNumberFormat="1" applyFont="1" applyBorder="1" applyAlignment="1">
      <alignment horizontal="center" vertical="center" shrinkToFit="1"/>
    </xf>
    <xf numFmtId="14" fontId="9" fillId="0" borderId="54" xfId="0" applyNumberFormat="1" applyFont="1" applyBorder="1" applyAlignment="1" applyProtection="1">
      <alignment horizontal="center" vertical="center" shrinkToFit="1"/>
      <protection locked="0"/>
    </xf>
    <xf numFmtId="14" fontId="9" fillId="0" borderId="26" xfId="0" applyNumberFormat="1" applyFont="1" applyBorder="1" applyAlignment="1" applyProtection="1">
      <alignment horizontal="center" vertical="center" shrinkToFit="1"/>
      <protection locked="0"/>
    </xf>
    <xf numFmtId="177" fontId="8" fillId="0" borderId="15" xfId="0" applyNumberFormat="1" applyFont="1" applyBorder="1" applyAlignment="1">
      <alignment horizontal="center" vertical="center" shrinkToFit="1"/>
    </xf>
    <xf numFmtId="177" fontId="8" fillId="0" borderId="16" xfId="0" applyNumberFormat="1" applyFont="1" applyBorder="1" applyAlignment="1">
      <alignment horizontal="center" vertical="center" shrinkToFit="1"/>
    </xf>
    <xf numFmtId="5" fontId="8" fillId="0" borderId="15" xfId="0" applyNumberFormat="1" applyFont="1" applyBorder="1" applyAlignment="1">
      <alignment horizontal="center" vertical="center" shrinkToFit="1"/>
    </xf>
    <xf numFmtId="5" fontId="8" fillId="0" borderId="17" xfId="0" applyNumberFormat="1" applyFont="1" applyBorder="1" applyAlignment="1">
      <alignment horizontal="center" vertical="center" shrinkToFit="1"/>
    </xf>
    <xf numFmtId="5" fontId="8" fillId="0" borderId="18" xfId="0" applyNumberFormat="1" applyFont="1" applyBorder="1" applyAlignment="1">
      <alignment horizontal="center" vertical="center" shrinkToFit="1"/>
    </xf>
    <xf numFmtId="5" fontId="8" fillId="0" borderId="20" xfId="0" applyNumberFormat="1" applyFont="1" applyBorder="1" applyAlignment="1" applyProtection="1">
      <alignment horizontal="center" vertical="center" shrinkToFit="1"/>
      <protection locked="0"/>
    </xf>
    <xf numFmtId="5" fontId="8" fillId="0" borderId="19" xfId="0" applyNumberFormat="1" applyFont="1" applyBorder="1" applyAlignment="1" applyProtection="1">
      <alignment horizontal="center" vertical="center" shrinkToFit="1"/>
      <protection locked="0"/>
    </xf>
    <xf numFmtId="0" fontId="8" fillId="0" borderId="21" xfId="0" applyFont="1" applyBorder="1" applyAlignment="1">
      <alignment horizontal="center" vertical="center" shrinkToFit="1"/>
    </xf>
    <xf numFmtId="177" fontId="8" fillId="2" borderId="21" xfId="0" applyNumberFormat="1" applyFont="1" applyFill="1" applyBorder="1" applyAlignment="1">
      <alignment horizontal="center" vertical="center" shrinkToFit="1"/>
    </xf>
    <xf numFmtId="177" fontId="8" fillId="2" borderId="22" xfId="0" applyNumberFormat="1" applyFont="1" applyFill="1" applyBorder="1" applyAlignment="1">
      <alignment horizontal="center" vertical="center" shrinkToFit="1"/>
    </xf>
    <xf numFmtId="5" fontId="8" fillId="0" borderId="0" xfId="0" applyNumberFormat="1" applyFont="1" applyBorder="1" applyAlignment="1" applyProtection="1">
      <alignment horizontal="center" vertical="center" shrinkToFit="1"/>
      <protection locked="0"/>
    </xf>
    <xf numFmtId="185" fontId="9" fillId="0" borderId="27" xfId="0" applyNumberFormat="1" applyFont="1" applyBorder="1" applyAlignment="1" applyProtection="1">
      <alignment horizontal="center" vertical="center" shrinkToFit="1"/>
      <protection locked="0"/>
    </xf>
    <xf numFmtId="14" fontId="9" fillId="0" borderId="7" xfId="0" applyNumberFormat="1" applyFont="1" applyBorder="1" applyAlignment="1" applyProtection="1">
      <alignment horizontal="center" vertical="center" shrinkToFit="1"/>
      <protection locked="0"/>
    </xf>
    <xf numFmtId="14" fontId="9" fillId="0" borderId="8" xfId="0" applyNumberFormat="1" applyFont="1" applyBorder="1" applyAlignment="1" applyProtection="1">
      <alignment horizontal="center" vertical="center" shrinkToFit="1"/>
      <protection locked="0"/>
    </xf>
    <xf numFmtId="14" fontId="9" fillId="0" borderId="23" xfId="0" applyNumberFormat="1" applyFont="1" applyBorder="1" applyAlignment="1" applyProtection="1">
      <alignment horizontal="center" vertical="center" shrinkToFit="1"/>
      <protection locked="0"/>
    </xf>
    <xf numFmtId="14" fontId="9" fillId="0" borderId="0" xfId="0" applyNumberFormat="1" applyFont="1" applyBorder="1" applyAlignment="1" applyProtection="1">
      <alignment horizontal="center" vertical="center" shrinkToFit="1"/>
      <protection locked="0"/>
    </xf>
    <xf numFmtId="14" fontId="9" fillId="0" borderId="14" xfId="0" applyNumberFormat="1" applyFont="1" applyBorder="1" applyAlignment="1" applyProtection="1">
      <alignment horizontal="center" vertical="center" shrinkToFit="1"/>
      <protection locked="0"/>
    </xf>
    <xf numFmtId="0" fontId="8" fillId="0" borderId="76" xfId="0" applyFont="1" applyBorder="1" applyAlignment="1" applyProtection="1">
      <alignment horizontal="center" vertical="center" wrapText="1" shrinkToFit="1"/>
      <protection locked="0"/>
    </xf>
    <xf numFmtId="0" fontId="8" fillId="0" borderId="107" xfId="0" applyFont="1" applyBorder="1" applyAlignment="1" applyProtection="1">
      <alignment horizontal="center" vertical="center" wrapText="1" shrinkToFit="1"/>
      <protection locked="0"/>
    </xf>
    <xf numFmtId="0" fontId="8" fillId="0" borderId="83" xfId="0" applyFont="1" applyBorder="1" applyAlignment="1" applyProtection="1">
      <alignment horizontal="center" vertical="center" wrapText="1" shrinkToFit="1"/>
      <protection locked="0"/>
    </xf>
    <xf numFmtId="184" fontId="5" fillId="0" borderId="77" xfId="0" applyNumberFormat="1" applyFont="1" applyBorder="1" applyAlignment="1" applyProtection="1">
      <alignment vertical="center" shrinkToFit="1"/>
      <protection locked="0"/>
    </xf>
    <xf numFmtId="184" fontId="5" fillId="0" borderId="95" xfId="0" applyNumberFormat="1" applyFont="1" applyBorder="1" applyAlignment="1" applyProtection="1">
      <alignment vertical="center" shrinkToFit="1"/>
      <protection locked="0"/>
    </xf>
    <xf numFmtId="0" fontId="5" fillId="0" borderId="26" xfId="0" applyFont="1" applyBorder="1" applyAlignment="1">
      <alignment horizontal="center" vertical="center" wrapText="1" shrinkToFit="1"/>
    </xf>
    <xf numFmtId="0" fontId="10" fillId="0" borderId="22" xfId="0" applyFont="1" applyBorder="1" applyAlignment="1">
      <alignment horizontal="center" vertical="center" wrapText="1" shrinkToFit="1"/>
    </xf>
    <xf numFmtId="0" fontId="10" fillId="0" borderId="23" xfId="0" applyFont="1" applyBorder="1" applyAlignment="1">
      <alignment horizontal="center" vertical="center" wrapText="1" shrinkToFit="1"/>
    </xf>
    <xf numFmtId="0" fontId="5" fillId="0" borderId="23" xfId="0" applyFont="1" applyBorder="1" applyAlignment="1">
      <alignment horizontal="center" vertical="center" shrinkToFit="1"/>
    </xf>
    <xf numFmtId="0" fontId="5" fillId="0" borderId="14" xfId="0" applyFont="1" applyBorder="1" applyAlignment="1">
      <alignment horizontal="center" vertical="center" shrinkToFit="1"/>
    </xf>
    <xf numFmtId="5" fontId="11" fillId="0" borderId="26" xfId="0" applyNumberFormat="1" applyFont="1" applyBorder="1" applyAlignment="1" applyProtection="1">
      <alignment horizontal="center" vertical="center" wrapText="1" shrinkToFit="1"/>
      <protection locked="0"/>
    </xf>
    <xf numFmtId="0" fontId="5" fillId="0" borderId="109" xfId="0" applyFont="1" applyBorder="1" applyAlignment="1" applyProtection="1">
      <alignment horizontal="center" vertical="center" shrinkToFit="1"/>
      <protection locked="0"/>
    </xf>
    <xf numFmtId="49" fontId="5" fillId="0" borderId="45" xfId="0" applyNumberFormat="1" applyFont="1" applyBorder="1" applyAlignment="1" applyProtection="1">
      <alignment horizontal="center" vertical="center" shrinkToFit="1"/>
      <protection locked="0"/>
    </xf>
    <xf numFmtId="179" fontId="5" fillId="0" borderId="45" xfId="0" applyNumberFormat="1" applyFont="1" applyBorder="1" applyAlignment="1" applyProtection="1">
      <alignment horizontal="center" vertical="center" shrinkToFit="1"/>
      <protection locked="0"/>
    </xf>
    <xf numFmtId="179" fontId="14" fillId="0" borderId="103" xfId="0" applyNumberFormat="1" applyFont="1" applyBorder="1" applyAlignment="1" applyProtection="1">
      <alignment horizontal="center" vertical="center" shrinkToFit="1"/>
      <protection locked="0"/>
    </xf>
    <xf numFmtId="184" fontId="5" fillId="0" borderId="8" xfId="0" applyNumberFormat="1" applyFont="1" applyBorder="1" applyAlignment="1" applyProtection="1">
      <alignment vertical="center" shrinkToFit="1"/>
      <protection locked="0"/>
    </xf>
    <xf numFmtId="179" fontId="5" fillId="2" borderId="110" xfId="0" applyNumberFormat="1" applyFont="1" applyFill="1" applyBorder="1" applyAlignment="1" applyProtection="1">
      <alignment vertical="center" shrinkToFit="1"/>
      <protection locked="0"/>
    </xf>
    <xf numFmtId="6" fontId="15" fillId="2" borderId="26" xfId="0" applyNumberFormat="1" applyFont="1" applyFill="1" applyBorder="1" applyAlignment="1">
      <alignment vertical="center" shrinkToFit="1"/>
    </xf>
    <xf numFmtId="6" fontId="15" fillId="2" borderId="27" xfId="0" applyNumberFormat="1" applyFont="1" applyFill="1" applyBorder="1" applyAlignment="1">
      <alignment horizontal="center" vertical="center" shrinkToFit="1"/>
    </xf>
    <xf numFmtId="178" fontId="15" fillId="0" borderId="64" xfId="0" applyNumberFormat="1" applyFont="1" applyBorder="1" applyAlignment="1">
      <alignment horizontal="center" vertical="center" shrinkToFit="1"/>
    </xf>
    <xf numFmtId="38" fontId="5" fillId="2" borderId="8" xfId="1" applyFont="1" applyFill="1" applyBorder="1" applyAlignment="1">
      <alignment vertical="center" shrinkToFit="1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5" fillId="0" borderId="112" xfId="0" applyFont="1" applyBorder="1" applyAlignment="1" applyProtection="1">
      <alignment horizontal="center" vertical="center" shrinkToFit="1"/>
      <protection locked="0"/>
    </xf>
    <xf numFmtId="49" fontId="5" fillId="0" borderId="113" xfId="0" applyNumberFormat="1" applyFont="1" applyBorder="1" applyAlignment="1" applyProtection="1">
      <alignment horizontal="center" vertical="center" shrinkToFit="1"/>
      <protection locked="0"/>
    </xf>
    <xf numFmtId="179" fontId="5" fillId="0" borderId="113" xfId="0" applyNumberFormat="1" applyFont="1" applyBorder="1" applyAlignment="1" applyProtection="1">
      <alignment horizontal="center" vertical="center" shrinkToFit="1"/>
      <protection locked="0"/>
    </xf>
    <xf numFmtId="0" fontId="5" fillId="0" borderId="114" xfId="0" applyFont="1" applyBorder="1" applyAlignment="1" applyProtection="1">
      <alignment horizontal="center" vertical="center" shrinkToFit="1"/>
      <protection locked="0"/>
    </xf>
    <xf numFmtId="179" fontId="14" fillId="0" borderId="115" xfId="0" applyNumberFormat="1" applyFont="1" applyBorder="1" applyAlignment="1" applyProtection="1">
      <alignment horizontal="center" vertical="center" shrinkToFit="1"/>
      <protection locked="0"/>
    </xf>
    <xf numFmtId="184" fontId="5" fillId="0" borderId="114" xfId="0" applyNumberFormat="1" applyFont="1" applyBorder="1" applyAlignment="1" applyProtection="1">
      <alignment vertical="center" shrinkToFit="1"/>
      <protection locked="0"/>
    </xf>
    <xf numFmtId="179" fontId="5" fillId="2" borderId="116" xfId="0" applyNumberFormat="1" applyFont="1" applyFill="1" applyBorder="1" applyAlignment="1" applyProtection="1">
      <alignment vertical="center" shrinkToFit="1"/>
      <protection locked="0"/>
    </xf>
    <xf numFmtId="6" fontId="15" fillId="2" borderId="115" xfId="0" applyNumberFormat="1" applyFont="1" applyFill="1" applyBorder="1" applyAlignment="1">
      <alignment vertical="center" shrinkToFit="1"/>
    </xf>
    <xf numFmtId="6" fontId="15" fillId="2" borderId="113" xfId="0" applyNumberFormat="1" applyFont="1" applyFill="1" applyBorder="1" applyAlignment="1">
      <alignment horizontal="center" vertical="center" shrinkToFit="1"/>
    </xf>
    <xf numFmtId="178" fontId="15" fillId="0" borderId="117" xfId="0" applyNumberFormat="1" applyFont="1" applyBorder="1" applyAlignment="1">
      <alignment horizontal="center" vertical="center" shrinkToFit="1"/>
    </xf>
    <xf numFmtId="38" fontId="5" fillId="2" borderId="114" xfId="1" applyFont="1" applyFill="1" applyBorder="1" applyAlignment="1">
      <alignment vertical="center" shrinkToFit="1"/>
    </xf>
    <xf numFmtId="0" fontId="5" fillId="0" borderId="118" xfId="0" applyFont="1" applyBorder="1" applyAlignment="1" applyProtection="1">
      <alignment horizontal="center" vertical="center" shrinkToFit="1"/>
      <protection locked="0"/>
    </xf>
    <xf numFmtId="0" fontId="5" fillId="0" borderId="7" xfId="0" applyFont="1" applyBorder="1" applyAlignment="1" applyProtection="1">
      <alignment horizontal="center" vertical="center" shrinkToFit="1"/>
      <protection locked="0"/>
    </xf>
    <xf numFmtId="49" fontId="5" fillId="0" borderId="27" xfId="0" applyNumberFormat="1" applyFont="1" applyBorder="1" applyAlignment="1" applyProtection="1">
      <alignment horizontal="center" vertical="center" shrinkToFit="1"/>
      <protection locked="0"/>
    </xf>
    <xf numFmtId="179" fontId="5" fillId="0" borderId="27" xfId="0" applyNumberFormat="1" applyFont="1" applyBorder="1" applyAlignment="1" applyProtection="1">
      <alignment horizontal="center" vertical="center" shrinkToFit="1"/>
      <protection locked="0"/>
    </xf>
    <xf numFmtId="0" fontId="5" fillId="0" borderId="8" xfId="0" applyFont="1" applyBorder="1" applyAlignment="1" applyProtection="1">
      <alignment horizontal="center" vertical="center" shrinkToFit="1"/>
      <protection locked="0"/>
    </xf>
    <xf numFmtId="179" fontId="14" fillId="0" borderId="26" xfId="0" applyNumberFormat="1" applyFont="1" applyBorder="1" applyAlignment="1" applyProtection="1">
      <alignment horizontal="center" vertical="center" shrinkToFit="1"/>
      <protection locked="0"/>
    </xf>
    <xf numFmtId="178" fontId="15" fillId="0" borderId="119" xfId="0" applyNumberFormat="1" applyFont="1" applyBorder="1" applyAlignment="1">
      <alignment horizontal="center" vertical="center" shrinkToFit="1"/>
    </xf>
    <xf numFmtId="178" fontId="15" fillId="2" borderId="120" xfId="0" applyNumberFormat="1" applyFont="1" applyFill="1" applyBorder="1" applyAlignment="1">
      <alignment horizontal="center" vertical="center" shrinkToFit="1"/>
    </xf>
    <xf numFmtId="0" fontId="5" fillId="0" borderId="121" xfId="0" applyFont="1" applyBorder="1" applyAlignment="1" applyProtection="1">
      <alignment horizontal="center" vertical="center" shrinkToFit="1"/>
      <protection locked="0"/>
    </xf>
    <xf numFmtId="0" fontId="5" fillId="0" borderId="122" xfId="0" applyFont="1" applyBorder="1" applyAlignment="1" applyProtection="1">
      <alignment horizontal="center" vertical="center" shrinkToFit="1"/>
      <protection locked="0"/>
    </xf>
    <xf numFmtId="49" fontId="5" fillId="0" borderId="123" xfId="0" applyNumberFormat="1" applyFont="1" applyBorder="1" applyAlignment="1" applyProtection="1">
      <alignment horizontal="center" vertical="center" shrinkToFit="1"/>
      <protection locked="0"/>
    </xf>
    <xf numFmtId="179" fontId="5" fillId="0" borderId="123" xfId="0" applyNumberFormat="1" applyFont="1" applyBorder="1" applyAlignment="1" applyProtection="1">
      <alignment horizontal="center" vertical="center" shrinkToFit="1"/>
      <protection locked="0"/>
    </xf>
    <xf numFmtId="0" fontId="5" fillId="0" borderId="124" xfId="0" applyFont="1" applyBorder="1" applyAlignment="1" applyProtection="1">
      <alignment horizontal="center" vertical="center" shrinkToFit="1"/>
      <protection locked="0"/>
    </xf>
    <xf numFmtId="179" fontId="14" fillId="0" borderId="125" xfId="0" applyNumberFormat="1" applyFont="1" applyBorder="1" applyAlignment="1" applyProtection="1">
      <alignment horizontal="center" vertical="center" shrinkToFit="1"/>
      <protection locked="0"/>
    </xf>
    <xf numFmtId="184" fontId="5" fillId="0" borderId="124" xfId="0" applyNumberFormat="1" applyFont="1" applyBorder="1" applyAlignment="1" applyProtection="1">
      <alignment vertical="center" shrinkToFit="1"/>
      <protection locked="0"/>
    </xf>
    <xf numFmtId="179" fontId="5" fillId="2" borderId="126" xfId="0" applyNumberFormat="1" applyFont="1" applyFill="1" applyBorder="1" applyAlignment="1" applyProtection="1">
      <alignment vertical="center" shrinkToFit="1"/>
      <protection locked="0"/>
    </xf>
    <xf numFmtId="6" fontId="15" fillId="2" borderId="125" xfId="0" applyNumberFormat="1" applyFont="1" applyFill="1" applyBorder="1" applyAlignment="1">
      <alignment vertical="center" shrinkToFit="1"/>
    </xf>
    <xf numFmtId="6" fontId="15" fillId="2" borderId="123" xfId="0" applyNumberFormat="1" applyFont="1" applyFill="1" applyBorder="1" applyAlignment="1">
      <alignment horizontal="center" vertical="center" shrinkToFit="1"/>
    </xf>
    <xf numFmtId="178" fontId="15" fillId="0" borderId="127" xfId="0" applyNumberFormat="1" applyFont="1" applyBorder="1" applyAlignment="1">
      <alignment horizontal="center" vertical="center" shrinkToFit="1"/>
    </xf>
    <xf numFmtId="38" fontId="5" fillId="2" borderId="124" xfId="1" applyFont="1" applyFill="1" applyBorder="1" applyAlignment="1">
      <alignment vertical="center" shrinkToFit="1"/>
    </xf>
    <xf numFmtId="0" fontId="5" fillId="0" borderId="128" xfId="0" applyFont="1" applyBorder="1" applyAlignment="1" applyProtection="1">
      <alignment horizontal="center" vertical="center" wrapText="1" shrinkToFit="1"/>
      <protection locked="0"/>
    </xf>
    <xf numFmtId="0" fontId="5" fillId="0" borderId="108" xfId="0" applyFont="1" applyBorder="1" applyAlignment="1" applyProtection="1">
      <alignment horizontal="center" vertical="center" wrapText="1" shrinkToFit="1"/>
      <protection locked="0"/>
    </xf>
    <xf numFmtId="0" fontId="5" fillId="0" borderId="129" xfId="0" applyFont="1" applyBorder="1" applyAlignment="1" applyProtection="1">
      <alignment horizontal="center" vertical="center" wrapText="1" shrinkToFit="1"/>
      <protection locked="0"/>
    </xf>
    <xf numFmtId="0" fontId="5" fillId="0" borderId="130" xfId="0" applyFont="1" applyBorder="1" applyAlignment="1" applyProtection="1">
      <alignment horizontal="center" vertical="center" wrapText="1" shrinkToFit="1"/>
      <protection locked="0"/>
    </xf>
    <xf numFmtId="0" fontId="5" fillId="0" borderId="131" xfId="0" applyFont="1" applyBorder="1" applyAlignment="1" applyProtection="1">
      <alignment horizontal="center" vertical="center" wrapText="1" shrinkToFit="1"/>
      <protection locked="0"/>
    </xf>
    <xf numFmtId="178" fontId="7" fillId="3" borderId="132" xfId="0" applyNumberFormat="1" applyFont="1" applyFill="1" applyBorder="1" applyAlignment="1" applyProtection="1">
      <alignment vertical="center" shrinkToFit="1"/>
      <protection locked="0"/>
    </xf>
    <xf numFmtId="5" fontId="5" fillId="0" borderId="54" xfId="0" applyNumberFormat="1" applyFont="1" applyBorder="1" applyAlignment="1" applyProtection="1">
      <alignment horizontal="center" vertical="center" shrinkToFit="1"/>
      <protection locked="0"/>
    </xf>
    <xf numFmtId="178" fontId="7" fillId="3" borderId="133" xfId="0" applyNumberFormat="1" applyFont="1" applyFill="1" applyBorder="1" applyAlignment="1" applyProtection="1">
      <alignment vertical="center" shrinkToFit="1"/>
      <protection locked="0"/>
    </xf>
    <xf numFmtId="5" fontId="5" fillId="2" borderId="54" xfId="0" applyNumberFormat="1" applyFont="1" applyFill="1" applyBorder="1" applyAlignment="1" applyProtection="1">
      <alignment horizontal="center" vertical="center" shrinkToFit="1"/>
      <protection locked="0"/>
    </xf>
    <xf numFmtId="6" fontId="5" fillId="2" borderId="54" xfId="0" applyNumberFormat="1" applyFont="1" applyFill="1" applyBorder="1" applyAlignment="1">
      <alignment horizontal="center" vertical="center" shrinkToFit="1"/>
    </xf>
    <xf numFmtId="5" fontId="8" fillId="0" borderId="135" xfId="0" applyNumberFormat="1" applyFont="1" applyBorder="1" applyAlignment="1" applyProtection="1">
      <alignment horizontal="center" vertical="center" shrinkToFit="1"/>
      <protection locked="0"/>
    </xf>
    <xf numFmtId="5" fontId="8" fillId="0" borderId="136" xfId="0" applyNumberFormat="1" applyFont="1" applyBorder="1" applyAlignment="1">
      <alignment horizontal="center" vertical="center" shrinkToFit="1"/>
    </xf>
    <xf numFmtId="5" fontId="8" fillId="0" borderId="137" xfId="0" applyNumberFormat="1" applyFont="1" applyBorder="1" applyAlignment="1" applyProtection="1">
      <alignment horizontal="center" vertical="center" shrinkToFit="1"/>
      <protection locked="0"/>
    </xf>
    <xf numFmtId="5" fontId="5" fillId="0" borderId="21" xfId="0" applyNumberFormat="1" applyFont="1" applyBorder="1" applyAlignment="1" applyProtection="1">
      <alignment horizontal="center" vertical="center" shrinkToFit="1"/>
      <protection locked="0"/>
    </xf>
    <xf numFmtId="5" fontId="5" fillId="0" borderId="134" xfId="0" applyNumberFormat="1" applyFont="1" applyBorder="1" applyAlignment="1" applyProtection="1">
      <alignment horizontal="center" vertical="center" shrinkToFit="1"/>
      <protection locked="0"/>
    </xf>
    <xf numFmtId="178" fontId="7" fillId="3" borderId="138" xfId="0" applyNumberFormat="1" applyFont="1" applyFill="1" applyBorder="1" applyAlignment="1" applyProtection="1">
      <alignment vertical="center" shrinkToFit="1"/>
      <protection locked="0"/>
    </xf>
    <xf numFmtId="5" fontId="5" fillId="0" borderId="139" xfId="0" applyNumberFormat="1" applyFont="1" applyBorder="1" applyAlignment="1" applyProtection="1">
      <alignment horizontal="center" vertical="center" shrinkToFit="1"/>
      <protection locked="0"/>
    </xf>
    <xf numFmtId="184" fontId="5" fillId="0" borderId="140" xfId="0" applyNumberFormat="1" applyFont="1" applyBorder="1" applyAlignment="1" applyProtection="1">
      <alignment vertical="center" shrinkToFit="1"/>
      <protection locked="0"/>
    </xf>
    <xf numFmtId="184" fontId="5" fillId="0" borderId="141" xfId="0" applyNumberFormat="1" applyFont="1" applyBorder="1" applyAlignment="1" applyProtection="1">
      <alignment vertical="center" shrinkToFit="1"/>
      <protection locked="0"/>
    </xf>
    <xf numFmtId="184" fontId="5" fillId="0" borderId="142" xfId="0" applyNumberFormat="1" applyFont="1" applyBorder="1" applyAlignment="1" applyProtection="1">
      <alignment vertical="center" shrinkToFit="1"/>
      <protection locked="0"/>
    </xf>
    <xf numFmtId="5" fontId="5" fillId="2" borderId="143" xfId="0" applyNumberFormat="1" applyFont="1" applyFill="1" applyBorder="1" applyAlignment="1" applyProtection="1">
      <alignment horizontal="center" vertical="center" shrinkToFit="1"/>
      <protection locked="0"/>
    </xf>
    <xf numFmtId="5" fontId="8" fillId="0" borderId="144" xfId="0" applyNumberFormat="1" applyFont="1" applyBorder="1" applyAlignment="1" applyProtection="1">
      <alignment horizontal="center" vertical="center" shrinkToFit="1"/>
      <protection locked="0"/>
    </xf>
    <xf numFmtId="6" fontId="5" fillId="2" borderId="145" xfId="0" applyNumberFormat="1" applyFont="1" applyFill="1" applyBorder="1" applyAlignment="1">
      <alignment horizontal="center" vertical="center" shrinkToFit="1"/>
    </xf>
    <xf numFmtId="5" fontId="8" fillId="0" borderId="147" xfId="0" applyNumberFormat="1" applyFont="1" applyBorder="1" applyAlignment="1" applyProtection="1">
      <alignment horizontal="center" vertical="center" shrinkToFit="1"/>
      <protection locked="0"/>
    </xf>
    <xf numFmtId="14" fontId="9" fillId="0" borderId="144" xfId="0" applyNumberFormat="1" applyFont="1" applyBorder="1" applyAlignment="1" applyProtection="1">
      <alignment horizontal="center" vertical="center" shrinkToFit="1"/>
      <protection locked="0"/>
    </xf>
    <xf numFmtId="14" fontId="9" fillId="0" borderId="147" xfId="0" applyNumberFormat="1" applyFont="1" applyBorder="1" applyAlignment="1" applyProtection="1">
      <alignment horizontal="center" vertical="center" shrinkToFit="1"/>
      <protection locked="0"/>
    </xf>
    <xf numFmtId="14" fontId="9" fillId="0" borderId="146" xfId="0" applyNumberFormat="1" applyFont="1" applyBorder="1" applyAlignment="1" applyProtection="1">
      <alignment horizontal="center" vertical="center" shrinkToFit="1"/>
      <protection locked="0"/>
    </xf>
    <xf numFmtId="5" fontId="5" fillId="4" borderId="78" xfId="0" applyNumberFormat="1" applyFont="1" applyFill="1" applyBorder="1" applyAlignment="1">
      <alignment horizontal="center" vertical="center" shrinkToFit="1"/>
    </xf>
    <xf numFmtId="0" fontId="8" fillId="0" borderId="76" xfId="0" applyFont="1" applyBorder="1" applyAlignment="1" applyProtection="1">
      <alignment horizontal="center" vertical="center" wrapText="1" shrinkToFit="1"/>
      <protection locked="0"/>
    </xf>
    <xf numFmtId="5" fontId="6" fillId="0" borderId="0" xfId="0" applyNumberFormat="1" applyFont="1" applyAlignment="1">
      <alignment horizontal="center" vertical="center" shrinkToFit="1"/>
    </xf>
    <xf numFmtId="0" fontId="8" fillId="0" borderId="148" xfId="0" applyFont="1" applyBorder="1" applyAlignment="1" applyProtection="1">
      <alignment horizontal="center" vertical="center" wrapText="1" shrinkToFit="1"/>
      <protection locked="0"/>
    </xf>
    <xf numFmtId="5" fontId="5" fillId="0" borderId="148" xfId="0" applyNumberFormat="1" applyFont="1" applyBorder="1" applyAlignment="1">
      <alignment horizontal="center" vertical="center" shrinkToFit="1"/>
    </xf>
    <xf numFmtId="5" fontId="5" fillId="0" borderId="148" xfId="0" applyNumberFormat="1" applyFont="1" applyBorder="1" applyAlignment="1">
      <alignment vertical="center" shrinkToFit="1"/>
    </xf>
    <xf numFmtId="5" fontId="5" fillId="0" borderId="148" xfId="0" applyNumberFormat="1" applyFont="1" applyBorder="1" applyAlignment="1" applyProtection="1">
      <alignment horizontal="center" vertical="center" shrinkToFit="1"/>
      <protection locked="0"/>
    </xf>
    <xf numFmtId="179" fontId="5" fillId="0" borderId="148" xfId="0" applyNumberFormat="1" applyFont="1" applyBorder="1" applyAlignment="1" applyProtection="1">
      <alignment horizontal="center" vertical="center" shrinkToFit="1"/>
      <protection locked="0"/>
    </xf>
    <xf numFmtId="184" fontId="5" fillId="0" borderId="148" xfId="0" applyNumberFormat="1" applyFont="1" applyBorder="1" applyAlignment="1" applyProtection="1">
      <alignment vertical="center" shrinkToFit="1"/>
      <protection locked="0"/>
    </xf>
    <xf numFmtId="179" fontId="5" fillId="2" borderId="148" xfId="0" applyNumberFormat="1" applyFont="1" applyFill="1" applyBorder="1" applyAlignment="1" applyProtection="1">
      <alignment vertical="center" shrinkToFit="1"/>
      <protection locked="0"/>
    </xf>
    <xf numFmtId="6" fontId="15" fillId="2" borderId="148" xfId="0" applyNumberFormat="1" applyFont="1" applyFill="1" applyBorder="1" applyAlignment="1">
      <alignment vertical="center" shrinkToFit="1"/>
    </xf>
    <xf numFmtId="6" fontId="15" fillId="2" borderId="148" xfId="0" applyNumberFormat="1" applyFont="1" applyFill="1" applyBorder="1" applyAlignment="1">
      <alignment horizontal="center" vertical="center" shrinkToFit="1"/>
    </xf>
    <xf numFmtId="178" fontId="15" fillId="0" borderId="148" xfId="0" applyNumberFormat="1" applyFont="1" applyBorder="1" applyAlignment="1">
      <alignment horizontal="center" vertical="center" shrinkToFit="1"/>
    </xf>
    <xf numFmtId="5" fontId="5" fillId="2" borderId="52" xfId="0" applyNumberFormat="1" applyFont="1" applyFill="1" applyBorder="1" applyAlignment="1">
      <alignment horizontal="center" vertical="center" shrinkToFit="1"/>
    </xf>
    <xf numFmtId="6" fontId="5" fillId="2" borderId="149" xfId="0" applyNumberFormat="1" applyFont="1" applyFill="1" applyBorder="1" applyAlignment="1">
      <alignment vertical="center" shrinkToFit="1"/>
    </xf>
    <xf numFmtId="0" fontId="8" fillId="0" borderId="150" xfId="0" applyFont="1" applyBorder="1" applyAlignment="1" applyProtection="1">
      <alignment horizontal="center" vertical="center" wrapText="1" shrinkToFit="1"/>
      <protection locked="0"/>
    </xf>
    <xf numFmtId="5" fontId="5" fillId="0" borderId="151" xfId="0" applyNumberFormat="1" applyFont="1" applyBorder="1" applyAlignment="1">
      <alignment horizontal="center" vertical="center" shrinkToFit="1"/>
    </xf>
    <xf numFmtId="5" fontId="5" fillId="0" borderId="152" xfId="0" applyNumberFormat="1" applyFont="1" applyBorder="1" applyAlignment="1">
      <alignment vertical="center" shrinkToFit="1"/>
    </xf>
    <xf numFmtId="5" fontId="5" fillId="0" borderId="153" xfId="0" applyNumberFormat="1" applyFont="1" applyBorder="1" applyAlignment="1">
      <alignment horizontal="center" vertical="center" shrinkToFit="1"/>
    </xf>
    <xf numFmtId="5" fontId="5" fillId="0" borderId="154" xfId="0" applyNumberFormat="1" applyFont="1" applyBorder="1" applyAlignment="1" applyProtection="1">
      <alignment horizontal="center" vertical="center" shrinkToFit="1"/>
      <protection locked="0"/>
    </xf>
    <xf numFmtId="5" fontId="5" fillId="0" borderId="155" xfId="0" applyNumberFormat="1" applyFont="1" applyBorder="1" applyAlignment="1" applyProtection="1">
      <alignment horizontal="center" vertical="center" shrinkToFit="1"/>
      <protection locked="0"/>
    </xf>
    <xf numFmtId="5" fontId="5" fillId="0" borderId="151" xfId="0" applyNumberFormat="1" applyFont="1" applyBorder="1" applyAlignment="1" applyProtection="1">
      <alignment horizontal="center" vertical="center" shrinkToFit="1"/>
      <protection locked="0"/>
    </xf>
    <xf numFmtId="5" fontId="5" fillId="0" borderId="152" xfId="0" applyNumberFormat="1" applyFont="1" applyBorder="1" applyAlignment="1" applyProtection="1">
      <alignment horizontal="center" vertical="center" shrinkToFit="1"/>
      <protection locked="0"/>
    </xf>
    <xf numFmtId="179" fontId="5" fillId="0" borderId="156" xfId="0" applyNumberFormat="1" applyFont="1" applyBorder="1" applyAlignment="1" applyProtection="1">
      <alignment horizontal="center" vertical="center" shrinkToFit="1"/>
      <protection locked="0"/>
    </xf>
    <xf numFmtId="184" fontId="5" fillId="0" borderId="156" xfId="0" applyNumberFormat="1" applyFont="1" applyBorder="1" applyAlignment="1" applyProtection="1">
      <alignment vertical="center" shrinkToFit="1"/>
      <protection locked="0"/>
    </xf>
    <xf numFmtId="179" fontId="5" fillId="2" borderId="157" xfId="0" applyNumberFormat="1" applyFont="1" applyFill="1" applyBorder="1" applyAlignment="1" applyProtection="1">
      <alignment vertical="center" shrinkToFit="1"/>
      <protection locked="0"/>
    </xf>
    <xf numFmtId="6" fontId="15" fillId="2" borderId="156" xfId="0" applyNumberFormat="1" applyFont="1" applyFill="1" applyBorder="1" applyAlignment="1">
      <alignment vertical="center" shrinkToFit="1"/>
    </xf>
    <xf numFmtId="6" fontId="15" fillId="2" borderId="151" xfId="0" applyNumberFormat="1" applyFont="1" applyFill="1" applyBorder="1" applyAlignment="1">
      <alignment horizontal="center" vertical="center" shrinkToFit="1"/>
    </xf>
    <xf numFmtId="178" fontId="15" fillId="0" borderId="158" xfId="0" applyNumberFormat="1" applyFont="1" applyBorder="1" applyAlignment="1">
      <alignment horizontal="center" vertical="center" shrinkToFit="1"/>
    </xf>
    <xf numFmtId="6" fontId="5" fillId="2" borderId="159" xfId="0" applyNumberFormat="1" applyFont="1" applyFill="1" applyBorder="1" applyAlignment="1">
      <alignment vertical="center" shrinkToFit="1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FFCC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4</xdr:row>
          <xdr:rowOff>0</xdr:rowOff>
        </xdr:from>
        <xdr:to>
          <xdr:col>5</xdr:col>
          <xdr:colOff>133350</xdr:colOff>
          <xdr:row>7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精算書（支払台帳）作成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B456B-D315-4EF7-889B-B4AA954944E9}">
  <sheetPr codeName="Sheet7"/>
  <dimension ref="A1:S30"/>
  <sheetViews>
    <sheetView view="pageBreakPreview" zoomScaleNormal="100" zoomScaleSheetLayoutView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O23" sqref="O23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63" customWidth="1"/>
    <col min="7" max="7" width="7.625" style="13" customWidth="1"/>
    <col min="8" max="8" width="7.625" style="63" customWidth="1"/>
    <col min="9" max="9" width="15.375" style="64" customWidth="1"/>
    <col min="10" max="12" width="8.625" style="64" customWidth="1"/>
    <col min="13" max="13" width="8.625" style="65" customWidth="1"/>
    <col min="14" max="14" width="11.125" style="13" customWidth="1"/>
    <col min="15" max="15" width="8.625" style="13" customWidth="1"/>
    <col min="16" max="16" width="8.625" style="7" customWidth="1"/>
    <col min="17" max="254" width="9" style="7"/>
    <col min="255" max="255" width="8.625" style="7" customWidth="1"/>
    <col min="256" max="256" width="19.625" style="7" customWidth="1"/>
    <col min="257" max="257" width="8.625" style="7" customWidth="1"/>
    <col min="258" max="259" width="7.625" style="7" customWidth="1"/>
    <col min="260" max="260" width="11.125" style="7" customWidth="1"/>
    <col min="261" max="269" width="8.625" style="7" customWidth="1"/>
    <col min="270" max="270" width="11.125" style="7" customWidth="1"/>
    <col min="271" max="272" width="8.625" style="7" customWidth="1"/>
    <col min="273" max="510" width="9" style="7"/>
    <col min="511" max="511" width="8.625" style="7" customWidth="1"/>
    <col min="512" max="512" width="19.625" style="7" customWidth="1"/>
    <col min="513" max="513" width="8.625" style="7" customWidth="1"/>
    <col min="514" max="515" width="7.625" style="7" customWidth="1"/>
    <col min="516" max="516" width="11.125" style="7" customWidth="1"/>
    <col min="517" max="525" width="8.625" style="7" customWidth="1"/>
    <col min="526" max="526" width="11.125" style="7" customWidth="1"/>
    <col min="527" max="528" width="8.625" style="7" customWidth="1"/>
    <col min="529" max="766" width="9" style="7"/>
    <col min="767" max="767" width="8.625" style="7" customWidth="1"/>
    <col min="768" max="768" width="19.625" style="7" customWidth="1"/>
    <col min="769" max="769" width="8.625" style="7" customWidth="1"/>
    <col min="770" max="771" width="7.625" style="7" customWidth="1"/>
    <col min="772" max="772" width="11.125" style="7" customWidth="1"/>
    <col min="773" max="781" width="8.625" style="7" customWidth="1"/>
    <col min="782" max="782" width="11.125" style="7" customWidth="1"/>
    <col min="783" max="784" width="8.625" style="7" customWidth="1"/>
    <col min="785" max="1022" width="9" style="7"/>
    <col min="1023" max="1023" width="8.625" style="7" customWidth="1"/>
    <col min="1024" max="1024" width="19.625" style="7" customWidth="1"/>
    <col min="1025" max="1025" width="8.625" style="7" customWidth="1"/>
    <col min="1026" max="1027" width="7.625" style="7" customWidth="1"/>
    <col min="1028" max="1028" width="11.125" style="7" customWidth="1"/>
    <col min="1029" max="1037" width="8.625" style="7" customWidth="1"/>
    <col min="1038" max="1038" width="11.125" style="7" customWidth="1"/>
    <col min="1039" max="1040" width="8.625" style="7" customWidth="1"/>
    <col min="1041" max="1278" width="9" style="7"/>
    <col min="1279" max="1279" width="8.625" style="7" customWidth="1"/>
    <col min="1280" max="1280" width="19.625" style="7" customWidth="1"/>
    <col min="1281" max="1281" width="8.625" style="7" customWidth="1"/>
    <col min="1282" max="1283" width="7.625" style="7" customWidth="1"/>
    <col min="1284" max="1284" width="11.125" style="7" customWidth="1"/>
    <col min="1285" max="1293" width="8.625" style="7" customWidth="1"/>
    <col min="1294" max="1294" width="11.125" style="7" customWidth="1"/>
    <col min="1295" max="1296" width="8.625" style="7" customWidth="1"/>
    <col min="1297" max="1534" width="9" style="7"/>
    <col min="1535" max="1535" width="8.625" style="7" customWidth="1"/>
    <col min="1536" max="1536" width="19.625" style="7" customWidth="1"/>
    <col min="1537" max="1537" width="8.625" style="7" customWidth="1"/>
    <col min="1538" max="1539" width="7.625" style="7" customWidth="1"/>
    <col min="1540" max="1540" width="11.125" style="7" customWidth="1"/>
    <col min="1541" max="1549" width="8.625" style="7" customWidth="1"/>
    <col min="1550" max="1550" width="11.125" style="7" customWidth="1"/>
    <col min="1551" max="1552" width="8.625" style="7" customWidth="1"/>
    <col min="1553" max="1790" width="9" style="7"/>
    <col min="1791" max="1791" width="8.625" style="7" customWidth="1"/>
    <col min="1792" max="1792" width="19.625" style="7" customWidth="1"/>
    <col min="1793" max="1793" width="8.625" style="7" customWidth="1"/>
    <col min="1794" max="1795" width="7.625" style="7" customWidth="1"/>
    <col min="1796" max="1796" width="11.125" style="7" customWidth="1"/>
    <col min="1797" max="1805" width="8.625" style="7" customWidth="1"/>
    <col min="1806" max="1806" width="11.125" style="7" customWidth="1"/>
    <col min="1807" max="1808" width="8.625" style="7" customWidth="1"/>
    <col min="1809" max="2046" width="9" style="7"/>
    <col min="2047" max="2047" width="8.625" style="7" customWidth="1"/>
    <col min="2048" max="2048" width="19.625" style="7" customWidth="1"/>
    <col min="2049" max="2049" width="8.625" style="7" customWidth="1"/>
    <col min="2050" max="2051" width="7.625" style="7" customWidth="1"/>
    <col min="2052" max="2052" width="11.125" style="7" customWidth="1"/>
    <col min="2053" max="2061" width="8.625" style="7" customWidth="1"/>
    <col min="2062" max="2062" width="11.125" style="7" customWidth="1"/>
    <col min="2063" max="2064" width="8.625" style="7" customWidth="1"/>
    <col min="2065" max="2302" width="9" style="7"/>
    <col min="2303" max="2303" width="8.625" style="7" customWidth="1"/>
    <col min="2304" max="2304" width="19.625" style="7" customWidth="1"/>
    <col min="2305" max="2305" width="8.625" style="7" customWidth="1"/>
    <col min="2306" max="2307" width="7.625" style="7" customWidth="1"/>
    <col min="2308" max="2308" width="11.125" style="7" customWidth="1"/>
    <col min="2309" max="2317" width="8.625" style="7" customWidth="1"/>
    <col min="2318" max="2318" width="11.125" style="7" customWidth="1"/>
    <col min="2319" max="2320" width="8.625" style="7" customWidth="1"/>
    <col min="2321" max="2558" width="9" style="7"/>
    <col min="2559" max="2559" width="8.625" style="7" customWidth="1"/>
    <col min="2560" max="2560" width="19.625" style="7" customWidth="1"/>
    <col min="2561" max="2561" width="8.625" style="7" customWidth="1"/>
    <col min="2562" max="2563" width="7.625" style="7" customWidth="1"/>
    <col min="2564" max="2564" width="11.125" style="7" customWidth="1"/>
    <col min="2565" max="2573" width="8.625" style="7" customWidth="1"/>
    <col min="2574" max="2574" width="11.125" style="7" customWidth="1"/>
    <col min="2575" max="2576" width="8.625" style="7" customWidth="1"/>
    <col min="2577" max="2814" width="9" style="7"/>
    <col min="2815" max="2815" width="8.625" style="7" customWidth="1"/>
    <col min="2816" max="2816" width="19.625" style="7" customWidth="1"/>
    <col min="2817" max="2817" width="8.625" style="7" customWidth="1"/>
    <col min="2818" max="2819" width="7.625" style="7" customWidth="1"/>
    <col min="2820" max="2820" width="11.125" style="7" customWidth="1"/>
    <col min="2821" max="2829" width="8.625" style="7" customWidth="1"/>
    <col min="2830" max="2830" width="11.125" style="7" customWidth="1"/>
    <col min="2831" max="2832" width="8.625" style="7" customWidth="1"/>
    <col min="2833" max="3070" width="9" style="7"/>
    <col min="3071" max="3071" width="8.625" style="7" customWidth="1"/>
    <col min="3072" max="3072" width="19.625" style="7" customWidth="1"/>
    <col min="3073" max="3073" width="8.625" style="7" customWidth="1"/>
    <col min="3074" max="3075" width="7.625" style="7" customWidth="1"/>
    <col min="3076" max="3076" width="11.125" style="7" customWidth="1"/>
    <col min="3077" max="3085" width="8.625" style="7" customWidth="1"/>
    <col min="3086" max="3086" width="11.125" style="7" customWidth="1"/>
    <col min="3087" max="3088" width="8.625" style="7" customWidth="1"/>
    <col min="3089" max="3326" width="9" style="7"/>
    <col min="3327" max="3327" width="8.625" style="7" customWidth="1"/>
    <col min="3328" max="3328" width="19.625" style="7" customWidth="1"/>
    <col min="3329" max="3329" width="8.625" style="7" customWidth="1"/>
    <col min="3330" max="3331" width="7.625" style="7" customWidth="1"/>
    <col min="3332" max="3332" width="11.125" style="7" customWidth="1"/>
    <col min="3333" max="3341" width="8.625" style="7" customWidth="1"/>
    <col min="3342" max="3342" width="11.125" style="7" customWidth="1"/>
    <col min="3343" max="3344" width="8.625" style="7" customWidth="1"/>
    <col min="3345" max="3582" width="9" style="7"/>
    <col min="3583" max="3583" width="8.625" style="7" customWidth="1"/>
    <col min="3584" max="3584" width="19.625" style="7" customWidth="1"/>
    <col min="3585" max="3585" width="8.625" style="7" customWidth="1"/>
    <col min="3586" max="3587" width="7.625" style="7" customWidth="1"/>
    <col min="3588" max="3588" width="11.125" style="7" customWidth="1"/>
    <col min="3589" max="3597" width="8.625" style="7" customWidth="1"/>
    <col min="3598" max="3598" width="11.125" style="7" customWidth="1"/>
    <col min="3599" max="3600" width="8.625" style="7" customWidth="1"/>
    <col min="3601" max="3838" width="9" style="7"/>
    <col min="3839" max="3839" width="8.625" style="7" customWidth="1"/>
    <col min="3840" max="3840" width="19.625" style="7" customWidth="1"/>
    <col min="3841" max="3841" width="8.625" style="7" customWidth="1"/>
    <col min="3842" max="3843" width="7.625" style="7" customWidth="1"/>
    <col min="3844" max="3844" width="11.125" style="7" customWidth="1"/>
    <col min="3845" max="3853" width="8.625" style="7" customWidth="1"/>
    <col min="3854" max="3854" width="11.125" style="7" customWidth="1"/>
    <col min="3855" max="3856" width="8.625" style="7" customWidth="1"/>
    <col min="3857" max="4094" width="9" style="7"/>
    <col min="4095" max="4095" width="8.625" style="7" customWidth="1"/>
    <col min="4096" max="4096" width="19.625" style="7" customWidth="1"/>
    <col min="4097" max="4097" width="8.625" style="7" customWidth="1"/>
    <col min="4098" max="4099" width="7.625" style="7" customWidth="1"/>
    <col min="4100" max="4100" width="11.125" style="7" customWidth="1"/>
    <col min="4101" max="4109" width="8.625" style="7" customWidth="1"/>
    <col min="4110" max="4110" width="11.125" style="7" customWidth="1"/>
    <col min="4111" max="4112" width="8.625" style="7" customWidth="1"/>
    <col min="4113" max="4350" width="9" style="7"/>
    <col min="4351" max="4351" width="8.625" style="7" customWidth="1"/>
    <col min="4352" max="4352" width="19.625" style="7" customWidth="1"/>
    <col min="4353" max="4353" width="8.625" style="7" customWidth="1"/>
    <col min="4354" max="4355" width="7.625" style="7" customWidth="1"/>
    <col min="4356" max="4356" width="11.125" style="7" customWidth="1"/>
    <col min="4357" max="4365" width="8.625" style="7" customWidth="1"/>
    <col min="4366" max="4366" width="11.125" style="7" customWidth="1"/>
    <col min="4367" max="4368" width="8.625" style="7" customWidth="1"/>
    <col min="4369" max="4606" width="9" style="7"/>
    <col min="4607" max="4607" width="8.625" style="7" customWidth="1"/>
    <col min="4608" max="4608" width="19.625" style="7" customWidth="1"/>
    <col min="4609" max="4609" width="8.625" style="7" customWidth="1"/>
    <col min="4610" max="4611" width="7.625" style="7" customWidth="1"/>
    <col min="4612" max="4612" width="11.125" style="7" customWidth="1"/>
    <col min="4613" max="4621" width="8.625" style="7" customWidth="1"/>
    <col min="4622" max="4622" width="11.125" style="7" customWidth="1"/>
    <col min="4623" max="4624" width="8.625" style="7" customWidth="1"/>
    <col min="4625" max="4862" width="9" style="7"/>
    <col min="4863" max="4863" width="8.625" style="7" customWidth="1"/>
    <col min="4864" max="4864" width="19.625" style="7" customWidth="1"/>
    <col min="4865" max="4865" width="8.625" style="7" customWidth="1"/>
    <col min="4866" max="4867" width="7.625" style="7" customWidth="1"/>
    <col min="4868" max="4868" width="11.125" style="7" customWidth="1"/>
    <col min="4869" max="4877" width="8.625" style="7" customWidth="1"/>
    <col min="4878" max="4878" width="11.125" style="7" customWidth="1"/>
    <col min="4879" max="4880" width="8.625" style="7" customWidth="1"/>
    <col min="4881" max="5118" width="9" style="7"/>
    <col min="5119" max="5119" width="8.625" style="7" customWidth="1"/>
    <col min="5120" max="5120" width="19.625" style="7" customWidth="1"/>
    <col min="5121" max="5121" width="8.625" style="7" customWidth="1"/>
    <col min="5122" max="5123" width="7.625" style="7" customWidth="1"/>
    <col min="5124" max="5124" width="11.125" style="7" customWidth="1"/>
    <col min="5125" max="5133" width="8.625" style="7" customWidth="1"/>
    <col min="5134" max="5134" width="11.125" style="7" customWidth="1"/>
    <col min="5135" max="5136" width="8.625" style="7" customWidth="1"/>
    <col min="5137" max="5374" width="9" style="7"/>
    <col min="5375" max="5375" width="8.625" style="7" customWidth="1"/>
    <col min="5376" max="5376" width="19.625" style="7" customWidth="1"/>
    <col min="5377" max="5377" width="8.625" style="7" customWidth="1"/>
    <col min="5378" max="5379" width="7.625" style="7" customWidth="1"/>
    <col min="5380" max="5380" width="11.125" style="7" customWidth="1"/>
    <col min="5381" max="5389" width="8.625" style="7" customWidth="1"/>
    <col min="5390" max="5390" width="11.125" style="7" customWidth="1"/>
    <col min="5391" max="5392" width="8.625" style="7" customWidth="1"/>
    <col min="5393" max="5630" width="9" style="7"/>
    <col min="5631" max="5631" width="8.625" style="7" customWidth="1"/>
    <col min="5632" max="5632" width="19.625" style="7" customWidth="1"/>
    <col min="5633" max="5633" width="8.625" style="7" customWidth="1"/>
    <col min="5634" max="5635" width="7.625" style="7" customWidth="1"/>
    <col min="5636" max="5636" width="11.125" style="7" customWidth="1"/>
    <col min="5637" max="5645" width="8.625" style="7" customWidth="1"/>
    <col min="5646" max="5646" width="11.125" style="7" customWidth="1"/>
    <col min="5647" max="5648" width="8.625" style="7" customWidth="1"/>
    <col min="5649" max="5886" width="9" style="7"/>
    <col min="5887" max="5887" width="8.625" style="7" customWidth="1"/>
    <col min="5888" max="5888" width="19.625" style="7" customWidth="1"/>
    <col min="5889" max="5889" width="8.625" style="7" customWidth="1"/>
    <col min="5890" max="5891" width="7.625" style="7" customWidth="1"/>
    <col min="5892" max="5892" width="11.125" style="7" customWidth="1"/>
    <col min="5893" max="5901" width="8.625" style="7" customWidth="1"/>
    <col min="5902" max="5902" width="11.125" style="7" customWidth="1"/>
    <col min="5903" max="5904" width="8.625" style="7" customWidth="1"/>
    <col min="5905" max="6142" width="9" style="7"/>
    <col min="6143" max="6143" width="8.625" style="7" customWidth="1"/>
    <col min="6144" max="6144" width="19.625" style="7" customWidth="1"/>
    <col min="6145" max="6145" width="8.625" style="7" customWidth="1"/>
    <col min="6146" max="6147" width="7.625" style="7" customWidth="1"/>
    <col min="6148" max="6148" width="11.125" style="7" customWidth="1"/>
    <col min="6149" max="6157" width="8.625" style="7" customWidth="1"/>
    <col min="6158" max="6158" width="11.125" style="7" customWidth="1"/>
    <col min="6159" max="6160" width="8.625" style="7" customWidth="1"/>
    <col min="6161" max="6398" width="9" style="7"/>
    <col min="6399" max="6399" width="8.625" style="7" customWidth="1"/>
    <col min="6400" max="6400" width="19.625" style="7" customWidth="1"/>
    <col min="6401" max="6401" width="8.625" style="7" customWidth="1"/>
    <col min="6402" max="6403" width="7.625" style="7" customWidth="1"/>
    <col min="6404" max="6404" width="11.125" style="7" customWidth="1"/>
    <col min="6405" max="6413" width="8.625" style="7" customWidth="1"/>
    <col min="6414" max="6414" width="11.125" style="7" customWidth="1"/>
    <col min="6415" max="6416" width="8.625" style="7" customWidth="1"/>
    <col min="6417" max="6654" width="9" style="7"/>
    <col min="6655" max="6655" width="8.625" style="7" customWidth="1"/>
    <col min="6656" max="6656" width="19.625" style="7" customWidth="1"/>
    <col min="6657" max="6657" width="8.625" style="7" customWidth="1"/>
    <col min="6658" max="6659" width="7.625" style="7" customWidth="1"/>
    <col min="6660" max="6660" width="11.125" style="7" customWidth="1"/>
    <col min="6661" max="6669" width="8.625" style="7" customWidth="1"/>
    <col min="6670" max="6670" width="11.125" style="7" customWidth="1"/>
    <col min="6671" max="6672" width="8.625" style="7" customWidth="1"/>
    <col min="6673" max="6910" width="9" style="7"/>
    <col min="6911" max="6911" width="8.625" style="7" customWidth="1"/>
    <col min="6912" max="6912" width="19.625" style="7" customWidth="1"/>
    <col min="6913" max="6913" width="8.625" style="7" customWidth="1"/>
    <col min="6914" max="6915" width="7.625" style="7" customWidth="1"/>
    <col min="6916" max="6916" width="11.125" style="7" customWidth="1"/>
    <col min="6917" max="6925" width="8.625" style="7" customWidth="1"/>
    <col min="6926" max="6926" width="11.125" style="7" customWidth="1"/>
    <col min="6927" max="6928" width="8.625" style="7" customWidth="1"/>
    <col min="6929" max="7166" width="9" style="7"/>
    <col min="7167" max="7167" width="8.625" style="7" customWidth="1"/>
    <col min="7168" max="7168" width="19.625" style="7" customWidth="1"/>
    <col min="7169" max="7169" width="8.625" style="7" customWidth="1"/>
    <col min="7170" max="7171" width="7.625" style="7" customWidth="1"/>
    <col min="7172" max="7172" width="11.125" style="7" customWidth="1"/>
    <col min="7173" max="7181" width="8.625" style="7" customWidth="1"/>
    <col min="7182" max="7182" width="11.125" style="7" customWidth="1"/>
    <col min="7183" max="7184" width="8.625" style="7" customWidth="1"/>
    <col min="7185" max="7422" width="9" style="7"/>
    <col min="7423" max="7423" width="8.625" style="7" customWidth="1"/>
    <col min="7424" max="7424" width="19.625" style="7" customWidth="1"/>
    <col min="7425" max="7425" width="8.625" style="7" customWidth="1"/>
    <col min="7426" max="7427" width="7.625" style="7" customWidth="1"/>
    <col min="7428" max="7428" width="11.125" style="7" customWidth="1"/>
    <col min="7429" max="7437" width="8.625" style="7" customWidth="1"/>
    <col min="7438" max="7438" width="11.125" style="7" customWidth="1"/>
    <col min="7439" max="7440" width="8.625" style="7" customWidth="1"/>
    <col min="7441" max="7678" width="9" style="7"/>
    <col min="7679" max="7679" width="8.625" style="7" customWidth="1"/>
    <col min="7680" max="7680" width="19.625" style="7" customWidth="1"/>
    <col min="7681" max="7681" width="8.625" style="7" customWidth="1"/>
    <col min="7682" max="7683" width="7.625" style="7" customWidth="1"/>
    <col min="7684" max="7684" width="11.125" style="7" customWidth="1"/>
    <col min="7685" max="7693" width="8.625" style="7" customWidth="1"/>
    <col min="7694" max="7694" width="11.125" style="7" customWidth="1"/>
    <col min="7695" max="7696" width="8.625" style="7" customWidth="1"/>
    <col min="7697" max="7934" width="9" style="7"/>
    <col min="7935" max="7935" width="8.625" style="7" customWidth="1"/>
    <col min="7936" max="7936" width="19.625" style="7" customWidth="1"/>
    <col min="7937" max="7937" width="8.625" style="7" customWidth="1"/>
    <col min="7938" max="7939" width="7.625" style="7" customWidth="1"/>
    <col min="7940" max="7940" width="11.125" style="7" customWidth="1"/>
    <col min="7941" max="7949" width="8.625" style="7" customWidth="1"/>
    <col min="7950" max="7950" width="11.125" style="7" customWidth="1"/>
    <col min="7951" max="7952" width="8.625" style="7" customWidth="1"/>
    <col min="7953" max="8190" width="9" style="7"/>
    <col min="8191" max="8191" width="8.625" style="7" customWidth="1"/>
    <col min="8192" max="8192" width="19.625" style="7" customWidth="1"/>
    <col min="8193" max="8193" width="8.625" style="7" customWidth="1"/>
    <col min="8194" max="8195" width="7.625" style="7" customWidth="1"/>
    <col min="8196" max="8196" width="11.125" style="7" customWidth="1"/>
    <col min="8197" max="8205" width="8.625" style="7" customWidth="1"/>
    <col min="8206" max="8206" width="11.125" style="7" customWidth="1"/>
    <col min="8207" max="8208" width="8.625" style="7" customWidth="1"/>
    <col min="8209" max="8446" width="9" style="7"/>
    <col min="8447" max="8447" width="8.625" style="7" customWidth="1"/>
    <col min="8448" max="8448" width="19.625" style="7" customWidth="1"/>
    <col min="8449" max="8449" width="8.625" style="7" customWidth="1"/>
    <col min="8450" max="8451" width="7.625" style="7" customWidth="1"/>
    <col min="8452" max="8452" width="11.125" style="7" customWidth="1"/>
    <col min="8453" max="8461" width="8.625" style="7" customWidth="1"/>
    <col min="8462" max="8462" width="11.125" style="7" customWidth="1"/>
    <col min="8463" max="8464" width="8.625" style="7" customWidth="1"/>
    <col min="8465" max="8702" width="9" style="7"/>
    <col min="8703" max="8703" width="8.625" style="7" customWidth="1"/>
    <col min="8704" max="8704" width="19.625" style="7" customWidth="1"/>
    <col min="8705" max="8705" width="8.625" style="7" customWidth="1"/>
    <col min="8706" max="8707" width="7.625" style="7" customWidth="1"/>
    <col min="8708" max="8708" width="11.125" style="7" customWidth="1"/>
    <col min="8709" max="8717" width="8.625" style="7" customWidth="1"/>
    <col min="8718" max="8718" width="11.125" style="7" customWidth="1"/>
    <col min="8719" max="8720" width="8.625" style="7" customWidth="1"/>
    <col min="8721" max="8958" width="9" style="7"/>
    <col min="8959" max="8959" width="8.625" style="7" customWidth="1"/>
    <col min="8960" max="8960" width="19.625" style="7" customWidth="1"/>
    <col min="8961" max="8961" width="8.625" style="7" customWidth="1"/>
    <col min="8962" max="8963" width="7.625" style="7" customWidth="1"/>
    <col min="8964" max="8964" width="11.125" style="7" customWidth="1"/>
    <col min="8965" max="8973" width="8.625" style="7" customWidth="1"/>
    <col min="8974" max="8974" width="11.125" style="7" customWidth="1"/>
    <col min="8975" max="8976" width="8.625" style="7" customWidth="1"/>
    <col min="8977" max="9214" width="9" style="7"/>
    <col min="9215" max="9215" width="8.625" style="7" customWidth="1"/>
    <col min="9216" max="9216" width="19.625" style="7" customWidth="1"/>
    <col min="9217" max="9217" width="8.625" style="7" customWidth="1"/>
    <col min="9218" max="9219" width="7.625" style="7" customWidth="1"/>
    <col min="9220" max="9220" width="11.125" style="7" customWidth="1"/>
    <col min="9221" max="9229" width="8.625" style="7" customWidth="1"/>
    <col min="9230" max="9230" width="11.125" style="7" customWidth="1"/>
    <col min="9231" max="9232" width="8.625" style="7" customWidth="1"/>
    <col min="9233" max="9470" width="9" style="7"/>
    <col min="9471" max="9471" width="8.625" style="7" customWidth="1"/>
    <col min="9472" max="9472" width="19.625" style="7" customWidth="1"/>
    <col min="9473" max="9473" width="8.625" style="7" customWidth="1"/>
    <col min="9474" max="9475" width="7.625" style="7" customWidth="1"/>
    <col min="9476" max="9476" width="11.125" style="7" customWidth="1"/>
    <col min="9477" max="9485" width="8.625" style="7" customWidth="1"/>
    <col min="9486" max="9486" width="11.125" style="7" customWidth="1"/>
    <col min="9487" max="9488" width="8.625" style="7" customWidth="1"/>
    <col min="9489" max="9726" width="9" style="7"/>
    <col min="9727" max="9727" width="8.625" style="7" customWidth="1"/>
    <col min="9728" max="9728" width="19.625" style="7" customWidth="1"/>
    <col min="9729" max="9729" width="8.625" style="7" customWidth="1"/>
    <col min="9730" max="9731" width="7.625" style="7" customWidth="1"/>
    <col min="9732" max="9732" width="11.125" style="7" customWidth="1"/>
    <col min="9733" max="9741" width="8.625" style="7" customWidth="1"/>
    <col min="9742" max="9742" width="11.125" style="7" customWidth="1"/>
    <col min="9743" max="9744" width="8.625" style="7" customWidth="1"/>
    <col min="9745" max="9982" width="9" style="7"/>
    <col min="9983" max="9983" width="8.625" style="7" customWidth="1"/>
    <col min="9984" max="9984" width="19.625" style="7" customWidth="1"/>
    <col min="9985" max="9985" width="8.625" style="7" customWidth="1"/>
    <col min="9986" max="9987" width="7.625" style="7" customWidth="1"/>
    <col min="9988" max="9988" width="11.125" style="7" customWidth="1"/>
    <col min="9989" max="9997" width="8.625" style="7" customWidth="1"/>
    <col min="9998" max="9998" width="11.125" style="7" customWidth="1"/>
    <col min="9999" max="10000" width="8.625" style="7" customWidth="1"/>
    <col min="10001" max="10238" width="9" style="7"/>
    <col min="10239" max="10239" width="8.625" style="7" customWidth="1"/>
    <col min="10240" max="10240" width="19.625" style="7" customWidth="1"/>
    <col min="10241" max="10241" width="8.625" style="7" customWidth="1"/>
    <col min="10242" max="10243" width="7.625" style="7" customWidth="1"/>
    <col min="10244" max="10244" width="11.125" style="7" customWidth="1"/>
    <col min="10245" max="10253" width="8.625" style="7" customWidth="1"/>
    <col min="10254" max="10254" width="11.125" style="7" customWidth="1"/>
    <col min="10255" max="10256" width="8.625" style="7" customWidth="1"/>
    <col min="10257" max="10494" width="9" style="7"/>
    <col min="10495" max="10495" width="8.625" style="7" customWidth="1"/>
    <col min="10496" max="10496" width="19.625" style="7" customWidth="1"/>
    <col min="10497" max="10497" width="8.625" style="7" customWidth="1"/>
    <col min="10498" max="10499" width="7.625" style="7" customWidth="1"/>
    <col min="10500" max="10500" width="11.125" style="7" customWidth="1"/>
    <col min="10501" max="10509" width="8.625" style="7" customWidth="1"/>
    <col min="10510" max="10510" width="11.125" style="7" customWidth="1"/>
    <col min="10511" max="10512" width="8.625" style="7" customWidth="1"/>
    <col min="10513" max="10750" width="9" style="7"/>
    <col min="10751" max="10751" width="8.625" style="7" customWidth="1"/>
    <col min="10752" max="10752" width="19.625" style="7" customWidth="1"/>
    <col min="10753" max="10753" width="8.625" style="7" customWidth="1"/>
    <col min="10754" max="10755" width="7.625" style="7" customWidth="1"/>
    <col min="10756" max="10756" width="11.125" style="7" customWidth="1"/>
    <col min="10757" max="10765" width="8.625" style="7" customWidth="1"/>
    <col min="10766" max="10766" width="11.125" style="7" customWidth="1"/>
    <col min="10767" max="10768" width="8.625" style="7" customWidth="1"/>
    <col min="10769" max="11006" width="9" style="7"/>
    <col min="11007" max="11007" width="8.625" style="7" customWidth="1"/>
    <col min="11008" max="11008" width="19.625" style="7" customWidth="1"/>
    <col min="11009" max="11009" width="8.625" style="7" customWidth="1"/>
    <col min="11010" max="11011" width="7.625" style="7" customWidth="1"/>
    <col min="11012" max="11012" width="11.125" style="7" customWidth="1"/>
    <col min="11013" max="11021" width="8.625" style="7" customWidth="1"/>
    <col min="11022" max="11022" width="11.125" style="7" customWidth="1"/>
    <col min="11023" max="11024" width="8.625" style="7" customWidth="1"/>
    <col min="11025" max="11262" width="9" style="7"/>
    <col min="11263" max="11263" width="8.625" style="7" customWidth="1"/>
    <col min="11264" max="11264" width="19.625" style="7" customWidth="1"/>
    <col min="11265" max="11265" width="8.625" style="7" customWidth="1"/>
    <col min="11266" max="11267" width="7.625" style="7" customWidth="1"/>
    <col min="11268" max="11268" width="11.125" style="7" customWidth="1"/>
    <col min="11269" max="11277" width="8.625" style="7" customWidth="1"/>
    <col min="11278" max="11278" width="11.125" style="7" customWidth="1"/>
    <col min="11279" max="11280" width="8.625" style="7" customWidth="1"/>
    <col min="11281" max="11518" width="9" style="7"/>
    <col min="11519" max="11519" width="8.625" style="7" customWidth="1"/>
    <col min="11520" max="11520" width="19.625" style="7" customWidth="1"/>
    <col min="11521" max="11521" width="8.625" style="7" customWidth="1"/>
    <col min="11522" max="11523" width="7.625" style="7" customWidth="1"/>
    <col min="11524" max="11524" width="11.125" style="7" customWidth="1"/>
    <col min="11525" max="11533" width="8.625" style="7" customWidth="1"/>
    <col min="11534" max="11534" width="11.125" style="7" customWidth="1"/>
    <col min="11535" max="11536" width="8.625" style="7" customWidth="1"/>
    <col min="11537" max="11774" width="9" style="7"/>
    <col min="11775" max="11775" width="8.625" style="7" customWidth="1"/>
    <col min="11776" max="11776" width="19.625" style="7" customWidth="1"/>
    <col min="11777" max="11777" width="8.625" style="7" customWidth="1"/>
    <col min="11778" max="11779" width="7.625" style="7" customWidth="1"/>
    <col min="11780" max="11780" width="11.125" style="7" customWidth="1"/>
    <col min="11781" max="11789" width="8.625" style="7" customWidth="1"/>
    <col min="11790" max="11790" width="11.125" style="7" customWidth="1"/>
    <col min="11791" max="11792" width="8.625" style="7" customWidth="1"/>
    <col min="11793" max="12030" width="9" style="7"/>
    <col min="12031" max="12031" width="8.625" style="7" customWidth="1"/>
    <col min="12032" max="12032" width="19.625" style="7" customWidth="1"/>
    <col min="12033" max="12033" width="8.625" style="7" customWidth="1"/>
    <col min="12034" max="12035" width="7.625" style="7" customWidth="1"/>
    <col min="12036" max="12036" width="11.125" style="7" customWidth="1"/>
    <col min="12037" max="12045" width="8.625" style="7" customWidth="1"/>
    <col min="12046" max="12046" width="11.125" style="7" customWidth="1"/>
    <col min="12047" max="12048" width="8.625" style="7" customWidth="1"/>
    <col min="12049" max="12286" width="9" style="7"/>
    <col min="12287" max="12287" width="8.625" style="7" customWidth="1"/>
    <col min="12288" max="12288" width="19.625" style="7" customWidth="1"/>
    <col min="12289" max="12289" width="8.625" style="7" customWidth="1"/>
    <col min="12290" max="12291" width="7.625" style="7" customWidth="1"/>
    <col min="12292" max="12292" width="11.125" style="7" customWidth="1"/>
    <col min="12293" max="12301" width="8.625" style="7" customWidth="1"/>
    <col min="12302" max="12302" width="11.125" style="7" customWidth="1"/>
    <col min="12303" max="12304" width="8.625" style="7" customWidth="1"/>
    <col min="12305" max="12542" width="9" style="7"/>
    <col min="12543" max="12543" width="8.625" style="7" customWidth="1"/>
    <col min="12544" max="12544" width="19.625" style="7" customWidth="1"/>
    <col min="12545" max="12545" width="8.625" style="7" customWidth="1"/>
    <col min="12546" max="12547" width="7.625" style="7" customWidth="1"/>
    <col min="12548" max="12548" width="11.125" style="7" customWidth="1"/>
    <col min="12549" max="12557" width="8.625" style="7" customWidth="1"/>
    <col min="12558" max="12558" width="11.125" style="7" customWidth="1"/>
    <col min="12559" max="12560" width="8.625" style="7" customWidth="1"/>
    <col min="12561" max="12798" width="9" style="7"/>
    <col min="12799" max="12799" width="8.625" style="7" customWidth="1"/>
    <col min="12800" max="12800" width="19.625" style="7" customWidth="1"/>
    <col min="12801" max="12801" width="8.625" style="7" customWidth="1"/>
    <col min="12802" max="12803" width="7.625" style="7" customWidth="1"/>
    <col min="12804" max="12804" width="11.125" style="7" customWidth="1"/>
    <col min="12805" max="12813" width="8.625" style="7" customWidth="1"/>
    <col min="12814" max="12814" width="11.125" style="7" customWidth="1"/>
    <col min="12815" max="12816" width="8.625" style="7" customWidth="1"/>
    <col min="12817" max="13054" width="9" style="7"/>
    <col min="13055" max="13055" width="8.625" style="7" customWidth="1"/>
    <col min="13056" max="13056" width="19.625" style="7" customWidth="1"/>
    <col min="13057" max="13057" width="8.625" style="7" customWidth="1"/>
    <col min="13058" max="13059" width="7.625" style="7" customWidth="1"/>
    <col min="13060" max="13060" width="11.125" style="7" customWidth="1"/>
    <col min="13061" max="13069" width="8.625" style="7" customWidth="1"/>
    <col min="13070" max="13070" width="11.125" style="7" customWidth="1"/>
    <col min="13071" max="13072" width="8.625" style="7" customWidth="1"/>
    <col min="13073" max="13310" width="9" style="7"/>
    <col min="13311" max="13311" width="8.625" style="7" customWidth="1"/>
    <col min="13312" max="13312" width="19.625" style="7" customWidth="1"/>
    <col min="13313" max="13313" width="8.625" style="7" customWidth="1"/>
    <col min="13314" max="13315" width="7.625" style="7" customWidth="1"/>
    <col min="13316" max="13316" width="11.125" style="7" customWidth="1"/>
    <col min="13317" max="13325" width="8.625" style="7" customWidth="1"/>
    <col min="13326" max="13326" width="11.125" style="7" customWidth="1"/>
    <col min="13327" max="13328" width="8.625" style="7" customWidth="1"/>
    <col min="13329" max="13566" width="9" style="7"/>
    <col min="13567" max="13567" width="8.625" style="7" customWidth="1"/>
    <col min="13568" max="13568" width="19.625" style="7" customWidth="1"/>
    <col min="13569" max="13569" width="8.625" style="7" customWidth="1"/>
    <col min="13570" max="13571" width="7.625" style="7" customWidth="1"/>
    <col min="13572" max="13572" width="11.125" style="7" customWidth="1"/>
    <col min="13573" max="13581" width="8.625" style="7" customWidth="1"/>
    <col min="13582" max="13582" width="11.125" style="7" customWidth="1"/>
    <col min="13583" max="13584" width="8.625" style="7" customWidth="1"/>
    <col min="13585" max="13822" width="9" style="7"/>
    <col min="13823" max="13823" width="8.625" style="7" customWidth="1"/>
    <col min="13824" max="13824" width="19.625" style="7" customWidth="1"/>
    <col min="13825" max="13825" width="8.625" style="7" customWidth="1"/>
    <col min="13826" max="13827" width="7.625" style="7" customWidth="1"/>
    <col min="13828" max="13828" width="11.125" style="7" customWidth="1"/>
    <col min="13829" max="13837" width="8.625" style="7" customWidth="1"/>
    <col min="13838" max="13838" width="11.125" style="7" customWidth="1"/>
    <col min="13839" max="13840" width="8.625" style="7" customWidth="1"/>
    <col min="13841" max="14078" width="9" style="7"/>
    <col min="14079" max="14079" width="8.625" style="7" customWidth="1"/>
    <col min="14080" max="14080" width="19.625" style="7" customWidth="1"/>
    <col min="14081" max="14081" width="8.625" style="7" customWidth="1"/>
    <col min="14082" max="14083" width="7.625" style="7" customWidth="1"/>
    <col min="14084" max="14084" width="11.125" style="7" customWidth="1"/>
    <col min="14085" max="14093" width="8.625" style="7" customWidth="1"/>
    <col min="14094" max="14094" width="11.125" style="7" customWidth="1"/>
    <col min="14095" max="14096" width="8.625" style="7" customWidth="1"/>
    <col min="14097" max="14334" width="9" style="7"/>
    <col min="14335" max="14335" width="8.625" style="7" customWidth="1"/>
    <col min="14336" max="14336" width="19.625" style="7" customWidth="1"/>
    <col min="14337" max="14337" width="8.625" style="7" customWidth="1"/>
    <col min="14338" max="14339" width="7.625" style="7" customWidth="1"/>
    <col min="14340" max="14340" width="11.125" style="7" customWidth="1"/>
    <col min="14341" max="14349" width="8.625" style="7" customWidth="1"/>
    <col min="14350" max="14350" width="11.125" style="7" customWidth="1"/>
    <col min="14351" max="14352" width="8.625" style="7" customWidth="1"/>
    <col min="14353" max="14590" width="9" style="7"/>
    <col min="14591" max="14591" width="8.625" style="7" customWidth="1"/>
    <col min="14592" max="14592" width="19.625" style="7" customWidth="1"/>
    <col min="14593" max="14593" width="8.625" style="7" customWidth="1"/>
    <col min="14594" max="14595" width="7.625" style="7" customWidth="1"/>
    <col min="14596" max="14596" width="11.125" style="7" customWidth="1"/>
    <col min="14597" max="14605" width="8.625" style="7" customWidth="1"/>
    <col min="14606" max="14606" width="11.125" style="7" customWidth="1"/>
    <col min="14607" max="14608" width="8.625" style="7" customWidth="1"/>
    <col min="14609" max="14846" width="9" style="7"/>
    <col min="14847" max="14847" width="8.625" style="7" customWidth="1"/>
    <col min="14848" max="14848" width="19.625" style="7" customWidth="1"/>
    <col min="14849" max="14849" width="8.625" style="7" customWidth="1"/>
    <col min="14850" max="14851" width="7.625" style="7" customWidth="1"/>
    <col min="14852" max="14852" width="11.125" style="7" customWidth="1"/>
    <col min="14853" max="14861" width="8.625" style="7" customWidth="1"/>
    <col min="14862" max="14862" width="11.125" style="7" customWidth="1"/>
    <col min="14863" max="14864" width="8.625" style="7" customWidth="1"/>
    <col min="14865" max="15102" width="9" style="7"/>
    <col min="15103" max="15103" width="8.625" style="7" customWidth="1"/>
    <col min="15104" max="15104" width="19.625" style="7" customWidth="1"/>
    <col min="15105" max="15105" width="8.625" style="7" customWidth="1"/>
    <col min="15106" max="15107" width="7.625" style="7" customWidth="1"/>
    <col min="15108" max="15108" width="11.125" style="7" customWidth="1"/>
    <col min="15109" max="15117" width="8.625" style="7" customWidth="1"/>
    <col min="15118" max="15118" width="11.125" style="7" customWidth="1"/>
    <col min="15119" max="15120" width="8.625" style="7" customWidth="1"/>
    <col min="15121" max="15358" width="9" style="7"/>
    <col min="15359" max="15359" width="8.625" style="7" customWidth="1"/>
    <col min="15360" max="15360" width="19.625" style="7" customWidth="1"/>
    <col min="15361" max="15361" width="8.625" style="7" customWidth="1"/>
    <col min="15362" max="15363" width="7.625" style="7" customWidth="1"/>
    <col min="15364" max="15364" width="11.125" style="7" customWidth="1"/>
    <col min="15365" max="15373" width="8.625" style="7" customWidth="1"/>
    <col min="15374" max="15374" width="11.125" style="7" customWidth="1"/>
    <col min="15375" max="15376" width="8.625" style="7" customWidth="1"/>
    <col min="15377" max="15614" width="9" style="7"/>
    <col min="15615" max="15615" width="8.625" style="7" customWidth="1"/>
    <col min="15616" max="15616" width="19.625" style="7" customWidth="1"/>
    <col min="15617" max="15617" width="8.625" style="7" customWidth="1"/>
    <col min="15618" max="15619" width="7.625" style="7" customWidth="1"/>
    <col min="15620" max="15620" width="11.125" style="7" customWidth="1"/>
    <col min="15621" max="15629" width="8.625" style="7" customWidth="1"/>
    <col min="15630" max="15630" width="11.125" style="7" customWidth="1"/>
    <col min="15631" max="15632" width="8.625" style="7" customWidth="1"/>
    <col min="15633" max="15870" width="9" style="7"/>
    <col min="15871" max="15871" width="8.625" style="7" customWidth="1"/>
    <col min="15872" max="15872" width="19.625" style="7" customWidth="1"/>
    <col min="15873" max="15873" width="8.625" style="7" customWidth="1"/>
    <col min="15874" max="15875" width="7.625" style="7" customWidth="1"/>
    <col min="15876" max="15876" width="11.125" style="7" customWidth="1"/>
    <col min="15877" max="15885" width="8.625" style="7" customWidth="1"/>
    <col min="15886" max="15886" width="11.125" style="7" customWidth="1"/>
    <col min="15887" max="15888" width="8.625" style="7" customWidth="1"/>
    <col min="15889" max="16126" width="9" style="7"/>
    <col min="16127" max="16127" width="8.625" style="7" customWidth="1"/>
    <col min="16128" max="16128" width="19.625" style="7" customWidth="1"/>
    <col min="16129" max="16129" width="8.625" style="7" customWidth="1"/>
    <col min="16130" max="16131" width="7.625" style="7" customWidth="1"/>
    <col min="16132" max="16132" width="11.125" style="7" customWidth="1"/>
    <col min="16133" max="16141" width="8.625" style="7" customWidth="1"/>
    <col min="16142" max="16142" width="11.125" style="7" customWidth="1"/>
    <col min="16143" max="16144" width="8.625" style="7" customWidth="1"/>
    <col min="16145" max="16384" width="9" style="7"/>
  </cols>
  <sheetData>
    <row r="1" spans="1:19" ht="18" customHeight="1">
      <c r="A1" s="1" t="s">
        <v>24</v>
      </c>
      <c r="B1" s="2"/>
      <c r="C1" s="2"/>
      <c r="D1" s="2"/>
      <c r="E1" s="2"/>
      <c r="F1" s="3"/>
      <c r="G1" s="2"/>
      <c r="H1" s="3"/>
      <c r="I1" s="4"/>
      <c r="J1" s="4"/>
      <c r="K1" s="4"/>
      <c r="L1" s="4"/>
      <c r="M1" s="5"/>
      <c r="N1" s="2"/>
      <c r="O1" s="2"/>
      <c r="P1" s="6"/>
    </row>
    <row r="2" spans="1:19" ht="12.75" customHeight="1" thickBot="1">
      <c r="A2" s="8"/>
      <c r="B2" s="8"/>
      <c r="C2" s="8"/>
      <c r="D2" s="8"/>
      <c r="E2" s="8"/>
      <c r="F2" s="9"/>
      <c r="G2" s="8"/>
      <c r="H2" s="9"/>
      <c r="I2" s="10"/>
      <c r="J2" s="10"/>
      <c r="K2" s="10"/>
      <c r="L2" s="218"/>
      <c r="M2" s="218"/>
      <c r="N2" s="218"/>
      <c r="O2" s="11"/>
      <c r="P2" s="6"/>
    </row>
    <row r="3" spans="1:19" s="13" customFormat="1" ht="23.1" customHeight="1">
      <c r="A3" s="219" t="s">
        <v>0</v>
      </c>
      <c r="B3" s="220"/>
      <c r="C3" s="221"/>
      <c r="D3" s="222"/>
      <c r="E3" s="222"/>
      <c r="F3" s="222"/>
      <c r="G3" s="222"/>
      <c r="H3" s="223"/>
      <c r="I3" s="12" t="s">
        <v>25</v>
      </c>
      <c r="J3" s="224"/>
      <c r="K3" s="225"/>
      <c r="L3" s="226"/>
      <c r="M3" s="227"/>
      <c r="N3" s="231" t="s">
        <v>1</v>
      </c>
      <c r="O3" s="231"/>
      <c r="P3" s="231"/>
    </row>
    <row r="4" spans="1:19" s="13" customFormat="1" ht="23.1" customHeight="1">
      <c r="A4" s="232" t="s">
        <v>26</v>
      </c>
      <c r="B4" s="233"/>
      <c r="C4" s="234"/>
      <c r="D4" s="235"/>
      <c r="E4" s="235"/>
      <c r="F4" s="235"/>
      <c r="G4" s="235"/>
      <c r="H4" s="236"/>
      <c r="I4" s="14" t="s">
        <v>27</v>
      </c>
      <c r="J4" s="237"/>
      <c r="K4" s="238"/>
      <c r="L4" s="210"/>
      <c r="M4" s="228"/>
      <c r="N4" s="239"/>
      <c r="O4" s="239"/>
      <c r="P4" s="239"/>
    </row>
    <row r="5" spans="1:19" s="13" customFormat="1" ht="23.1" customHeight="1" thickBot="1">
      <c r="A5" s="241" t="s">
        <v>2</v>
      </c>
      <c r="B5" s="242"/>
      <c r="C5" s="243">
        <f>J3-G24</f>
        <v>0</v>
      </c>
      <c r="D5" s="244"/>
      <c r="E5" s="244"/>
      <c r="F5" s="244"/>
      <c r="G5" s="244"/>
      <c r="H5" s="245"/>
      <c r="I5" s="15" t="s">
        <v>3</v>
      </c>
      <c r="J5" s="246">
        <f>SUM(J3:K4)</f>
        <v>0</v>
      </c>
      <c r="K5" s="247"/>
      <c r="L5" s="210"/>
      <c r="M5" s="228"/>
      <c r="N5" s="239"/>
      <c r="O5" s="239"/>
      <c r="P5" s="239"/>
    </row>
    <row r="6" spans="1:19" s="13" customFormat="1" ht="23.1" customHeight="1" thickBot="1">
      <c r="A6" s="248" t="s">
        <v>4</v>
      </c>
      <c r="B6" s="248"/>
      <c r="C6" s="249"/>
      <c r="D6" s="249"/>
      <c r="E6" s="250"/>
      <c r="F6" s="250"/>
      <c r="G6" s="250" t="s">
        <v>5</v>
      </c>
      <c r="H6" s="250"/>
      <c r="I6" s="16">
        <f>J5-I24</f>
        <v>0</v>
      </c>
      <c r="J6" s="209"/>
      <c r="K6" s="210"/>
      <c r="L6" s="229"/>
      <c r="M6" s="230"/>
      <c r="N6" s="239"/>
      <c r="O6" s="240"/>
      <c r="P6" s="239"/>
    </row>
    <row r="7" spans="1:19" s="13" customFormat="1" ht="18" customHeight="1" thickBot="1">
      <c r="A7" s="199" t="s">
        <v>6</v>
      </c>
      <c r="B7" s="199"/>
      <c r="C7" s="201" t="s">
        <v>28</v>
      </c>
      <c r="D7" s="203" t="s">
        <v>29</v>
      </c>
      <c r="E7" s="205" t="s">
        <v>23</v>
      </c>
      <c r="F7" s="206"/>
      <c r="G7" s="205" t="s">
        <v>30</v>
      </c>
      <c r="H7" s="206"/>
      <c r="I7" s="216" t="s">
        <v>31</v>
      </c>
      <c r="J7" s="17"/>
      <c r="K7" s="17"/>
      <c r="L7" s="195" t="s">
        <v>7</v>
      </c>
      <c r="M7" s="196" t="s">
        <v>8</v>
      </c>
      <c r="N7" s="197" t="s">
        <v>9</v>
      </c>
      <c r="O7" s="211" t="s">
        <v>10</v>
      </c>
      <c r="P7" s="213" t="s">
        <v>11</v>
      </c>
    </row>
    <row r="8" spans="1:19" s="13" customFormat="1" ht="44.25" customHeight="1" thickBot="1">
      <c r="A8" s="200"/>
      <c r="B8" s="200"/>
      <c r="C8" s="202"/>
      <c r="D8" s="204"/>
      <c r="E8" s="207"/>
      <c r="F8" s="208"/>
      <c r="G8" s="207"/>
      <c r="H8" s="208"/>
      <c r="I8" s="217"/>
      <c r="J8" s="18"/>
      <c r="K8" s="18"/>
      <c r="L8" s="195"/>
      <c r="M8" s="196"/>
      <c r="N8" s="198"/>
      <c r="O8" s="212"/>
      <c r="P8" s="213"/>
    </row>
    <row r="9" spans="1:19" ht="18.95" customHeight="1" thickTop="1">
      <c r="A9" s="66"/>
      <c r="B9" s="66"/>
      <c r="C9" s="19"/>
      <c r="D9" s="156"/>
      <c r="E9" s="214"/>
      <c r="F9" s="215"/>
      <c r="G9" s="214"/>
      <c r="H9" s="215"/>
      <c r="I9" s="85"/>
      <c r="J9" s="20"/>
      <c r="K9" s="21"/>
      <c r="L9" s="22">
        <f>SUM(J9:K9)</f>
        <v>0</v>
      </c>
      <c r="M9" s="23">
        <f>I9-L9</f>
        <v>0</v>
      </c>
      <c r="N9" s="24">
        <f>G9-I9</f>
        <v>0</v>
      </c>
      <c r="O9" s="82"/>
      <c r="P9" s="25" t="e">
        <f>L9/O9</f>
        <v>#DIV/0!</v>
      </c>
    </row>
    <row r="10" spans="1:19" ht="18.95" customHeight="1">
      <c r="A10" s="70"/>
      <c r="B10" s="70"/>
      <c r="C10" s="71"/>
      <c r="D10" s="157"/>
      <c r="E10" s="185"/>
      <c r="F10" s="186"/>
      <c r="G10" s="185"/>
      <c r="H10" s="186"/>
      <c r="I10" s="86"/>
      <c r="J10" s="76"/>
      <c r="K10" s="77"/>
      <c r="L10" s="72">
        <f>SUM(J10:K10)</f>
        <v>0</v>
      </c>
      <c r="M10" s="73">
        <f>I10-L10</f>
        <v>0</v>
      </c>
      <c r="N10" s="74">
        <f>G10-I10</f>
        <v>0</v>
      </c>
      <c r="O10" s="83"/>
      <c r="P10" s="75" t="e">
        <f t="shared" ref="P10" si="0">L10/O10</f>
        <v>#DIV/0!</v>
      </c>
      <c r="S10" s="26"/>
    </row>
    <row r="11" spans="1:19" ht="18.95" customHeight="1" thickBot="1">
      <c r="A11" s="27"/>
      <c r="B11" s="28" t="s">
        <v>12</v>
      </c>
      <c r="C11" s="29"/>
      <c r="D11" s="29"/>
      <c r="E11" s="187">
        <f>SUM(E9:F10)</f>
        <v>0</v>
      </c>
      <c r="F11" s="188"/>
      <c r="G11" s="187">
        <f>SUM(G9:H10)</f>
        <v>0</v>
      </c>
      <c r="H11" s="188"/>
      <c r="I11" s="87">
        <f>SUM(I9:I10)</f>
        <v>0</v>
      </c>
      <c r="J11" s="30"/>
      <c r="K11" s="31"/>
      <c r="L11" s="32">
        <f>SUM(L9:L10)</f>
        <v>0</v>
      </c>
      <c r="M11" s="32">
        <f>SUM(M9:M10)</f>
        <v>0</v>
      </c>
      <c r="N11" s="33">
        <f>SUM(N9:N10)</f>
        <v>0</v>
      </c>
      <c r="O11" s="84">
        <f>SUM(O9:O10)</f>
        <v>0</v>
      </c>
      <c r="P11" s="34"/>
    </row>
    <row r="12" spans="1:19" ht="15" customHeight="1" thickTop="1">
      <c r="A12" s="189"/>
      <c r="B12" s="190"/>
      <c r="C12" s="190"/>
      <c r="D12" s="190"/>
      <c r="E12" s="191"/>
      <c r="F12" s="191"/>
      <c r="G12" s="191"/>
      <c r="H12" s="191"/>
      <c r="I12" s="191"/>
      <c r="J12" s="190"/>
      <c r="K12" s="190"/>
      <c r="L12" s="190"/>
      <c r="M12" s="190"/>
      <c r="N12" s="190"/>
      <c r="O12" s="191"/>
      <c r="P12" s="192"/>
    </row>
    <row r="13" spans="1:19" ht="18.95" customHeight="1">
      <c r="A13" s="97"/>
      <c r="B13" s="98" t="s">
        <v>13</v>
      </c>
      <c r="C13" s="98"/>
      <c r="D13" s="99"/>
      <c r="E13" s="193" t="s">
        <v>32</v>
      </c>
      <c r="F13" s="194"/>
      <c r="G13" s="193" t="s">
        <v>14</v>
      </c>
      <c r="H13" s="194"/>
      <c r="I13" s="100" t="s">
        <v>15</v>
      </c>
      <c r="J13" s="101"/>
      <c r="K13" s="101"/>
      <c r="L13" s="101"/>
      <c r="M13" s="102"/>
      <c r="N13" s="103"/>
      <c r="O13" s="103"/>
      <c r="P13" s="104"/>
    </row>
    <row r="14" spans="1:19" ht="18.95" customHeight="1">
      <c r="A14" s="105"/>
      <c r="B14" s="107"/>
      <c r="C14" s="80"/>
      <c r="D14" s="158"/>
      <c r="E14" s="183"/>
      <c r="F14" s="184"/>
      <c r="G14" s="183"/>
      <c r="H14" s="184"/>
      <c r="I14" s="108"/>
      <c r="J14" s="20"/>
      <c r="K14" s="21"/>
      <c r="L14" s="81">
        <f>SUM(J14:K14)</f>
        <v>0</v>
      </c>
      <c r="M14" s="23">
        <f>I14-L14</f>
        <v>0</v>
      </c>
      <c r="N14" s="24">
        <f>G14-I14</f>
        <v>0</v>
      </c>
      <c r="O14" s="68"/>
      <c r="P14" s="88" t="e">
        <f>L14/O14</f>
        <v>#DIV/0!</v>
      </c>
    </row>
    <row r="15" spans="1:19" ht="18.95" customHeight="1">
      <c r="A15" s="106"/>
      <c r="B15" s="109"/>
      <c r="C15" s="71"/>
      <c r="D15" s="157"/>
      <c r="E15" s="185"/>
      <c r="F15" s="186"/>
      <c r="G15" s="185"/>
      <c r="H15" s="186"/>
      <c r="I15" s="110"/>
      <c r="J15" s="111"/>
      <c r="K15" s="112"/>
      <c r="L15" s="81">
        <f t="shared" ref="L15" si="1">SUM(J15:K15)</f>
        <v>0</v>
      </c>
      <c r="M15" s="23">
        <f t="shared" ref="M15" si="2">I15-L15</f>
        <v>0</v>
      </c>
      <c r="N15" s="24">
        <f t="shared" ref="N15" si="3">G15-I15</f>
        <v>0</v>
      </c>
      <c r="O15" s="69"/>
      <c r="P15" s="160" t="e">
        <f>L15/O15</f>
        <v>#DIV/0!</v>
      </c>
    </row>
    <row r="16" spans="1:19" ht="18.95" customHeight="1" thickBot="1">
      <c r="A16" s="89"/>
      <c r="B16" s="35" t="s">
        <v>16</v>
      </c>
      <c r="C16" s="35"/>
      <c r="D16" s="36"/>
      <c r="E16" s="168">
        <f>SUM(E14:E15)</f>
        <v>0</v>
      </c>
      <c r="F16" s="169"/>
      <c r="G16" s="168">
        <f>SUM(G14:G15)</f>
        <v>0</v>
      </c>
      <c r="H16" s="169"/>
      <c r="I16" s="37">
        <f>SUM(I14:I15)</f>
        <v>0</v>
      </c>
      <c r="J16" s="38"/>
      <c r="K16" s="38"/>
      <c r="L16" s="39">
        <f>SUM(L14:L15)</f>
        <v>0</v>
      </c>
      <c r="M16" s="40">
        <f>SUM(M14:M15)</f>
        <v>0</v>
      </c>
      <c r="N16" s="41">
        <f>SUM(N14:N15)</f>
        <v>0</v>
      </c>
      <c r="O16" s="42">
        <f>SUM(O14:O15)</f>
        <v>0</v>
      </c>
      <c r="P16" s="159"/>
    </row>
    <row r="17" spans="1:16" ht="2.25" customHeight="1" thickTop="1" thickBot="1">
      <c r="A17" s="90"/>
      <c r="B17" s="43"/>
      <c r="C17" s="43"/>
      <c r="D17" s="43"/>
      <c r="E17" s="43"/>
      <c r="F17" s="44"/>
      <c r="G17" s="43"/>
      <c r="H17" s="44"/>
      <c r="I17" s="45"/>
      <c r="J17" s="44"/>
      <c r="K17" s="44"/>
      <c r="L17" s="44"/>
      <c r="M17" s="46"/>
      <c r="N17" s="47"/>
      <c r="O17" s="48"/>
      <c r="P17" s="91"/>
    </row>
    <row r="18" spans="1:16" ht="26.25" customHeight="1" thickTop="1" thickBot="1">
      <c r="A18" s="92"/>
      <c r="B18" s="93" t="s">
        <v>17</v>
      </c>
      <c r="C18" s="93"/>
      <c r="D18" s="93"/>
      <c r="E18" s="170"/>
      <c r="F18" s="171"/>
      <c r="G18" s="170"/>
      <c r="H18" s="171"/>
      <c r="I18" s="49"/>
      <c r="J18" s="49"/>
      <c r="K18" s="49"/>
      <c r="L18" s="50">
        <f>SUM(L16,L11)</f>
        <v>0</v>
      </c>
      <c r="M18" s="51">
        <f>SUM(M16,M11)</f>
        <v>0</v>
      </c>
      <c r="N18" s="94">
        <f>N11+N16</f>
        <v>0</v>
      </c>
      <c r="O18" s="95">
        <f>SUM(O16,O11)</f>
        <v>0</v>
      </c>
      <c r="P18" s="96"/>
    </row>
    <row r="19" spans="1:16" ht="2.25" customHeight="1" thickTop="1">
      <c r="A19" s="137"/>
      <c r="B19" s="138"/>
      <c r="C19" s="138"/>
      <c r="D19" s="138"/>
      <c r="E19" s="138"/>
      <c r="F19" s="139"/>
      <c r="G19" s="138"/>
      <c r="H19" s="139"/>
      <c r="I19" s="140"/>
      <c r="J19" s="139"/>
      <c r="K19" s="139"/>
      <c r="L19" s="139"/>
      <c r="M19" s="141"/>
      <c r="N19" s="142"/>
      <c r="O19" s="143"/>
      <c r="P19" s="144"/>
    </row>
    <row r="20" spans="1:16" ht="18.2" customHeight="1">
      <c r="A20" s="145"/>
      <c r="B20" s="146"/>
      <c r="C20" s="146"/>
      <c r="D20" s="146"/>
      <c r="E20" s="146"/>
      <c r="F20" s="128"/>
      <c r="G20" s="146"/>
      <c r="H20" s="128"/>
      <c r="I20" s="147"/>
      <c r="J20" s="128"/>
      <c r="K20" s="128"/>
      <c r="L20" s="128"/>
      <c r="M20" s="148"/>
      <c r="N20" s="149"/>
      <c r="O20" s="150"/>
      <c r="P20" s="149"/>
    </row>
    <row r="21" spans="1:16" ht="18.2" customHeight="1">
      <c r="A21" s="161"/>
      <c r="B21" s="114"/>
      <c r="C21" s="115"/>
      <c r="D21" s="116"/>
      <c r="E21" s="172"/>
      <c r="F21" s="173"/>
      <c r="G21" s="174"/>
      <c r="H21" s="175"/>
      <c r="I21" s="117"/>
      <c r="J21" s="118"/>
      <c r="K21" s="118"/>
      <c r="L21" s="119">
        <f>SUM(J21:K21)</f>
        <v>0</v>
      </c>
      <c r="M21" s="120">
        <f>I21-L21</f>
        <v>0</v>
      </c>
      <c r="N21" s="121">
        <f>G21-I21</f>
        <v>0</v>
      </c>
      <c r="O21" s="122"/>
      <c r="P21" s="123" t="e">
        <f>L21/O21</f>
        <v>#DIV/0!</v>
      </c>
    </row>
    <row r="22" spans="1:16" ht="18.2" customHeight="1">
      <c r="A22" s="162"/>
      <c r="B22" s="124"/>
      <c r="C22" s="125"/>
      <c r="D22" s="126"/>
      <c r="E22" s="163"/>
      <c r="F22" s="164"/>
      <c r="G22" s="165"/>
      <c r="H22" s="166"/>
      <c r="I22" s="127"/>
      <c r="J22" s="128"/>
      <c r="K22" s="128"/>
      <c r="L22" s="129">
        <f>SUM(J22:K22)</f>
        <v>0</v>
      </c>
      <c r="M22" s="130">
        <f>I22-L22</f>
        <v>0</v>
      </c>
      <c r="N22" s="131">
        <f>G22-I22</f>
        <v>0</v>
      </c>
      <c r="O22" s="132"/>
      <c r="P22" s="133" t="e">
        <f>L22/O22</f>
        <v>#DIV/0!</v>
      </c>
    </row>
    <row r="23" spans="1:16" ht="18.95" customHeight="1" thickBot="1">
      <c r="A23" s="113"/>
      <c r="B23" s="78" t="s">
        <v>34</v>
      </c>
      <c r="C23" s="79"/>
      <c r="D23" s="151"/>
      <c r="E23" s="180">
        <f>SUM(E21:F22)</f>
        <v>0</v>
      </c>
      <c r="F23" s="181"/>
      <c r="G23" s="182">
        <f>SUM(G21:H22)</f>
        <v>0</v>
      </c>
      <c r="H23" s="181"/>
      <c r="I23" s="135">
        <f>SUM(I21:I22)</f>
        <v>0</v>
      </c>
      <c r="J23" s="30"/>
      <c r="K23" s="31"/>
      <c r="L23" s="32">
        <f>SUM(L21:L22)</f>
        <v>0</v>
      </c>
      <c r="M23" s="32">
        <f>SUM(M21:M22)</f>
        <v>0</v>
      </c>
      <c r="N23" s="33">
        <f>SUM(N21:N22)</f>
        <v>0</v>
      </c>
      <c r="O23" s="136">
        <f>SUM(O21:O22)</f>
        <v>0</v>
      </c>
      <c r="P23" s="34"/>
    </row>
    <row r="24" spans="1:16" ht="18.2" customHeight="1" thickTop="1">
      <c r="A24" s="52"/>
      <c r="B24" s="176" t="s">
        <v>18</v>
      </c>
      <c r="C24" s="177"/>
      <c r="D24" s="134"/>
      <c r="E24" s="178">
        <f>SUM(E11,E16,E23)</f>
        <v>0</v>
      </c>
      <c r="F24" s="179"/>
      <c r="G24" s="178">
        <f>SUM(G11,G16,G23)</f>
        <v>0</v>
      </c>
      <c r="H24" s="179"/>
      <c r="I24" s="53">
        <f>SUM(I23,I16,I11)</f>
        <v>0</v>
      </c>
      <c r="J24" s="54">
        <f>SUM(J9:J22)</f>
        <v>0</v>
      </c>
      <c r="K24" s="54">
        <f>SUM(K9:K22)</f>
        <v>0</v>
      </c>
      <c r="L24" s="54">
        <f>SUM(J24:K24)</f>
        <v>0</v>
      </c>
      <c r="M24" s="55">
        <f>I24-L24</f>
        <v>0</v>
      </c>
      <c r="N24" s="56">
        <f>SUM(N23,N18)</f>
        <v>0</v>
      </c>
      <c r="O24" s="57">
        <f>SUM(O23,O18)</f>
        <v>0</v>
      </c>
      <c r="P24" s="58"/>
    </row>
    <row r="25" spans="1:16" ht="25.5" customHeight="1">
      <c r="A25" s="59"/>
      <c r="B25" s="59"/>
      <c r="C25" s="59"/>
      <c r="D25" s="59"/>
      <c r="E25" s="59"/>
      <c r="F25" s="60"/>
      <c r="G25" s="59"/>
      <c r="H25" s="60"/>
      <c r="I25" s="61"/>
      <c r="J25" s="61"/>
      <c r="K25" s="61"/>
      <c r="L25" s="61"/>
      <c r="M25" s="62"/>
      <c r="N25" s="59"/>
      <c r="O25" s="59"/>
    </row>
    <row r="26" spans="1:16" ht="6" customHeight="1"/>
    <row r="27" spans="1:16" ht="18" customHeight="1">
      <c r="A27" s="13" t="s">
        <v>19</v>
      </c>
    </row>
    <row r="28" spans="1:16" ht="18" customHeight="1">
      <c r="A28" s="167" t="s">
        <v>20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</row>
    <row r="29" spans="1:16" ht="18" customHeight="1">
      <c r="A29" s="167" t="s">
        <v>21</v>
      </c>
      <c r="B29" s="167"/>
      <c r="C29" s="167"/>
      <c r="D29" s="167"/>
      <c r="E29" s="167"/>
      <c r="F29" s="167"/>
    </row>
    <row r="30" spans="1:16" ht="18" customHeight="1">
      <c r="A30" s="167" t="s">
        <v>22</v>
      </c>
      <c r="B30" s="167"/>
      <c r="C30" s="167"/>
      <c r="D30" s="167"/>
      <c r="E30" s="167"/>
      <c r="F30" s="167"/>
    </row>
  </sheetData>
  <mergeCells count="58">
    <mergeCell ref="L2:N2"/>
    <mergeCell ref="A3:B3"/>
    <mergeCell ref="C3:H3"/>
    <mergeCell ref="J3:K3"/>
    <mergeCell ref="L3:M6"/>
    <mergeCell ref="N3:P3"/>
    <mergeCell ref="A4:B4"/>
    <mergeCell ref="C4:H4"/>
    <mergeCell ref="J4:K4"/>
    <mergeCell ref="N4:P6"/>
    <mergeCell ref="A5:B5"/>
    <mergeCell ref="C5:H5"/>
    <mergeCell ref="J5:K5"/>
    <mergeCell ref="A6:B6"/>
    <mergeCell ref="C6:F6"/>
    <mergeCell ref="G6:H6"/>
    <mergeCell ref="J6:K6"/>
    <mergeCell ref="O7:O8"/>
    <mergeCell ref="P7:P8"/>
    <mergeCell ref="E9:F9"/>
    <mergeCell ref="G9:H9"/>
    <mergeCell ref="I7:I8"/>
    <mergeCell ref="A7:B8"/>
    <mergeCell ref="C7:C8"/>
    <mergeCell ref="D7:D8"/>
    <mergeCell ref="E7:F8"/>
    <mergeCell ref="G7:H8"/>
    <mergeCell ref="E10:F10"/>
    <mergeCell ref="G10:H10"/>
    <mergeCell ref="L7:L8"/>
    <mergeCell ref="M7:M8"/>
    <mergeCell ref="N7:N8"/>
    <mergeCell ref="E11:F11"/>
    <mergeCell ref="G11:H11"/>
    <mergeCell ref="A12:P12"/>
    <mergeCell ref="E13:F13"/>
    <mergeCell ref="G13:H13"/>
    <mergeCell ref="G23:H23"/>
    <mergeCell ref="E14:F14"/>
    <mergeCell ref="G14:H14"/>
    <mergeCell ref="E15:F15"/>
    <mergeCell ref="G15:H15"/>
    <mergeCell ref="A21:A22"/>
    <mergeCell ref="E22:F22"/>
    <mergeCell ref="G22:H22"/>
    <mergeCell ref="A30:F30"/>
    <mergeCell ref="E16:F16"/>
    <mergeCell ref="G16:H16"/>
    <mergeCell ref="E18:F18"/>
    <mergeCell ref="G18:H18"/>
    <mergeCell ref="E21:F21"/>
    <mergeCell ref="G21:H21"/>
    <mergeCell ref="B24:C24"/>
    <mergeCell ref="E24:F24"/>
    <mergeCell ref="G24:H24"/>
    <mergeCell ref="A28:K28"/>
    <mergeCell ref="A29:F29"/>
    <mergeCell ref="E23:F23"/>
  </mergeCells>
  <phoneticPr fontId="2"/>
  <pageMargins left="0.7" right="0.7" top="0.75" bottom="0.75" header="0.3" footer="0.3"/>
  <pageSetup paperSize="9" scale="4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C399D-C19C-4495-BB8B-C16974F92914}">
  <sheetPr codeName="Sheet1"/>
  <dimension ref="C3"/>
  <sheetViews>
    <sheetView workbookViewId="0">
      <selection activeCell="E8" sqref="E8"/>
    </sheetView>
  </sheetViews>
  <sheetFormatPr defaultRowHeight="18.75"/>
  <sheetData>
    <row r="3" spans="3:3">
      <c r="C3" s="67" t="s">
        <v>33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mportCSVWithDynamicCostColumns">
                <anchor moveWithCells="1">
                  <from>
                    <xdr:col>2</xdr:col>
                    <xdr:colOff>342900</xdr:colOff>
                    <xdr:row>4</xdr:row>
                    <xdr:rowOff>0</xdr:rowOff>
                  </from>
                  <to>
                    <xdr:col>5</xdr:col>
                    <xdr:colOff>133350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F5F05-6F85-4D08-9EB9-9FA9DC30997D}">
  <sheetPr codeName="Sheet8"/>
  <dimension ref="A1:AE152"/>
  <sheetViews>
    <sheetView view="pageBreakPreview" zoomScaleNormal="100" zoomScaleSheetLayoutView="100" workbookViewId="0">
      <pane xSplit="2" ySplit="6" topLeftCell="C106" activePane="bottomRight" state="frozen"/>
      <selection pane="topRight" activeCell="C1" sqref="C1"/>
      <selection pane="bottomLeft" activeCell="A9" sqref="A9"/>
      <selection pane="bottomRight" sqref="A1:B1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63" customWidth="1"/>
    <col min="7" max="7" width="7.625" style="13" customWidth="1"/>
    <col min="8" max="8" width="7.625" style="63" customWidth="1"/>
    <col min="9" max="9" width="15.375" style="64" customWidth="1"/>
    <col min="10" max="18" width="8.625" style="64" customWidth="1"/>
    <col min="19" max="19" width="8.625" style="65" customWidth="1"/>
    <col min="20" max="20" width="11.125" style="13" customWidth="1"/>
    <col min="21" max="21" width="8.625" style="13" customWidth="1"/>
    <col min="22" max="22" width="8.625" style="7" customWidth="1"/>
    <col min="23" max="260" width="9" style="7"/>
    <col min="261" max="261" width="8.625" style="7" customWidth="1"/>
    <col min="262" max="262" width="19.625" style="7" customWidth="1"/>
    <col min="263" max="263" width="8.625" style="7" customWidth="1"/>
    <col min="264" max="265" width="7.625" style="7" customWidth="1"/>
    <col min="266" max="266" width="11.125" style="7" customWidth="1"/>
    <col min="267" max="275" width="8.625" style="7" customWidth="1"/>
    <col min="276" max="276" width="11.125" style="7" customWidth="1"/>
    <col min="277" max="278" width="8.625" style="7" customWidth="1"/>
    <col min="279" max="516" width="9" style="7"/>
    <col min="517" max="517" width="8.625" style="7" customWidth="1"/>
    <col min="518" max="518" width="19.625" style="7" customWidth="1"/>
    <col min="519" max="519" width="8.625" style="7" customWidth="1"/>
    <col min="520" max="521" width="7.625" style="7" customWidth="1"/>
    <col min="522" max="522" width="11.125" style="7" customWidth="1"/>
    <col min="523" max="531" width="8.625" style="7" customWidth="1"/>
    <col min="532" max="532" width="11.125" style="7" customWidth="1"/>
    <col min="533" max="534" width="8.625" style="7" customWidth="1"/>
    <col min="535" max="772" width="9" style="7"/>
    <col min="773" max="773" width="8.625" style="7" customWidth="1"/>
    <col min="774" max="774" width="19.625" style="7" customWidth="1"/>
    <col min="775" max="775" width="8.625" style="7" customWidth="1"/>
    <col min="776" max="777" width="7.625" style="7" customWidth="1"/>
    <col min="778" max="778" width="11.125" style="7" customWidth="1"/>
    <col min="779" max="787" width="8.625" style="7" customWidth="1"/>
    <col min="788" max="788" width="11.125" style="7" customWidth="1"/>
    <col min="789" max="790" width="8.625" style="7" customWidth="1"/>
    <col min="791" max="1028" width="9" style="7"/>
    <col min="1029" max="1029" width="8.625" style="7" customWidth="1"/>
    <col min="1030" max="1030" width="19.625" style="7" customWidth="1"/>
    <col min="1031" max="1031" width="8.625" style="7" customWidth="1"/>
    <col min="1032" max="1033" width="7.625" style="7" customWidth="1"/>
    <col min="1034" max="1034" width="11.125" style="7" customWidth="1"/>
    <col min="1035" max="1043" width="8.625" style="7" customWidth="1"/>
    <col min="1044" max="1044" width="11.125" style="7" customWidth="1"/>
    <col min="1045" max="1046" width="8.625" style="7" customWidth="1"/>
    <col min="1047" max="1284" width="9" style="7"/>
    <col min="1285" max="1285" width="8.625" style="7" customWidth="1"/>
    <col min="1286" max="1286" width="19.625" style="7" customWidth="1"/>
    <col min="1287" max="1287" width="8.625" style="7" customWidth="1"/>
    <col min="1288" max="1289" width="7.625" style="7" customWidth="1"/>
    <col min="1290" max="1290" width="11.125" style="7" customWidth="1"/>
    <col min="1291" max="1299" width="8.625" style="7" customWidth="1"/>
    <col min="1300" max="1300" width="11.125" style="7" customWidth="1"/>
    <col min="1301" max="1302" width="8.625" style="7" customWidth="1"/>
    <col min="1303" max="1540" width="9" style="7"/>
    <col min="1541" max="1541" width="8.625" style="7" customWidth="1"/>
    <col min="1542" max="1542" width="19.625" style="7" customWidth="1"/>
    <col min="1543" max="1543" width="8.625" style="7" customWidth="1"/>
    <col min="1544" max="1545" width="7.625" style="7" customWidth="1"/>
    <col min="1546" max="1546" width="11.125" style="7" customWidth="1"/>
    <col min="1547" max="1555" width="8.625" style="7" customWidth="1"/>
    <col min="1556" max="1556" width="11.125" style="7" customWidth="1"/>
    <col min="1557" max="1558" width="8.625" style="7" customWidth="1"/>
    <col min="1559" max="1796" width="9" style="7"/>
    <col min="1797" max="1797" width="8.625" style="7" customWidth="1"/>
    <col min="1798" max="1798" width="19.625" style="7" customWidth="1"/>
    <col min="1799" max="1799" width="8.625" style="7" customWidth="1"/>
    <col min="1800" max="1801" width="7.625" style="7" customWidth="1"/>
    <col min="1802" max="1802" width="11.125" style="7" customWidth="1"/>
    <col min="1803" max="1811" width="8.625" style="7" customWidth="1"/>
    <col min="1812" max="1812" width="11.125" style="7" customWidth="1"/>
    <col min="1813" max="1814" width="8.625" style="7" customWidth="1"/>
    <col min="1815" max="2052" width="9" style="7"/>
    <col min="2053" max="2053" width="8.625" style="7" customWidth="1"/>
    <col min="2054" max="2054" width="19.625" style="7" customWidth="1"/>
    <col min="2055" max="2055" width="8.625" style="7" customWidth="1"/>
    <col min="2056" max="2057" width="7.625" style="7" customWidth="1"/>
    <col min="2058" max="2058" width="11.125" style="7" customWidth="1"/>
    <col min="2059" max="2067" width="8.625" style="7" customWidth="1"/>
    <col min="2068" max="2068" width="11.125" style="7" customWidth="1"/>
    <col min="2069" max="2070" width="8.625" style="7" customWidth="1"/>
    <col min="2071" max="2308" width="9" style="7"/>
    <col min="2309" max="2309" width="8.625" style="7" customWidth="1"/>
    <col min="2310" max="2310" width="19.625" style="7" customWidth="1"/>
    <col min="2311" max="2311" width="8.625" style="7" customWidth="1"/>
    <col min="2312" max="2313" width="7.625" style="7" customWidth="1"/>
    <col min="2314" max="2314" width="11.125" style="7" customWidth="1"/>
    <col min="2315" max="2323" width="8.625" style="7" customWidth="1"/>
    <col min="2324" max="2324" width="11.125" style="7" customWidth="1"/>
    <col min="2325" max="2326" width="8.625" style="7" customWidth="1"/>
    <col min="2327" max="2564" width="9" style="7"/>
    <col min="2565" max="2565" width="8.625" style="7" customWidth="1"/>
    <col min="2566" max="2566" width="19.625" style="7" customWidth="1"/>
    <col min="2567" max="2567" width="8.625" style="7" customWidth="1"/>
    <col min="2568" max="2569" width="7.625" style="7" customWidth="1"/>
    <col min="2570" max="2570" width="11.125" style="7" customWidth="1"/>
    <col min="2571" max="2579" width="8.625" style="7" customWidth="1"/>
    <col min="2580" max="2580" width="11.125" style="7" customWidth="1"/>
    <col min="2581" max="2582" width="8.625" style="7" customWidth="1"/>
    <col min="2583" max="2820" width="9" style="7"/>
    <col min="2821" max="2821" width="8.625" style="7" customWidth="1"/>
    <col min="2822" max="2822" width="19.625" style="7" customWidth="1"/>
    <col min="2823" max="2823" width="8.625" style="7" customWidth="1"/>
    <col min="2824" max="2825" width="7.625" style="7" customWidth="1"/>
    <col min="2826" max="2826" width="11.125" style="7" customWidth="1"/>
    <col min="2827" max="2835" width="8.625" style="7" customWidth="1"/>
    <col min="2836" max="2836" width="11.125" style="7" customWidth="1"/>
    <col min="2837" max="2838" width="8.625" style="7" customWidth="1"/>
    <col min="2839" max="3076" width="9" style="7"/>
    <col min="3077" max="3077" width="8.625" style="7" customWidth="1"/>
    <col min="3078" max="3078" width="19.625" style="7" customWidth="1"/>
    <col min="3079" max="3079" width="8.625" style="7" customWidth="1"/>
    <col min="3080" max="3081" width="7.625" style="7" customWidth="1"/>
    <col min="3082" max="3082" width="11.125" style="7" customWidth="1"/>
    <col min="3083" max="3091" width="8.625" style="7" customWidth="1"/>
    <col min="3092" max="3092" width="11.125" style="7" customWidth="1"/>
    <col min="3093" max="3094" width="8.625" style="7" customWidth="1"/>
    <col min="3095" max="3332" width="9" style="7"/>
    <col min="3333" max="3333" width="8.625" style="7" customWidth="1"/>
    <col min="3334" max="3334" width="19.625" style="7" customWidth="1"/>
    <col min="3335" max="3335" width="8.625" style="7" customWidth="1"/>
    <col min="3336" max="3337" width="7.625" style="7" customWidth="1"/>
    <col min="3338" max="3338" width="11.125" style="7" customWidth="1"/>
    <col min="3339" max="3347" width="8.625" style="7" customWidth="1"/>
    <col min="3348" max="3348" width="11.125" style="7" customWidth="1"/>
    <col min="3349" max="3350" width="8.625" style="7" customWidth="1"/>
    <col min="3351" max="3588" width="9" style="7"/>
    <col min="3589" max="3589" width="8.625" style="7" customWidth="1"/>
    <col min="3590" max="3590" width="19.625" style="7" customWidth="1"/>
    <col min="3591" max="3591" width="8.625" style="7" customWidth="1"/>
    <col min="3592" max="3593" width="7.625" style="7" customWidth="1"/>
    <col min="3594" max="3594" width="11.125" style="7" customWidth="1"/>
    <col min="3595" max="3603" width="8.625" style="7" customWidth="1"/>
    <col min="3604" max="3604" width="11.125" style="7" customWidth="1"/>
    <col min="3605" max="3606" width="8.625" style="7" customWidth="1"/>
    <col min="3607" max="3844" width="9" style="7"/>
    <col min="3845" max="3845" width="8.625" style="7" customWidth="1"/>
    <col min="3846" max="3846" width="19.625" style="7" customWidth="1"/>
    <col min="3847" max="3847" width="8.625" style="7" customWidth="1"/>
    <col min="3848" max="3849" width="7.625" style="7" customWidth="1"/>
    <col min="3850" max="3850" width="11.125" style="7" customWidth="1"/>
    <col min="3851" max="3859" width="8.625" style="7" customWidth="1"/>
    <col min="3860" max="3860" width="11.125" style="7" customWidth="1"/>
    <col min="3861" max="3862" width="8.625" style="7" customWidth="1"/>
    <col min="3863" max="4100" width="9" style="7"/>
    <col min="4101" max="4101" width="8.625" style="7" customWidth="1"/>
    <col min="4102" max="4102" width="19.625" style="7" customWidth="1"/>
    <col min="4103" max="4103" width="8.625" style="7" customWidth="1"/>
    <col min="4104" max="4105" width="7.625" style="7" customWidth="1"/>
    <col min="4106" max="4106" width="11.125" style="7" customWidth="1"/>
    <col min="4107" max="4115" width="8.625" style="7" customWidth="1"/>
    <col min="4116" max="4116" width="11.125" style="7" customWidth="1"/>
    <col min="4117" max="4118" width="8.625" style="7" customWidth="1"/>
    <col min="4119" max="4356" width="9" style="7"/>
    <col min="4357" max="4357" width="8.625" style="7" customWidth="1"/>
    <col min="4358" max="4358" width="19.625" style="7" customWidth="1"/>
    <col min="4359" max="4359" width="8.625" style="7" customWidth="1"/>
    <col min="4360" max="4361" width="7.625" style="7" customWidth="1"/>
    <col min="4362" max="4362" width="11.125" style="7" customWidth="1"/>
    <col min="4363" max="4371" width="8.625" style="7" customWidth="1"/>
    <col min="4372" max="4372" width="11.125" style="7" customWidth="1"/>
    <col min="4373" max="4374" width="8.625" style="7" customWidth="1"/>
    <col min="4375" max="4612" width="9" style="7"/>
    <col min="4613" max="4613" width="8.625" style="7" customWidth="1"/>
    <col min="4614" max="4614" width="19.625" style="7" customWidth="1"/>
    <col min="4615" max="4615" width="8.625" style="7" customWidth="1"/>
    <col min="4616" max="4617" width="7.625" style="7" customWidth="1"/>
    <col min="4618" max="4618" width="11.125" style="7" customWidth="1"/>
    <col min="4619" max="4627" width="8.625" style="7" customWidth="1"/>
    <col min="4628" max="4628" width="11.125" style="7" customWidth="1"/>
    <col min="4629" max="4630" width="8.625" style="7" customWidth="1"/>
    <col min="4631" max="4868" width="9" style="7"/>
    <col min="4869" max="4869" width="8.625" style="7" customWidth="1"/>
    <col min="4870" max="4870" width="19.625" style="7" customWidth="1"/>
    <col min="4871" max="4871" width="8.625" style="7" customWidth="1"/>
    <col min="4872" max="4873" width="7.625" style="7" customWidth="1"/>
    <col min="4874" max="4874" width="11.125" style="7" customWidth="1"/>
    <col min="4875" max="4883" width="8.625" style="7" customWidth="1"/>
    <col min="4884" max="4884" width="11.125" style="7" customWidth="1"/>
    <col min="4885" max="4886" width="8.625" style="7" customWidth="1"/>
    <col min="4887" max="5124" width="9" style="7"/>
    <col min="5125" max="5125" width="8.625" style="7" customWidth="1"/>
    <col min="5126" max="5126" width="19.625" style="7" customWidth="1"/>
    <col min="5127" max="5127" width="8.625" style="7" customWidth="1"/>
    <col min="5128" max="5129" width="7.625" style="7" customWidth="1"/>
    <col min="5130" max="5130" width="11.125" style="7" customWidth="1"/>
    <col min="5131" max="5139" width="8.625" style="7" customWidth="1"/>
    <col min="5140" max="5140" width="11.125" style="7" customWidth="1"/>
    <col min="5141" max="5142" width="8.625" style="7" customWidth="1"/>
    <col min="5143" max="5380" width="9" style="7"/>
    <col min="5381" max="5381" width="8.625" style="7" customWidth="1"/>
    <col min="5382" max="5382" width="19.625" style="7" customWidth="1"/>
    <col min="5383" max="5383" width="8.625" style="7" customWidth="1"/>
    <col min="5384" max="5385" width="7.625" style="7" customWidth="1"/>
    <col min="5386" max="5386" width="11.125" style="7" customWidth="1"/>
    <col min="5387" max="5395" width="8.625" style="7" customWidth="1"/>
    <col min="5396" max="5396" width="11.125" style="7" customWidth="1"/>
    <col min="5397" max="5398" width="8.625" style="7" customWidth="1"/>
    <col min="5399" max="5636" width="9" style="7"/>
    <col min="5637" max="5637" width="8.625" style="7" customWidth="1"/>
    <col min="5638" max="5638" width="19.625" style="7" customWidth="1"/>
    <col min="5639" max="5639" width="8.625" style="7" customWidth="1"/>
    <col min="5640" max="5641" width="7.625" style="7" customWidth="1"/>
    <col min="5642" max="5642" width="11.125" style="7" customWidth="1"/>
    <col min="5643" max="5651" width="8.625" style="7" customWidth="1"/>
    <col min="5652" max="5652" width="11.125" style="7" customWidth="1"/>
    <col min="5653" max="5654" width="8.625" style="7" customWidth="1"/>
    <col min="5655" max="5892" width="9" style="7"/>
    <col min="5893" max="5893" width="8.625" style="7" customWidth="1"/>
    <col min="5894" max="5894" width="19.625" style="7" customWidth="1"/>
    <col min="5895" max="5895" width="8.625" style="7" customWidth="1"/>
    <col min="5896" max="5897" width="7.625" style="7" customWidth="1"/>
    <col min="5898" max="5898" width="11.125" style="7" customWidth="1"/>
    <col min="5899" max="5907" width="8.625" style="7" customWidth="1"/>
    <col min="5908" max="5908" width="11.125" style="7" customWidth="1"/>
    <col min="5909" max="5910" width="8.625" style="7" customWidth="1"/>
    <col min="5911" max="6148" width="9" style="7"/>
    <col min="6149" max="6149" width="8.625" style="7" customWidth="1"/>
    <col min="6150" max="6150" width="19.625" style="7" customWidth="1"/>
    <col min="6151" max="6151" width="8.625" style="7" customWidth="1"/>
    <col min="6152" max="6153" width="7.625" style="7" customWidth="1"/>
    <col min="6154" max="6154" width="11.125" style="7" customWidth="1"/>
    <col min="6155" max="6163" width="8.625" style="7" customWidth="1"/>
    <col min="6164" max="6164" width="11.125" style="7" customWidth="1"/>
    <col min="6165" max="6166" width="8.625" style="7" customWidth="1"/>
    <col min="6167" max="6404" width="9" style="7"/>
    <col min="6405" max="6405" width="8.625" style="7" customWidth="1"/>
    <col min="6406" max="6406" width="19.625" style="7" customWidth="1"/>
    <col min="6407" max="6407" width="8.625" style="7" customWidth="1"/>
    <col min="6408" max="6409" width="7.625" style="7" customWidth="1"/>
    <col min="6410" max="6410" width="11.125" style="7" customWidth="1"/>
    <col min="6411" max="6419" width="8.625" style="7" customWidth="1"/>
    <col min="6420" max="6420" width="11.125" style="7" customWidth="1"/>
    <col min="6421" max="6422" width="8.625" style="7" customWidth="1"/>
    <col min="6423" max="6660" width="9" style="7"/>
    <col min="6661" max="6661" width="8.625" style="7" customWidth="1"/>
    <col min="6662" max="6662" width="19.625" style="7" customWidth="1"/>
    <col min="6663" max="6663" width="8.625" style="7" customWidth="1"/>
    <col min="6664" max="6665" width="7.625" style="7" customWidth="1"/>
    <col min="6666" max="6666" width="11.125" style="7" customWidth="1"/>
    <col min="6667" max="6675" width="8.625" style="7" customWidth="1"/>
    <col min="6676" max="6676" width="11.125" style="7" customWidth="1"/>
    <col min="6677" max="6678" width="8.625" style="7" customWidth="1"/>
    <col min="6679" max="6916" width="9" style="7"/>
    <col min="6917" max="6917" width="8.625" style="7" customWidth="1"/>
    <col min="6918" max="6918" width="19.625" style="7" customWidth="1"/>
    <col min="6919" max="6919" width="8.625" style="7" customWidth="1"/>
    <col min="6920" max="6921" width="7.625" style="7" customWidth="1"/>
    <col min="6922" max="6922" width="11.125" style="7" customWidth="1"/>
    <col min="6923" max="6931" width="8.625" style="7" customWidth="1"/>
    <col min="6932" max="6932" width="11.125" style="7" customWidth="1"/>
    <col min="6933" max="6934" width="8.625" style="7" customWidth="1"/>
    <col min="6935" max="7172" width="9" style="7"/>
    <col min="7173" max="7173" width="8.625" style="7" customWidth="1"/>
    <col min="7174" max="7174" width="19.625" style="7" customWidth="1"/>
    <col min="7175" max="7175" width="8.625" style="7" customWidth="1"/>
    <col min="7176" max="7177" width="7.625" style="7" customWidth="1"/>
    <col min="7178" max="7178" width="11.125" style="7" customWidth="1"/>
    <col min="7179" max="7187" width="8.625" style="7" customWidth="1"/>
    <col min="7188" max="7188" width="11.125" style="7" customWidth="1"/>
    <col min="7189" max="7190" width="8.625" style="7" customWidth="1"/>
    <col min="7191" max="7428" width="9" style="7"/>
    <col min="7429" max="7429" width="8.625" style="7" customWidth="1"/>
    <col min="7430" max="7430" width="19.625" style="7" customWidth="1"/>
    <col min="7431" max="7431" width="8.625" style="7" customWidth="1"/>
    <col min="7432" max="7433" width="7.625" style="7" customWidth="1"/>
    <col min="7434" max="7434" width="11.125" style="7" customWidth="1"/>
    <col min="7435" max="7443" width="8.625" style="7" customWidth="1"/>
    <col min="7444" max="7444" width="11.125" style="7" customWidth="1"/>
    <col min="7445" max="7446" width="8.625" style="7" customWidth="1"/>
    <col min="7447" max="7684" width="9" style="7"/>
    <col min="7685" max="7685" width="8.625" style="7" customWidth="1"/>
    <col min="7686" max="7686" width="19.625" style="7" customWidth="1"/>
    <col min="7687" max="7687" width="8.625" style="7" customWidth="1"/>
    <col min="7688" max="7689" width="7.625" style="7" customWidth="1"/>
    <col min="7690" max="7690" width="11.125" style="7" customWidth="1"/>
    <col min="7691" max="7699" width="8.625" style="7" customWidth="1"/>
    <col min="7700" max="7700" width="11.125" style="7" customWidth="1"/>
    <col min="7701" max="7702" width="8.625" style="7" customWidth="1"/>
    <col min="7703" max="7940" width="9" style="7"/>
    <col min="7941" max="7941" width="8.625" style="7" customWidth="1"/>
    <col min="7942" max="7942" width="19.625" style="7" customWidth="1"/>
    <col min="7943" max="7943" width="8.625" style="7" customWidth="1"/>
    <col min="7944" max="7945" width="7.625" style="7" customWidth="1"/>
    <col min="7946" max="7946" width="11.125" style="7" customWidth="1"/>
    <col min="7947" max="7955" width="8.625" style="7" customWidth="1"/>
    <col min="7956" max="7956" width="11.125" style="7" customWidth="1"/>
    <col min="7957" max="7958" width="8.625" style="7" customWidth="1"/>
    <col min="7959" max="8196" width="9" style="7"/>
    <col min="8197" max="8197" width="8.625" style="7" customWidth="1"/>
    <col min="8198" max="8198" width="19.625" style="7" customWidth="1"/>
    <col min="8199" max="8199" width="8.625" style="7" customWidth="1"/>
    <col min="8200" max="8201" width="7.625" style="7" customWidth="1"/>
    <col min="8202" max="8202" width="11.125" style="7" customWidth="1"/>
    <col min="8203" max="8211" width="8.625" style="7" customWidth="1"/>
    <col min="8212" max="8212" width="11.125" style="7" customWidth="1"/>
    <col min="8213" max="8214" width="8.625" style="7" customWidth="1"/>
    <col min="8215" max="8452" width="9" style="7"/>
    <col min="8453" max="8453" width="8.625" style="7" customWidth="1"/>
    <col min="8454" max="8454" width="19.625" style="7" customWidth="1"/>
    <col min="8455" max="8455" width="8.625" style="7" customWidth="1"/>
    <col min="8456" max="8457" width="7.625" style="7" customWidth="1"/>
    <col min="8458" max="8458" width="11.125" style="7" customWidth="1"/>
    <col min="8459" max="8467" width="8.625" style="7" customWidth="1"/>
    <col min="8468" max="8468" width="11.125" style="7" customWidth="1"/>
    <col min="8469" max="8470" width="8.625" style="7" customWidth="1"/>
    <col min="8471" max="8708" width="9" style="7"/>
    <col min="8709" max="8709" width="8.625" style="7" customWidth="1"/>
    <col min="8710" max="8710" width="19.625" style="7" customWidth="1"/>
    <col min="8711" max="8711" width="8.625" style="7" customWidth="1"/>
    <col min="8712" max="8713" width="7.625" style="7" customWidth="1"/>
    <col min="8714" max="8714" width="11.125" style="7" customWidth="1"/>
    <col min="8715" max="8723" width="8.625" style="7" customWidth="1"/>
    <col min="8724" max="8724" width="11.125" style="7" customWidth="1"/>
    <col min="8725" max="8726" width="8.625" style="7" customWidth="1"/>
    <col min="8727" max="8964" width="9" style="7"/>
    <col min="8965" max="8965" width="8.625" style="7" customWidth="1"/>
    <col min="8966" max="8966" width="19.625" style="7" customWidth="1"/>
    <col min="8967" max="8967" width="8.625" style="7" customWidth="1"/>
    <col min="8968" max="8969" width="7.625" style="7" customWidth="1"/>
    <col min="8970" max="8970" width="11.125" style="7" customWidth="1"/>
    <col min="8971" max="8979" width="8.625" style="7" customWidth="1"/>
    <col min="8980" max="8980" width="11.125" style="7" customWidth="1"/>
    <col min="8981" max="8982" width="8.625" style="7" customWidth="1"/>
    <col min="8983" max="9220" width="9" style="7"/>
    <col min="9221" max="9221" width="8.625" style="7" customWidth="1"/>
    <col min="9222" max="9222" width="19.625" style="7" customWidth="1"/>
    <col min="9223" max="9223" width="8.625" style="7" customWidth="1"/>
    <col min="9224" max="9225" width="7.625" style="7" customWidth="1"/>
    <col min="9226" max="9226" width="11.125" style="7" customWidth="1"/>
    <col min="9227" max="9235" width="8.625" style="7" customWidth="1"/>
    <col min="9236" max="9236" width="11.125" style="7" customWidth="1"/>
    <col min="9237" max="9238" width="8.625" style="7" customWidth="1"/>
    <col min="9239" max="9476" width="9" style="7"/>
    <col min="9477" max="9477" width="8.625" style="7" customWidth="1"/>
    <col min="9478" max="9478" width="19.625" style="7" customWidth="1"/>
    <col min="9479" max="9479" width="8.625" style="7" customWidth="1"/>
    <col min="9480" max="9481" width="7.625" style="7" customWidth="1"/>
    <col min="9482" max="9482" width="11.125" style="7" customWidth="1"/>
    <col min="9483" max="9491" width="8.625" style="7" customWidth="1"/>
    <col min="9492" max="9492" width="11.125" style="7" customWidth="1"/>
    <col min="9493" max="9494" width="8.625" style="7" customWidth="1"/>
    <col min="9495" max="9732" width="9" style="7"/>
    <col min="9733" max="9733" width="8.625" style="7" customWidth="1"/>
    <col min="9734" max="9734" width="19.625" style="7" customWidth="1"/>
    <col min="9735" max="9735" width="8.625" style="7" customWidth="1"/>
    <col min="9736" max="9737" width="7.625" style="7" customWidth="1"/>
    <col min="9738" max="9738" width="11.125" style="7" customWidth="1"/>
    <col min="9739" max="9747" width="8.625" style="7" customWidth="1"/>
    <col min="9748" max="9748" width="11.125" style="7" customWidth="1"/>
    <col min="9749" max="9750" width="8.625" style="7" customWidth="1"/>
    <col min="9751" max="9988" width="9" style="7"/>
    <col min="9989" max="9989" width="8.625" style="7" customWidth="1"/>
    <col min="9990" max="9990" width="19.625" style="7" customWidth="1"/>
    <col min="9991" max="9991" width="8.625" style="7" customWidth="1"/>
    <col min="9992" max="9993" width="7.625" style="7" customWidth="1"/>
    <col min="9994" max="9994" width="11.125" style="7" customWidth="1"/>
    <col min="9995" max="10003" width="8.625" style="7" customWidth="1"/>
    <col min="10004" max="10004" width="11.125" style="7" customWidth="1"/>
    <col min="10005" max="10006" width="8.625" style="7" customWidth="1"/>
    <col min="10007" max="10244" width="9" style="7"/>
    <col min="10245" max="10245" width="8.625" style="7" customWidth="1"/>
    <col min="10246" max="10246" width="19.625" style="7" customWidth="1"/>
    <col min="10247" max="10247" width="8.625" style="7" customWidth="1"/>
    <col min="10248" max="10249" width="7.625" style="7" customWidth="1"/>
    <col min="10250" max="10250" width="11.125" style="7" customWidth="1"/>
    <col min="10251" max="10259" width="8.625" style="7" customWidth="1"/>
    <col min="10260" max="10260" width="11.125" style="7" customWidth="1"/>
    <col min="10261" max="10262" width="8.625" style="7" customWidth="1"/>
    <col min="10263" max="10500" width="9" style="7"/>
    <col min="10501" max="10501" width="8.625" style="7" customWidth="1"/>
    <col min="10502" max="10502" width="19.625" style="7" customWidth="1"/>
    <col min="10503" max="10503" width="8.625" style="7" customWidth="1"/>
    <col min="10504" max="10505" width="7.625" style="7" customWidth="1"/>
    <col min="10506" max="10506" width="11.125" style="7" customWidth="1"/>
    <col min="10507" max="10515" width="8.625" style="7" customWidth="1"/>
    <col min="10516" max="10516" width="11.125" style="7" customWidth="1"/>
    <col min="10517" max="10518" width="8.625" style="7" customWidth="1"/>
    <col min="10519" max="10756" width="9" style="7"/>
    <col min="10757" max="10757" width="8.625" style="7" customWidth="1"/>
    <col min="10758" max="10758" width="19.625" style="7" customWidth="1"/>
    <col min="10759" max="10759" width="8.625" style="7" customWidth="1"/>
    <col min="10760" max="10761" width="7.625" style="7" customWidth="1"/>
    <col min="10762" max="10762" width="11.125" style="7" customWidth="1"/>
    <col min="10763" max="10771" width="8.625" style="7" customWidth="1"/>
    <col min="10772" max="10772" width="11.125" style="7" customWidth="1"/>
    <col min="10773" max="10774" width="8.625" style="7" customWidth="1"/>
    <col min="10775" max="11012" width="9" style="7"/>
    <col min="11013" max="11013" width="8.625" style="7" customWidth="1"/>
    <col min="11014" max="11014" width="19.625" style="7" customWidth="1"/>
    <col min="11015" max="11015" width="8.625" style="7" customWidth="1"/>
    <col min="11016" max="11017" width="7.625" style="7" customWidth="1"/>
    <col min="11018" max="11018" width="11.125" style="7" customWidth="1"/>
    <col min="11019" max="11027" width="8.625" style="7" customWidth="1"/>
    <col min="11028" max="11028" width="11.125" style="7" customWidth="1"/>
    <col min="11029" max="11030" width="8.625" style="7" customWidth="1"/>
    <col min="11031" max="11268" width="9" style="7"/>
    <col min="11269" max="11269" width="8.625" style="7" customWidth="1"/>
    <col min="11270" max="11270" width="19.625" style="7" customWidth="1"/>
    <col min="11271" max="11271" width="8.625" style="7" customWidth="1"/>
    <col min="11272" max="11273" width="7.625" style="7" customWidth="1"/>
    <col min="11274" max="11274" width="11.125" style="7" customWidth="1"/>
    <col min="11275" max="11283" width="8.625" style="7" customWidth="1"/>
    <col min="11284" max="11284" width="11.125" style="7" customWidth="1"/>
    <col min="11285" max="11286" width="8.625" style="7" customWidth="1"/>
    <col min="11287" max="11524" width="9" style="7"/>
    <col min="11525" max="11525" width="8.625" style="7" customWidth="1"/>
    <col min="11526" max="11526" width="19.625" style="7" customWidth="1"/>
    <col min="11527" max="11527" width="8.625" style="7" customWidth="1"/>
    <col min="11528" max="11529" width="7.625" style="7" customWidth="1"/>
    <col min="11530" max="11530" width="11.125" style="7" customWidth="1"/>
    <col min="11531" max="11539" width="8.625" style="7" customWidth="1"/>
    <col min="11540" max="11540" width="11.125" style="7" customWidth="1"/>
    <col min="11541" max="11542" width="8.625" style="7" customWidth="1"/>
    <col min="11543" max="11780" width="9" style="7"/>
    <col min="11781" max="11781" width="8.625" style="7" customWidth="1"/>
    <col min="11782" max="11782" width="19.625" style="7" customWidth="1"/>
    <col min="11783" max="11783" width="8.625" style="7" customWidth="1"/>
    <col min="11784" max="11785" width="7.625" style="7" customWidth="1"/>
    <col min="11786" max="11786" width="11.125" style="7" customWidth="1"/>
    <col min="11787" max="11795" width="8.625" style="7" customWidth="1"/>
    <col min="11796" max="11796" width="11.125" style="7" customWidth="1"/>
    <col min="11797" max="11798" width="8.625" style="7" customWidth="1"/>
    <col min="11799" max="12036" width="9" style="7"/>
    <col min="12037" max="12037" width="8.625" style="7" customWidth="1"/>
    <col min="12038" max="12038" width="19.625" style="7" customWidth="1"/>
    <col min="12039" max="12039" width="8.625" style="7" customWidth="1"/>
    <col min="12040" max="12041" width="7.625" style="7" customWidth="1"/>
    <col min="12042" max="12042" width="11.125" style="7" customWidth="1"/>
    <col min="12043" max="12051" width="8.625" style="7" customWidth="1"/>
    <col min="12052" max="12052" width="11.125" style="7" customWidth="1"/>
    <col min="12053" max="12054" width="8.625" style="7" customWidth="1"/>
    <col min="12055" max="12292" width="9" style="7"/>
    <col min="12293" max="12293" width="8.625" style="7" customWidth="1"/>
    <col min="12294" max="12294" width="19.625" style="7" customWidth="1"/>
    <col min="12295" max="12295" width="8.625" style="7" customWidth="1"/>
    <col min="12296" max="12297" width="7.625" style="7" customWidth="1"/>
    <col min="12298" max="12298" width="11.125" style="7" customWidth="1"/>
    <col min="12299" max="12307" width="8.625" style="7" customWidth="1"/>
    <col min="12308" max="12308" width="11.125" style="7" customWidth="1"/>
    <col min="12309" max="12310" width="8.625" style="7" customWidth="1"/>
    <col min="12311" max="12548" width="9" style="7"/>
    <col min="12549" max="12549" width="8.625" style="7" customWidth="1"/>
    <col min="12550" max="12550" width="19.625" style="7" customWidth="1"/>
    <col min="12551" max="12551" width="8.625" style="7" customWidth="1"/>
    <col min="12552" max="12553" width="7.625" style="7" customWidth="1"/>
    <col min="12554" max="12554" width="11.125" style="7" customWidth="1"/>
    <col min="12555" max="12563" width="8.625" style="7" customWidth="1"/>
    <col min="12564" max="12564" width="11.125" style="7" customWidth="1"/>
    <col min="12565" max="12566" width="8.625" style="7" customWidth="1"/>
    <col min="12567" max="12804" width="9" style="7"/>
    <col min="12805" max="12805" width="8.625" style="7" customWidth="1"/>
    <col min="12806" max="12806" width="19.625" style="7" customWidth="1"/>
    <col min="12807" max="12807" width="8.625" style="7" customWidth="1"/>
    <col min="12808" max="12809" width="7.625" style="7" customWidth="1"/>
    <col min="12810" max="12810" width="11.125" style="7" customWidth="1"/>
    <col min="12811" max="12819" width="8.625" style="7" customWidth="1"/>
    <col min="12820" max="12820" width="11.125" style="7" customWidth="1"/>
    <col min="12821" max="12822" width="8.625" style="7" customWidth="1"/>
    <col min="12823" max="13060" width="9" style="7"/>
    <col min="13061" max="13061" width="8.625" style="7" customWidth="1"/>
    <col min="13062" max="13062" width="19.625" style="7" customWidth="1"/>
    <col min="13063" max="13063" width="8.625" style="7" customWidth="1"/>
    <col min="13064" max="13065" width="7.625" style="7" customWidth="1"/>
    <col min="13066" max="13066" width="11.125" style="7" customWidth="1"/>
    <col min="13067" max="13075" width="8.625" style="7" customWidth="1"/>
    <col min="13076" max="13076" width="11.125" style="7" customWidth="1"/>
    <col min="13077" max="13078" width="8.625" style="7" customWidth="1"/>
    <col min="13079" max="13316" width="9" style="7"/>
    <col min="13317" max="13317" width="8.625" style="7" customWidth="1"/>
    <col min="13318" max="13318" width="19.625" style="7" customWidth="1"/>
    <col min="13319" max="13319" width="8.625" style="7" customWidth="1"/>
    <col min="13320" max="13321" width="7.625" style="7" customWidth="1"/>
    <col min="13322" max="13322" width="11.125" style="7" customWidth="1"/>
    <col min="13323" max="13331" width="8.625" style="7" customWidth="1"/>
    <col min="13332" max="13332" width="11.125" style="7" customWidth="1"/>
    <col min="13333" max="13334" width="8.625" style="7" customWidth="1"/>
    <col min="13335" max="13572" width="9" style="7"/>
    <col min="13573" max="13573" width="8.625" style="7" customWidth="1"/>
    <col min="13574" max="13574" width="19.625" style="7" customWidth="1"/>
    <col min="13575" max="13575" width="8.625" style="7" customWidth="1"/>
    <col min="13576" max="13577" width="7.625" style="7" customWidth="1"/>
    <col min="13578" max="13578" width="11.125" style="7" customWidth="1"/>
    <col min="13579" max="13587" width="8.625" style="7" customWidth="1"/>
    <col min="13588" max="13588" width="11.125" style="7" customWidth="1"/>
    <col min="13589" max="13590" width="8.625" style="7" customWidth="1"/>
    <col min="13591" max="13828" width="9" style="7"/>
    <col min="13829" max="13829" width="8.625" style="7" customWidth="1"/>
    <col min="13830" max="13830" width="19.625" style="7" customWidth="1"/>
    <col min="13831" max="13831" width="8.625" style="7" customWidth="1"/>
    <col min="13832" max="13833" width="7.625" style="7" customWidth="1"/>
    <col min="13834" max="13834" width="11.125" style="7" customWidth="1"/>
    <col min="13835" max="13843" width="8.625" style="7" customWidth="1"/>
    <col min="13844" max="13844" width="11.125" style="7" customWidth="1"/>
    <col min="13845" max="13846" width="8.625" style="7" customWidth="1"/>
    <col min="13847" max="14084" width="9" style="7"/>
    <col min="14085" max="14085" width="8.625" style="7" customWidth="1"/>
    <col min="14086" max="14086" width="19.625" style="7" customWidth="1"/>
    <col min="14087" max="14087" width="8.625" style="7" customWidth="1"/>
    <col min="14088" max="14089" width="7.625" style="7" customWidth="1"/>
    <col min="14090" max="14090" width="11.125" style="7" customWidth="1"/>
    <col min="14091" max="14099" width="8.625" style="7" customWidth="1"/>
    <col min="14100" max="14100" width="11.125" style="7" customWidth="1"/>
    <col min="14101" max="14102" width="8.625" style="7" customWidth="1"/>
    <col min="14103" max="14340" width="9" style="7"/>
    <col min="14341" max="14341" width="8.625" style="7" customWidth="1"/>
    <col min="14342" max="14342" width="19.625" style="7" customWidth="1"/>
    <col min="14343" max="14343" width="8.625" style="7" customWidth="1"/>
    <col min="14344" max="14345" width="7.625" style="7" customWidth="1"/>
    <col min="14346" max="14346" width="11.125" style="7" customWidth="1"/>
    <col min="14347" max="14355" width="8.625" style="7" customWidth="1"/>
    <col min="14356" max="14356" width="11.125" style="7" customWidth="1"/>
    <col min="14357" max="14358" width="8.625" style="7" customWidth="1"/>
    <col min="14359" max="14596" width="9" style="7"/>
    <col min="14597" max="14597" width="8.625" style="7" customWidth="1"/>
    <col min="14598" max="14598" width="19.625" style="7" customWidth="1"/>
    <col min="14599" max="14599" width="8.625" style="7" customWidth="1"/>
    <col min="14600" max="14601" width="7.625" style="7" customWidth="1"/>
    <col min="14602" max="14602" width="11.125" style="7" customWidth="1"/>
    <col min="14603" max="14611" width="8.625" style="7" customWidth="1"/>
    <col min="14612" max="14612" width="11.125" style="7" customWidth="1"/>
    <col min="14613" max="14614" width="8.625" style="7" customWidth="1"/>
    <col min="14615" max="14852" width="9" style="7"/>
    <col min="14853" max="14853" width="8.625" style="7" customWidth="1"/>
    <col min="14854" max="14854" width="19.625" style="7" customWidth="1"/>
    <col min="14855" max="14855" width="8.625" style="7" customWidth="1"/>
    <col min="14856" max="14857" width="7.625" style="7" customWidth="1"/>
    <col min="14858" max="14858" width="11.125" style="7" customWidth="1"/>
    <col min="14859" max="14867" width="8.625" style="7" customWidth="1"/>
    <col min="14868" max="14868" width="11.125" style="7" customWidth="1"/>
    <col min="14869" max="14870" width="8.625" style="7" customWidth="1"/>
    <col min="14871" max="15108" width="9" style="7"/>
    <col min="15109" max="15109" width="8.625" style="7" customWidth="1"/>
    <col min="15110" max="15110" width="19.625" style="7" customWidth="1"/>
    <col min="15111" max="15111" width="8.625" style="7" customWidth="1"/>
    <col min="15112" max="15113" width="7.625" style="7" customWidth="1"/>
    <col min="15114" max="15114" width="11.125" style="7" customWidth="1"/>
    <col min="15115" max="15123" width="8.625" style="7" customWidth="1"/>
    <col min="15124" max="15124" width="11.125" style="7" customWidth="1"/>
    <col min="15125" max="15126" width="8.625" style="7" customWidth="1"/>
    <col min="15127" max="15364" width="9" style="7"/>
    <col min="15365" max="15365" width="8.625" style="7" customWidth="1"/>
    <col min="15366" max="15366" width="19.625" style="7" customWidth="1"/>
    <col min="15367" max="15367" width="8.625" style="7" customWidth="1"/>
    <col min="15368" max="15369" width="7.625" style="7" customWidth="1"/>
    <col min="15370" max="15370" width="11.125" style="7" customWidth="1"/>
    <col min="15371" max="15379" width="8.625" style="7" customWidth="1"/>
    <col min="15380" max="15380" width="11.125" style="7" customWidth="1"/>
    <col min="15381" max="15382" width="8.625" style="7" customWidth="1"/>
    <col min="15383" max="15620" width="9" style="7"/>
    <col min="15621" max="15621" width="8.625" style="7" customWidth="1"/>
    <col min="15622" max="15622" width="19.625" style="7" customWidth="1"/>
    <col min="15623" max="15623" width="8.625" style="7" customWidth="1"/>
    <col min="15624" max="15625" width="7.625" style="7" customWidth="1"/>
    <col min="15626" max="15626" width="11.125" style="7" customWidth="1"/>
    <col min="15627" max="15635" width="8.625" style="7" customWidth="1"/>
    <col min="15636" max="15636" width="11.125" style="7" customWidth="1"/>
    <col min="15637" max="15638" width="8.625" style="7" customWidth="1"/>
    <col min="15639" max="15876" width="9" style="7"/>
    <col min="15877" max="15877" width="8.625" style="7" customWidth="1"/>
    <col min="15878" max="15878" width="19.625" style="7" customWidth="1"/>
    <col min="15879" max="15879" width="8.625" style="7" customWidth="1"/>
    <col min="15880" max="15881" width="7.625" style="7" customWidth="1"/>
    <col min="15882" max="15882" width="11.125" style="7" customWidth="1"/>
    <col min="15883" max="15891" width="8.625" style="7" customWidth="1"/>
    <col min="15892" max="15892" width="11.125" style="7" customWidth="1"/>
    <col min="15893" max="15894" width="8.625" style="7" customWidth="1"/>
    <col min="15895" max="16132" width="9" style="7"/>
    <col min="16133" max="16133" width="8.625" style="7" customWidth="1"/>
    <col min="16134" max="16134" width="19.625" style="7" customWidth="1"/>
    <col min="16135" max="16135" width="8.625" style="7" customWidth="1"/>
    <col min="16136" max="16137" width="7.625" style="7" customWidth="1"/>
    <col min="16138" max="16138" width="11.125" style="7" customWidth="1"/>
    <col min="16139" max="16147" width="8.625" style="7" customWidth="1"/>
    <col min="16148" max="16148" width="11.125" style="7" customWidth="1"/>
    <col min="16149" max="16150" width="8.625" style="7" customWidth="1"/>
    <col min="16151" max="16384" width="9" style="7"/>
  </cols>
  <sheetData>
    <row r="1" spans="1:31" s="13" customFormat="1" ht="23.1" customHeight="1">
      <c r="A1" s="219" t="s">
        <v>0</v>
      </c>
      <c r="B1" s="220"/>
      <c r="C1" s="221" t="s">
        <v>35</v>
      </c>
      <c r="D1" s="222"/>
      <c r="E1" s="222"/>
      <c r="F1" s="222"/>
      <c r="G1" s="222"/>
      <c r="H1" s="223"/>
      <c r="I1" s="12" t="s">
        <v>25</v>
      </c>
      <c r="J1" s="224">
        <v>82000000</v>
      </c>
      <c r="K1" s="225"/>
      <c r="L1" s="225"/>
      <c r="M1" s="225"/>
      <c r="N1" s="225"/>
      <c r="O1" s="152"/>
      <c r="P1" s="152"/>
      <c r="Q1" s="321"/>
      <c r="R1" s="226"/>
      <c r="S1" s="227"/>
      <c r="T1" s="231" t="s">
        <v>1</v>
      </c>
      <c r="U1" s="231"/>
      <c r="V1" s="231"/>
    </row>
    <row r="2" spans="1:31" s="13" customFormat="1" ht="23.1" customHeight="1">
      <c r="A2" s="232" t="s">
        <v>26</v>
      </c>
      <c r="B2" s="233"/>
      <c r="C2" s="234" t="s">
        <v>36</v>
      </c>
      <c r="D2" s="235"/>
      <c r="E2" s="235"/>
      <c r="F2" s="235"/>
      <c r="G2" s="235"/>
      <c r="H2" s="236"/>
      <c r="I2" s="14" t="s">
        <v>27</v>
      </c>
      <c r="J2" s="237">
        <v>5634000</v>
      </c>
      <c r="K2" s="238"/>
      <c r="L2" s="238"/>
      <c r="M2" s="238"/>
      <c r="N2" s="238"/>
      <c r="O2" s="153"/>
      <c r="P2" s="153"/>
      <c r="Q2" s="322"/>
      <c r="R2" s="210"/>
      <c r="S2" s="228"/>
      <c r="T2" s="252">
        <v>45903</v>
      </c>
      <c r="U2" s="253"/>
      <c r="V2" s="254"/>
    </row>
    <row r="3" spans="1:31" s="13" customFormat="1" ht="23.1" customHeight="1" thickBot="1">
      <c r="A3" s="241" t="s">
        <v>2</v>
      </c>
      <c r="B3" s="242"/>
      <c r="C3" s="243">
        <f>J1-G146</f>
        <v>1302410</v>
      </c>
      <c r="D3" s="244"/>
      <c r="E3" s="244"/>
      <c r="F3" s="244"/>
      <c r="G3" s="244"/>
      <c r="H3" s="245"/>
      <c r="I3" s="15" t="s">
        <v>3</v>
      </c>
      <c r="J3" s="246">
        <f>SUM(J1:Q2)</f>
        <v>87634000</v>
      </c>
      <c r="K3" s="247"/>
      <c r="L3" s="247"/>
      <c r="M3" s="247"/>
      <c r="N3" s="247"/>
      <c r="O3" s="154"/>
      <c r="P3" s="154"/>
      <c r="Q3" s="323"/>
      <c r="R3" s="210"/>
      <c r="S3" s="228"/>
      <c r="T3" s="255"/>
      <c r="U3" s="256"/>
      <c r="V3" s="257"/>
    </row>
    <row r="4" spans="1:31" s="13" customFormat="1" ht="23.1" customHeight="1" thickBot="1">
      <c r="A4" s="248" t="s">
        <v>4</v>
      </c>
      <c r="B4" s="248"/>
      <c r="C4" s="249">
        <v>8.5999999999999993E-2</v>
      </c>
      <c r="D4" s="249"/>
      <c r="E4" s="250"/>
      <c r="F4" s="250"/>
      <c r="G4" s="250" t="s">
        <v>5</v>
      </c>
      <c r="H4" s="250"/>
      <c r="I4" s="16">
        <f>J3-I146</f>
        <v>-88320</v>
      </c>
      <c r="J4" s="209"/>
      <c r="K4" s="251"/>
      <c r="L4" s="251"/>
      <c r="M4" s="251"/>
      <c r="N4" s="251"/>
      <c r="O4" s="251"/>
      <c r="P4" s="251"/>
      <c r="Q4" s="251"/>
      <c r="R4" s="332"/>
      <c r="S4" s="334"/>
      <c r="T4" s="335"/>
      <c r="U4" s="336"/>
      <c r="V4" s="337"/>
    </row>
    <row r="5" spans="1:31" s="13" customFormat="1" ht="18" customHeight="1" thickBot="1">
      <c r="A5" s="199" t="s">
        <v>6</v>
      </c>
      <c r="B5" s="199"/>
      <c r="C5" s="201" t="s">
        <v>28</v>
      </c>
      <c r="D5" s="203" t="s">
        <v>29</v>
      </c>
      <c r="E5" s="205" t="s">
        <v>23</v>
      </c>
      <c r="F5" s="206"/>
      <c r="G5" s="205" t="s">
        <v>30</v>
      </c>
      <c r="H5" s="206"/>
      <c r="I5" s="216" t="s">
        <v>31</v>
      </c>
      <c r="J5" s="316">
        <v>2025</v>
      </c>
      <c r="K5" s="17"/>
      <c r="L5" s="17"/>
      <c r="M5" s="17"/>
      <c r="N5" s="17"/>
      <c r="O5" s="17"/>
      <c r="P5" s="17"/>
      <c r="Q5" s="318"/>
      <c r="R5" s="331" t="s">
        <v>7</v>
      </c>
      <c r="S5" s="333" t="s">
        <v>8</v>
      </c>
      <c r="T5" s="197" t="s">
        <v>9</v>
      </c>
      <c r="U5" s="212" t="s">
        <v>10</v>
      </c>
      <c r="V5" s="213" t="s">
        <v>11</v>
      </c>
      <c r="X5" s="326">
        <v>2025</v>
      </c>
      <c r="Y5" s="17"/>
      <c r="Z5" s="17"/>
      <c r="AA5" s="17"/>
      <c r="AB5" s="17"/>
      <c r="AC5" s="17"/>
      <c r="AD5" s="17"/>
      <c r="AE5" s="318"/>
    </row>
    <row r="6" spans="1:31" s="13" customFormat="1" ht="44.25" customHeight="1" thickBot="1">
      <c r="A6" s="263"/>
      <c r="B6" s="263"/>
      <c r="C6" s="264"/>
      <c r="D6" s="265"/>
      <c r="E6" s="266"/>
      <c r="F6" s="267"/>
      <c r="G6" s="266"/>
      <c r="H6" s="267"/>
      <c r="I6" s="268"/>
      <c r="J6" s="317" t="s">
        <v>136</v>
      </c>
      <c r="K6" s="317" t="s">
        <v>137</v>
      </c>
      <c r="L6" s="317" t="s">
        <v>138</v>
      </c>
      <c r="M6" s="317" t="s">
        <v>139</v>
      </c>
      <c r="N6" s="317" t="s">
        <v>140</v>
      </c>
      <c r="O6" s="317" t="s">
        <v>141</v>
      </c>
      <c r="P6" s="317" t="s">
        <v>142</v>
      </c>
      <c r="Q6" s="317" t="s">
        <v>143</v>
      </c>
      <c r="R6" s="319"/>
      <c r="S6" s="320"/>
      <c r="T6" s="198"/>
      <c r="U6" s="212"/>
      <c r="V6" s="213"/>
      <c r="X6" s="327" t="s">
        <v>136</v>
      </c>
      <c r="Y6" s="325" t="s">
        <v>137</v>
      </c>
      <c r="Z6" s="317" t="s">
        <v>138</v>
      </c>
      <c r="AA6" s="317" t="s">
        <v>139</v>
      </c>
      <c r="AB6" s="317" t="s">
        <v>140</v>
      </c>
      <c r="AC6" s="317" t="s">
        <v>141</v>
      </c>
      <c r="AD6" s="317" t="s">
        <v>142</v>
      </c>
      <c r="AE6" s="317" t="s">
        <v>143</v>
      </c>
    </row>
    <row r="7" spans="1:31" ht="18.95" customHeight="1" thickTop="1">
      <c r="A7" s="311" t="s">
        <v>37</v>
      </c>
      <c r="B7" s="269" t="s">
        <v>38</v>
      </c>
      <c r="C7" s="155" t="s">
        <v>39</v>
      </c>
      <c r="D7" s="270" t="s">
        <v>40</v>
      </c>
      <c r="E7" s="271">
        <v>450000</v>
      </c>
      <c r="F7" s="192"/>
      <c r="G7" s="271">
        <v>800000</v>
      </c>
      <c r="H7" s="192"/>
      <c r="I7" s="272">
        <v>800000</v>
      </c>
      <c r="J7" s="273">
        <v>0</v>
      </c>
      <c r="K7" s="273">
        <v>0</v>
      </c>
      <c r="L7" s="273">
        <v>300000</v>
      </c>
      <c r="M7" s="273">
        <v>210000</v>
      </c>
      <c r="N7" s="273">
        <v>0</v>
      </c>
      <c r="O7" s="273">
        <v>0</v>
      </c>
      <c r="P7" s="273">
        <v>0</v>
      </c>
      <c r="Q7" s="273">
        <v>0</v>
      </c>
      <c r="R7" s="274">
        <f>SUM(J7:Q7)</f>
        <v>510000</v>
      </c>
      <c r="S7" s="275">
        <f>I7-R7</f>
        <v>290000</v>
      </c>
      <c r="T7" s="276">
        <f>G7-I7</f>
        <v>0</v>
      </c>
      <c r="U7" s="277">
        <v>0</v>
      </c>
      <c r="V7" s="278" t="e">
        <f>R7/U7</f>
        <v>#DIV/0!</v>
      </c>
      <c r="X7" s="328"/>
      <c r="Y7" s="273"/>
      <c r="Z7" s="273"/>
      <c r="AA7" s="273"/>
      <c r="AB7" s="273"/>
      <c r="AC7" s="273"/>
      <c r="AD7" s="273"/>
      <c r="AE7" s="273"/>
    </row>
    <row r="8" spans="1:31" ht="18.95" customHeight="1">
      <c r="A8" s="312"/>
      <c r="B8" s="279" t="s">
        <v>41</v>
      </c>
      <c r="C8" s="280" t="s">
        <v>42</v>
      </c>
      <c r="D8" s="281" t="s">
        <v>43</v>
      </c>
      <c r="E8" s="282">
        <v>0</v>
      </c>
      <c r="F8" s="283"/>
      <c r="G8" s="282">
        <v>1925000</v>
      </c>
      <c r="H8" s="283"/>
      <c r="I8" s="284">
        <v>1137500</v>
      </c>
      <c r="J8" s="285">
        <v>0</v>
      </c>
      <c r="K8" s="285">
        <v>0</v>
      </c>
      <c r="L8" s="285">
        <v>0</v>
      </c>
      <c r="M8" s="285">
        <v>0</v>
      </c>
      <c r="N8" s="285">
        <v>0</v>
      </c>
      <c r="O8" s="285">
        <v>0</v>
      </c>
      <c r="P8" s="285">
        <v>0</v>
      </c>
      <c r="Q8" s="285">
        <v>0</v>
      </c>
      <c r="R8" s="286">
        <f>SUM(J8:Q8)</f>
        <v>0</v>
      </c>
      <c r="S8" s="287">
        <f>I8-R8</f>
        <v>1137500</v>
      </c>
      <c r="T8" s="288">
        <f>G8-I8</f>
        <v>787500</v>
      </c>
      <c r="U8" s="289">
        <v>0</v>
      </c>
      <c r="V8" s="290" t="e">
        <f t="shared" ref="V8:V71" si="0">R8/U8</f>
        <v>#DIV/0!</v>
      </c>
      <c r="X8" s="329"/>
      <c r="Y8" s="285"/>
      <c r="Z8" s="285"/>
      <c r="AA8" s="285"/>
      <c r="AB8" s="285"/>
      <c r="AC8" s="285"/>
      <c r="AD8" s="285"/>
      <c r="AE8" s="285"/>
    </row>
    <row r="9" spans="1:31" ht="18.95" customHeight="1">
      <c r="A9" s="312"/>
      <c r="B9" s="279" t="s">
        <v>44</v>
      </c>
      <c r="C9" s="280" t="s">
        <v>45</v>
      </c>
      <c r="D9" s="281" t="s">
        <v>43</v>
      </c>
      <c r="E9" s="282">
        <v>0</v>
      </c>
      <c r="F9" s="283"/>
      <c r="G9" s="282">
        <v>0</v>
      </c>
      <c r="H9" s="283"/>
      <c r="I9" s="284">
        <v>0</v>
      </c>
      <c r="J9" s="285">
        <v>0</v>
      </c>
      <c r="K9" s="285">
        <v>18400</v>
      </c>
      <c r="L9" s="285">
        <v>0</v>
      </c>
      <c r="M9" s="285">
        <v>0</v>
      </c>
      <c r="N9" s="285">
        <v>0</v>
      </c>
      <c r="O9" s="285">
        <v>0</v>
      </c>
      <c r="P9" s="285">
        <v>0</v>
      </c>
      <c r="Q9" s="285">
        <v>0</v>
      </c>
      <c r="R9" s="286">
        <f>SUM(J9:Q9)</f>
        <v>18400</v>
      </c>
      <c r="S9" s="287">
        <f>I9-R9</f>
        <v>-18400</v>
      </c>
      <c r="T9" s="288">
        <f>G9-I9</f>
        <v>0</v>
      </c>
      <c r="U9" s="289">
        <v>0</v>
      </c>
      <c r="V9" s="290" t="e">
        <f t="shared" si="0"/>
        <v>#DIV/0!</v>
      </c>
      <c r="X9" s="329"/>
      <c r="Y9" s="285"/>
      <c r="Z9" s="285"/>
      <c r="AA9" s="285"/>
      <c r="AB9" s="285"/>
      <c r="AC9" s="285"/>
      <c r="AD9" s="285"/>
      <c r="AE9" s="285"/>
    </row>
    <row r="10" spans="1:31" ht="18.95" customHeight="1">
      <c r="A10" s="312"/>
      <c r="B10" s="279" t="s">
        <v>46</v>
      </c>
      <c r="C10" s="280" t="s">
        <v>47</v>
      </c>
      <c r="D10" s="281" t="s">
        <v>48</v>
      </c>
      <c r="E10" s="282">
        <v>400000</v>
      </c>
      <c r="F10" s="283"/>
      <c r="G10" s="282">
        <v>400000</v>
      </c>
      <c r="H10" s="283"/>
      <c r="I10" s="284">
        <v>400000</v>
      </c>
      <c r="J10" s="285">
        <v>0</v>
      </c>
      <c r="K10" s="285">
        <v>0</v>
      </c>
      <c r="L10" s="285">
        <v>0</v>
      </c>
      <c r="M10" s="285">
        <v>216000</v>
      </c>
      <c r="N10" s="285">
        <v>0</v>
      </c>
      <c r="O10" s="285">
        <v>0</v>
      </c>
      <c r="P10" s="285">
        <v>0</v>
      </c>
      <c r="Q10" s="285">
        <v>0</v>
      </c>
      <c r="R10" s="286">
        <f>SUM(J10:Q10)</f>
        <v>216000</v>
      </c>
      <c r="S10" s="287">
        <f>I10-R10</f>
        <v>184000</v>
      </c>
      <c r="T10" s="288">
        <f>G10-I10</f>
        <v>0</v>
      </c>
      <c r="U10" s="289">
        <v>0</v>
      </c>
      <c r="V10" s="290" t="e">
        <f t="shared" si="0"/>
        <v>#DIV/0!</v>
      </c>
      <c r="X10" s="329"/>
      <c r="Y10" s="285"/>
      <c r="Z10" s="285"/>
      <c r="AA10" s="285"/>
      <c r="AB10" s="285"/>
      <c r="AC10" s="285"/>
      <c r="AD10" s="285"/>
      <c r="AE10" s="285"/>
    </row>
    <row r="11" spans="1:31" ht="18.95" customHeight="1">
      <c r="A11" s="312"/>
      <c r="B11" s="279" t="s">
        <v>49</v>
      </c>
      <c r="C11" s="280" t="s">
        <v>50</v>
      </c>
      <c r="D11" s="281" t="s">
        <v>43</v>
      </c>
      <c r="E11" s="282">
        <v>0</v>
      </c>
      <c r="F11" s="283"/>
      <c r="G11" s="282">
        <v>0</v>
      </c>
      <c r="H11" s="283"/>
      <c r="I11" s="284">
        <v>0</v>
      </c>
      <c r="J11" s="285">
        <v>0</v>
      </c>
      <c r="K11" s="285">
        <v>0</v>
      </c>
      <c r="L11" s="285">
        <v>0</v>
      </c>
      <c r="M11" s="285">
        <v>105000</v>
      </c>
      <c r="N11" s="285">
        <v>174500</v>
      </c>
      <c r="O11" s="285">
        <v>45000</v>
      </c>
      <c r="P11" s="285">
        <v>0</v>
      </c>
      <c r="Q11" s="285">
        <v>0</v>
      </c>
      <c r="R11" s="286">
        <f>SUM(J11:Q11)</f>
        <v>324500</v>
      </c>
      <c r="S11" s="287">
        <f>I11-R11</f>
        <v>-324500</v>
      </c>
      <c r="T11" s="288">
        <f>G11-I11</f>
        <v>0</v>
      </c>
      <c r="U11" s="289">
        <v>0</v>
      </c>
      <c r="V11" s="290" t="e">
        <f t="shared" si="0"/>
        <v>#DIV/0!</v>
      </c>
      <c r="X11" s="329"/>
      <c r="Y11" s="285"/>
      <c r="Z11" s="285"/>
      <c r="AA11" s="285"/>
      <c r="AB11" s="285"/>
      <c r="AC11" s="285"/>
      <c r="AD11" s="285"/>
      <c r="AE11" s="285"/>
    </row>
    <row r="12" spans="1:31" ht="18.95" customHeight="1">
      <c r="A12" s="312"/>
      <c r="B12" s="279" t="s">
        <v>51</v>
      </c>
      <c r="C12" s="280" t="s">
        <v>45</v>
      </c>
      <c r="D12" s="281" t="s">
        <v>43</v>
      </c>
      <c r="E12" s="282">
        <v>0</v>
      </c>
      <c r="F12" s="283"/>
      <c r="G12" s="282">
        <v>0</v>
      </c>
      <c r="H12" s="283"/>
      <c r="I12" s="284">
        <v>0</v>
      </c>
      <c r="J12" s="285">
        <v>0</v>
      </c>
      <c r="K12" s="285">
        <v>0</v>
      </c>
      <c r="L12" s="285">
        <v>29200</v>
      </c>
      <c r="M12" s="285">
        <v>0</v>
      </c>
      <c r="N12" s="285">
        <v>0</v>
      </c>
      <c r="O12" s="285">
        <v>0</v>
      </c>
      <c r="P12" s="285">
        <v>0</v>
      </c>
      <c r="Q12" s="285">
        <v>0</v>
      </c>
      <c r="R12" s="286">
        <f>SUM(J12:Q12)</f>
        <v>29200</v>
      </c>
      <c r="S12" s="287">
        <f>I12-R12</f>
        <v>-29200</v>
      </c>
      <c r="T12" s="288">
        <f>G12-I12</f>
        <v>0</v>
      </c>
      <c r="U12" s="289">
        <v>0</v>
      </c>
      <c r="V12" s="290" t="e">
        <f t="shared" si="0"/>
        <v>#DIV/0!</v>
      </c>
      <c r="X12" s="329"/>
      <c r="Y12" s="285"/>
      <c r="Z12" s="285"/>
      <c r="AA12" s="285"/>
      <c r="AB12" s="285"/>
      <c r="AC12" s="285"/>
      <c r="AD12" s="285"/>
      <c r="AE12" s="285"/>
    </row>
    <row r="13" spans="1:31" ht="18.95" customHeight="1">
      <c r="A13" s="312"/>
      <c r="B13" s="279" t="s">
        <v>52</v>
      </c>
      <c r="C13" s="280" t="s">
        <v>50</v>
      </c>
      <c r="D13" s="281" t="s">
        <v>43</v>
      </c>
      <c r="E13" s="282">
        <v>0</v>
      </c>
      <c r="F13" s="283"/>
      <c r="G13" s="282">
        <v>0</v>
      </c>
      <c r="H13" s="283"/>
      <c r="I13" s="284">
        <v>0</v>
      </c>
      <c r="J13" s="285">
        <v>0</v>
      </c>
      <c r="K13" s="285">
        <v>0</v>
      </c>
      <c r="L13" s="285">
        <v>0</v>
      </c>
      <c r="M13" s="285">
        <v>0</v>
      </c>
      <c r="N13" s="285">
        <v>1325</v>
      </c>
      <c r="O13" s="285">
        <v>0</v>
      </c>
      <c r="P13" s="285">
        <v>0</v>
      </c>
      <c r="Q13" s="285">
        <v>0</v>
      </c>
      <c r="R13" s="286">
        <f>SUM(J13:Q13)</f>
        <v>1325</v>
      </c>
      <c r="S13" s="287">
        <f>I13-R13</f>
        <v>-1325</v>
      </c>
      <c r="T13" s="288">
        <f>G13-I13</f>
        <v>0</v>
      </c>
      <c r="U13" s="289">
        <v>0</v>
      </c>
      <c r="V13" s="290" t="e">
        <f t="shared" si="0"/>
        <v>#DIV/0!</v>
      </c>
      <c r="X13" s="329"/>
      <c r="Y13" s="285"/>
      <c r="Z13" s="285"/>
      <c r="AA13" s="285"/>
      <c r="AB13" s="285"/>
      <c r="AC13" s="285"/>
      <c r="AD13" s="285"/>
      <c r="AE13" s="285"/>
    </row>
    <row r="14" spans="1:31" ht="18.95" customHeight="1">
      <c r="A14" s="312"/>
      <c r="B14" s="279" t="s">
        <v>53</v>
      </c>
      <c r="C14" s="280" t="s">
        <v>45</v>
      </c>
      <c r="D14" s="281" t="s">
        <v>43</v>
      </c>
      <c r="E14" s="282">
        <v>0</v>
      </c>
      <c r="F14" s="283"/>
      <c r="G14" s="282">
        <v>0</v>
      </c>
      <c r="H14" s="283"/>
      <c r="I14" s="284">
        <v>0</v>
      </c>
      <c r="J14" s="285">
        <v>0</v>
      </c>
      <c r="K14" s="285">
        <v>0</v>
      </c>
      <c r="L14" s="285">
        <v>32465</v>
      </c>
      <c r="M14" s="285">
        <v>0</v>
      </c>
      <c r="N14" s="285">
        <v>0</v>
      </c>
      <c r="O14" s="285">
        <v>0</v>
      </c>
      <c r="P14" s="285">
        <v>0</v>
      </c>
      <c r="Q14" s="285">
        <v>0</v>
      </c>
      <c r="R14" s="286">
        <f>SUM(J14:Q14)</f>
        <v>32465</v>
      </c>
      <c r="S14" s="287">
        <f>I14-R14</f>
        <v>-32465</v>
      </c>
      <c r="T14" s="288">
        <f>G14-I14</f>
        <v>0</v>
      </c>
      <c r="U14" s="289">
        <v>0</v>
      </c>
      <c r="V14" s="290" t="e">
        <f t="shared" si="0"/>
        <v>#DIV/0!</v>
      </c>
      <c r="X14" s="329"/>
      <c r="Y14" s="285"/>
      <c r="Z14" s="285"/>
      <c r="AA14" s="285"/>
      <c r="AB14" s="285"/>
      <c r="AC14" s="285"/>
      <c r="AD14" s="285"/>
      <c r="AE14" s="285"/>
    </row>
    <row r="15" spans="1:31" ht="18.95" customHeight="1">
      <c r="A15" s="312"/>
      <c r="B15" s="279" t="s">
        <v>54</v>
      </c>
      <c r="C15" s="280" t="s">
        <v>42</v>
      </c>
      <c r="D15" s="281" t="s">
        <v>43</v>
      </c>
      <c r="E15" s="282">
        <v>250000</v>
      </c>
      <c r="F15" s="283"/>
      <c r="G15" s="282">
        <v>250000</v>
      </c>
      <c r="H15" s="283"/>
      <c r="I15" s="284">
        <v>250000</v>
      </c>
      <c r="J15" s="285">
        <v>0</v>
      </c>
      <c r="K15" s="285">
        <v>0</v>
      </c>
      <c r="L15" s="285">
        <v>143000</v>
      </c>
      <c r="M15" s="285">
        <v>0</v>
      </c>
      <c r="N15" s="285">
        <v>0</v>
      </c>
      <c r="O15" s="285">
        <v>0</v>
      </c>
      <c r="P15" s="285">
        <v>0</v>
      </c>
      <c r="Q15" s="285">
        <v>0</v>
      </c>
      <c r="R15" s="286">
        <f>SUM(J15:Q15)</f>
        <v>143000</v>
      </c>
      <c r="S15" s="287">
        <f>I15-R15</f>
        <v>107000</v>
      </c>
      <c r="T15" s="288">
        <f>G15-I15</f>
        <v>0</v>
      </c>
      <c r="U15" s="289">
        <v>0</v>
      </c>
      <c r="V15" s="290" t="e">
        <f t="shared" si="0"/>
        <v>#DIV/0!</v>
      </c>
      <c r="X15" s="329"/>
      <c r="Y15" s="285"/>
      <c r="Z15" s="285"/>
      <c r="AA15" s="285"/>
      <c r="AB15" s="285"/>
      <c r="AC15" s="285"/>
      <c r="AD15" s="285"/>
      <c r="AE15" s="285"/>
    </row>
    <row r="16" spans="1:31" ht="18.95" customHeight="1">
      <c r="A16" s="312"/>
      <c r="B16" s="279" t="s">
        <v>55</v>
      </c>
      <c r="C16" s="280" t="s">
        <v>45</v>
      </c>
      <c r="D16" s="281" t="s">
        <v>43</v>
      </c>
      <c r="E16" s="282">
        <v>0</v>
      </c>
      <c r="F16" s="283"/>
      <c r="G16" s="282">
        <v>0</v>
      </c>
      <c r="H16" s="283"/>
      <c r="I16" s="284">
        <v>0</v>
      </c>
      <c r="J16" s="285">
        <v>0</v>
      </c>
      <c r="K16" s="285">
        <v>0</v>
      </c>
      <c r="L16" s="285">
        <v>37200</v>
      </c>
      <c r="M16" s="285">
        <v>58270</v>
      </c>
      <c r="N16" s="285">
        <v>0</v>
      </c>
      <c r="O16" s="285">
        <v>0</v>
      </c>
      <c r="P16" s="285">
        <v>0</v>
      </c>
      <c r="Q16" s="285">
        <v>0</v>
      </c>
      <c r="R16" s="286">
        <f>SUM(J16:Q16)</f>
        <v>95470</v>
      </c>
      <c r="S16" s="287">
        <f>I16-R16</f>
        <v>-95470</v>
      </c>
      <c r="T16" s="288">
        <f>G16-I16</f>
        <v>0</v>
      </c>
      <c r="U16" s="289">
        <v>0</v>
      </c>
      <c r="V16" s="290" t="e">
        <f t="shared" si="0"/>
        <v>#DIV/0!</v>
      </c>
      <c r="X16" s="329"/>
      <c r="Y16" s="285"/>
      <c r="Z16" s="285"/>
      <c r="AA16" s="285"/>
      <c r="AB16" s="285"/>
      <c r="AC16" s="285"/>
      <c r="AD16" s="285"/>
      <c r="AE16" s="285"/>
    </row>
    <row r="17" spans="1:31" ht="18.95" customHeight="1">
      <c r="A17" s="312"/>
      <c r="B17" s="279" t="s">
        <v>56</v>
      </c>
      <c r="C17" s="280" t="s">
        <v>57</v>
      </c>
      <c r="D17" s="281" t="s">
        <v>43</v>
      </c>
      <c r="E17" s="282">
        <v>0</v>
      </c>
      <c r="F17" s="283"/>
      <c r="G17" s="282">
        <v>0</v>
      </c>
      <c r="H17" s="283"/>
      <c r="I17" s="284">
        <v>0</v>
      </c>
      <c r="J17" s="285">
        <v>199000</v>
      </c>
      <c r="K17" s="285">
        <v>8000</v>
      </c>
      <c r="L17" s="285">
        <v>0</v>
      </c>
      <c r="M17" s="285">
        <v>0</v>
      </c>
      <c r="N17" s="285">
        <v>0</v>
      </c>
      <c r="O17" s="285">
        <v>0</v>
      </c>
      <c r="P17" s="285">
        <v>0</v>
      </c>
      <c r="Q17" s="285">
        <v>0</v>
      </c>
      <c r="R17" s="286">
        <f>SUM(J17:Q17)</f>
        <v>207000</v>
      </c>
      <c r="S17" s="287">
        <f>I17-R17</f>
        <v>-207000</v>
      </c>
      <c r="T17" s="288">
        <f>G17-I17</f>
        <v>0</v>
      </c>
      <c r="U17" s="289">
        <v>0</v>
      </c>
      <c r="V17" s="290" t="e">
        <f t="shared" si="0"/>
        <v>#DIV/0!</v>
      </c>
      <c r="X17" s="329"/>
      <c r="Y17" s="285"/>
      <c r="Z17" s="285"/>
      <c r="AA17" s="285"/>
      <c r="AB17" s="285"/>
      <c r="AC17" s="285"/>
      <c r="AD17" s="285"/>
      <c r="AE17" s="285"/>
    </row>
    <row r="18" spans="1:31" ht="18.95" customHeight="1">
      <c r="A18" s="312"/>
      <c r="B18" s="279" t="s">
        <v>58</v>
      </c>
      <c r="C18" s="280" t="s">
        <v>57</v>
      </c>
      <c r="D18" s="281" t="s">
        <v>43</v>
      </c>
      <c r="E18" s="282">
        <v>0</v>
      </c>
      <c r="F18" s="283"/>
      <c r="G18" s="282">
        <v>100000</v>
      </c>
      <c r="H18" s="283"/>
      <c r="I18" s="284">
        <v>195800</v>
      </c>
      <c r="J18" s="285">
        <v>0</v>
      </c>
      <c r="K18" s="285">
        <v>0</v>
      </c>
      <c r="L18" s="285">
        <v>103800</v>
      </c>
      <c r="M18" s="285">
        <v>32000</v>
      </c>
      <c r="N18" s="285">
        <v>20000</v>
      </c>
      <c r="O18" s="285">
        <v>20000</v>
      </c>
      <c r="P18" s="285">
        <v>0</v>
      </c>
      <c r="Q18" s="285">
        <v>0</v>
      </c>
      <c r="R18" s="286">
        <f>SUM(J18:Q18)</f>
        <v>175800</v>
      </c>
      <c r="S18" s="287">
        <f>I18-R18</f>
        <v>20000</v>
      </c>
      <c r="T18" s="288">
        <f>G18-I18</f>
        <v>-95800</v>
      </c>
      <c r="U18" s="289">
        <v>0</v>
      </c>
      <c r="V18" s="290" t="e">
        <f t="shared" si="0"/>
        <v>#DIV/0!</v>
      </c>
      <c r="X18" s="329"/>
      <c r="Y18" s="285"/>
      <c r="Z18" s="285"/>
      <c r="AA18" s="285"/>
      <c r="AB18" s="285"/>
      <c r="AC18" s="285"/>
      <c r="AD18" s="285"/>
      <c r="AE18" s="285"/>
    </row>
    <row r="19" spans="1:31" ht="18.95" customHeight="1">
      <c r="A19" s="312"/>
      <c r="B19" s="279" t="s">
        <v>59</v>
      </c>
      <c r="C19" s="280" t="s">
        <v>42</v>
      </c>
      <c r="D19" s="281" t="s">
        <v>43</v>
      </c>
      <c r="E19" s="282">
        <v>0</v>
      </c>
      <c r="F19" s="283"/>
      <c r="G19" s="282">
        <v>0</v>
      </c>
      <c r="H19" s="283"/>
      <c r="I19" s="284">
        <v>0</v>
      </c>
      <c r="J19" s="285">
        <v>0</v>
      </c>
      <c r="K19" s="285">
        <v>0</v>
      </c>
      <c r="L19" s="285">
        <v>558700</v>
      </c>
      <c r="M19" s="285">
        <v>409250</v>
      </c>
      <c r="N19" s="285">
        <v>130200</v>
      </c>
      <c r="O19" s="285">
        <v>105000</v>
      </c>
      <c r="P19" s="285">
        <v>0</v>
      </c>
      <c r="Q19" s="285">
        <v>0</v>
      </c>
      <c r="R19" s="286">
        <f>SUM(J19:Q19)</f>
        <v>1203150</v>
      </c>
      <c r="S19" s="287">
        <f>I19-R19</f>
        <v>-1203150</v>
      </c>
      <c r="T19" s="288">
        <f>G19-I19</f>
        <v>0</v>
      </c>
      <c r="U19" s="289">
        <v>0</v>
      </c>
      <c r="V19" s="290" t="e">
        <f t="shared" si="0"/>
        <v>#DIV/0!</v>
      </c>
      <c r="X19" s="329"/>
      <c r="Y19" s="285"/>
      <c r="Z19" s="285"/>
      <c r="AA19" s="285"/>
      <c r="AB19" s="285"/>
      <c r="AC19" s="285"/>
      <c r="AD19" s="285"/>
      <c r="AE19" s="285"/>
    </row>
    <row r="20" spans="1:31" ht="18.95" customHeight="1">
      <c r="A20" s="312"/>
      <c r="B20" s="279" t="s">
        <v>60</v>
      </c>
      <c r="C20" s="280" t="s">
        <v>39</v>
      </c>
      <c r="D20" s="281" t="s">
        <v>43</v>
      </c>
      <c r="E20" s="282">
        <v>0</v>
      </c>
      <c r="F20" s="283"/>
      <c r="G20" s="282">
        <v>0</v>
      </c>
      <c r="H20" s="283"/>
      <c r="I20" s="284">
        <v>0</v>
      </c>
      <c r="J20" s="285">
        <v>0</v>
      </c>
      <c r="K20" s="285">
        <v>0</v>
      </c>
      <c r="L20" s="285">
        <v>22000</v>
      </c>
      <c r="M20" s="285">
        <v>0</v>
      </c>
      <c r="N20" s="285">
        <v>0</v>
      </c>
      <c r="O20" s="285">
        <v>0</v>
      </c>
      <c r="P20" s="285">
        <v>0</v>
      </c>
      <c r="Q20" s="285">
        <v>0</v>
      </c>
      <c r="R20" s="286">
        <f>SUM(J20:Q20)</f>
        <v>22000</v>
      </c>
      <c r="S20" s="287">
        <f>I20-R20</f>
        <v>-22000</v>
      </c>
      <c r="T20" s="288">
        <f>G20-I20</f>
        <v>0</v>
      </c>
      <c r="U20" s="289">
        <v>0</v>
      </c>
      <c r="V20" s="290" t="e">
        <f t="shared" si="0"/>
        <v>#DIV/0!</v>
      </c>
      <c r="X20" s="329"/>
      <c r="Y20" s="285"/>
      <c r="Z20" s="285"/>
      <c r="AA20" s="285"/>
      <c r="AB20" s="285"/>
      <c r="AC20" s="285"/>
      <c r="AD20" s="285"/>
      <c r="AE20" s="285"/>
    </row>
    <row r="21" spans="1:31" ht="18.95" customHeight="1">
      <c r="A21" s="312"/>
      <c r="B21" s="279" t="s">
        <v>61</v>
      </c>
      <c r="C21" s="280" t="s">
        <v>57</v>
      </c>
      <c r="D21" s="281" t="s">
        <v>62</v>
      </c>
      <c r="E21" s="282">
        <v>530000</v>
      </c>
      <c r="F21" s="283"/>
      <c r="G21" s="282">
        <v>650000</v>
      </c>
      <c r="H21" s="283"/>
      <c r="I21" s="284">
        <v>650000</v>
      </c>
      <c r="J21" s="285">
        <v>0</v>
      </c>
      <c r="K21" s="285">
        <v>0</v>
      </c>
      <c r="L21" s="285">
        <v>351000</v>
      </c>
      <c r="M21" s="285">
        <v>0</v>
      </c>
      <c r="N21" s="285">
        <v>0</v>
      </c>
      <c r="O21" s="285">
        <v>0</v>
      </c>
      <c r="P21" s="285">
        <v>0</v>
      </c>
      <c r="Q21" s="285">
        <v>0</v>
      </c>
      <c r="R21" s="286">
        <f>SUM(J21:Q21)</f>
        <v>351000</v>
      </c>
      <c r="S21" s="287">
        <f>I21-R21</f>
        <v>299000</v>
      </c>
      <c r="T21" s="288">
        <f>G21-I21</f>
        <v>0</v>
      </c>
      <c r="U21" s="289">
        <v>1</v>
      </c>
      <c r="V21" s="290">
        <f t="shared" si="0"/>
        <v>351000</v>
      </c>
      <c r="X21" s="329"/>
      <c r="Y21" s="285"/>
      <c r="Z21" s="285"/>
      <c r="AA21" s="285"/>
      <c r="AB21" s="285"/>
      <c r="AC21" s="285"/>
      <c r="AD21" s="285"/>
      <c r="AE21" s="285"/>
    </row>
    <row r="22" spans="1:31" ht="18.95" customHeight="1">
      <c r="A22" s="312"/>
      <c r="B22" s="279" t="s">
        <v>61</v>
      </c>
      <c r="C22" s="280" t="s">
        <v>57</v>
      </c>
      <c r="D22" s="281" t="s">
        <v>43</v>
      </c>
      <c r="E22" s="282">
        <v>0</v>
      </c>
      <c r="F22" s="283"/>
      <c r="G22" s="282">
        <v>0</v>
      </c>
      <c r="H22" s="283"/>
      <c r="I22" s="284">
        <v>0</v>
      </c>
      <c r="J22" s="285">
        <v>0</v>
      </c>
      <c r="K22" s="285">
        <v>0</v>
      </c>
      <c r="L22" s="285">
        <v>0</v>
      </c>
      <c r="M22" s="285">
        <v>78392</v>
      </c>
      <c r="N22" s="285">
        <v>33674</v>
      </c>
      <c r="O22" s="285">
        <v>54816</v>
      </c>
      <c r="P22" s="285">
        <v>0</v>
      </c>
      <c r="Q22" s="285">
        <v>0</v>
      </c>
      <c r="R22" s="286">
        <f>SUM(J22:Q22)</f>
        <v>166882</v>
      </c>
      <c r="S22" s="287">
        <f>I22-R22</f>
        <v>-166882</v>
      </c>
      <c r="T22" s="288">
        <f>G22-I22</f>
        <v>0</v>
      </c>
      <c r="U22" s="289">
        <v>0</v>
      </c>
      <c r="V22" s="290" t="e">
        <f t="shared" si="0"/>
        <v>#DIV/0!</v>
      </c>
      <c r="X22" s="329"/>
      <c r="Y22" s="285"/>
      <c r="Z22" s="285"/>
      <c r="AA22" s="285"/>
      <c r="AB22" s="285"/>
      <c r="AC22" s="285"/>
      <c r="AD22" s="285"/>
      <c r="AE22" s="285"/>
    </row>
    <row r="23" spans="1:31" ht="18.95" customHeight="1">
      <c r="A23" s="312"/>
      <c r="B23" s="279" t="s">
        <v>63</v>
      </c>
      <c r="C23" s="280" t="s">
        <v>57</v>
      </c>
      <c r="D23" s="281" t="s">
        <v>43</v>
      </c>
      <c r="E23" s="282">
        <v>0</v>
      </c>
      <c r="F23" s="283"/>
      <c r="G23" s="282">
        <v>0</v>
      </c>
      <c r="H23" s="283"/>
      <c r="I23" s="284">
        <v>0</v>
      </c>
      <c r="J23" s="285">
        <v>0</v>
      </c>
      <c r="K23" s="285">
        <v>0</v>
      </c>
      <c r="L23" s="285">
        <v>128190</v>
      </c>
      <c r="M23" s="285">
        <v>0</v>
      </c>
      <c r="N23" s="285">
        <v>0</v>
      </c>
      <c r="O23" s="285">
        <v>0</v>
      </c>
      <c r="P23" s="285">
        <v>0</v>
      </c>
      <c r="Q23" s="285">
        <v>0</v>
      </c>
      <c r="R23" s="286">
        <f>SUM(J23:Q23)</f>
        <v>128190</v>
      </c>
      <c r="S23" s="287">
        <f>I23-R23</f>
        <v>-128190</v>
      </c>
      <c r="T23" s="288">
        <f>G23-I23</f>
        <v>0</v>
      </c>
      <c r="U23" s="289">
        <v>0</v>
      </c>
      <c r="V23" s="290" t="e">
        <f t="shared" si="0"/>
        <v>#DIV/0!</v>
      </c>
      <c r="X23" s="329"/>
      <c r="Y23" s="285"/>
      <c r="Z23" s="285"/>
      <c r="AA23" s="285"/>
      <c r="AB23" s="285"/>
      <c r="AC23" s="285"/>
      <c r="AD23" s="285"/>
      <c r="AE23" s="285"/>
    </row>
    <row r="24" spans="1:31" ht="18.95" customHeight="1">
      <c r="A24" s="312"/>
      <c r="B24" s="279"/>
      <c r="C24" s="280" t="s">
        <v>57</v>
      </c>
      <c r="D24" s="281" t="s">
        <v>43</v>
      </c>
      <c r="E24" s="282">
        <v>0</v>
      </c>
      <c r="F24" s="283"/>
      <c r="G24" s="282">
        <v>0</v>
      </c>
      <c r="H24" s="283"/>
      <c r="I24" s="284">
        <v>0</v>
      </c>
      <c r="J24" s="285">
        <v>0</v>
      </c>
      <c r="K24" s="285">
        <v>0</v>
      </c>
      <c r="L24" s="285">
        <v>0</v>
      </c>
      <c r="M24" s="285">
        <v>0</v>
      </c>
      <c r="N24" s="285">
        <v>0</v>
      </c>
      <c r="O24" s="285">
        <v>0</v>
      </c>
      <c r="P24" s="285">
        <v>0</v>
      </c>
      <c r="Q24" s="285">
        <v>0</v>
      </c>
      <c r="R24" s="286">
        <f>SUM(J24:Q24)</f>
        <v>0</v>
      </c>
      <c r="S24" s="287">
        <f>I24-R24</f>
        <v>0</v>
      </c>
      <c r="T24" s="288">
        <f>G24-I24</f>
        <v>0</v>
      </c>
      <c r="U24" s="289">
        <v>0</v>
      </c>
      <c r="V24" s="290" t="e">
        <f t="shared" si="0"/>
        <v>#DIV/0!</v>
      </c>
      <c r="X24" s="329"/>
      <c r="Y24" s="285"/>
      <c r="Z24" s="285"/>
      <c r="AA24" s="285"/>
      <c r="AB24" s="285"/>
      <c r="AC24" s="285"/>
      <c r="AD24" s="285"/>
      <c r="AE24" s="285"/>
    </row>
    <row r="25" spans="1:31" ht="18.95" customHeight="1">
      <c r="A25" s="312"/>
      <c r="B25" s="279"/>
      <c r="C25" s="280" t="s">
        <v>47</v>
      </c>
      <c r="D25" s="281" t="s">
        <v>43</v>
      </c>
      <c r="E25" s="282">
        <v>0</v>
      </c>
      <c r="F25" s="283"/>
      <c r="G25" s="282">
        <v>0</v>
      </c>
      <c r="H25" s="283"/>
      <c r="I25" s="284">
        <v>0</v>
      </c>
      <c r="J25" s="285">
        <v>0</v>
      </c>
      <c r="K25" s="285">
        <v>0</v>
      </c>
      <c r="L25" s="285">
        <v>0</v>
      </c>
      <c r="M25" s="285">
        <v>0</v>
      </c>
      <c r="N25" s="285">
        <v>0</v>
      </c>
      <c r="O25" s="285">
        <v>0</v>
      </c>
      <c r="P25" s="285">
        <v>0</v>
      </c>
      <c r="Q25" s="285">
        <v>0</v>
      </c>
      <c r="R25" s="286">
        <f>SUM(J25:Q25)</f>
        <v>0</v>
      </c>
      <c r="S25" s="287">
        <f>I25-R25</f>
        <v>0</v>
      </c>
      <c r="T25" s="288">
        <f>G25-I25</f>
        <v>0</v>
      </c>
      <c r="U25" s="289">
        <v>0</v>
      </c>
      <c r="V25" s="290" t="e">
        <f t="shared" si="0"/>
        <v>#DIV/0!</v>
      </c>
      <c r="X25" s="329"/>
      <c r="Y25" s="285"/>
      <c r="Z25" s="285"/>
      <c r="AA25" s="285"/>
      <c r="AB25" s="285"/>
      <c r="AC25" s="285"/>
      <c r="AD25" s="285"/>
      <c r="AE25" s="285"/>
    </row>
    <row r="26" spans="1:31" ht="18.95" customHeight="1">
      <c r="A26" s="312"/>
      <c r="B26" s="279"/>
      <c r="C26" s="280" t="s">
        <v>39</v>
      </c>
      <c r="D26" s="281" t="s">
        <v>43</v>
      </c>
      <c r="E26" s="282">
        <v>0</v>
      </c>
      <c r="F26" s="283"/>
      <c r="G26" s="282">
        <v>0</v>
      </c>
      <c r="H26" s="283"/>
      <c r="I26" s="284">
        <v>0</v>
      </c>
      <c r="J26" s="285">
        <v>0</v>
      </c>
      <c r="K26" s="285">
        <v>0</v>
      </c>
      <c r="L26" s="285">
        <v>0</v>
      </c>
      <c r="M26" s="285">
        <v>0</v>
      </c>
      <c r="N26" s="285">
        <v>0</v>
      </c>
      <c r="O26" s="285">
        <v>0</v>
      </c>
      <c r="P26" s="285">
        <v>0</v>
      </c>
      <c r="Q26" s="285">
        <v>0</v>
      </c>
      <c r="R26" s="286">
        <f>SUM(J26:Q26)</f>
        <v>0</v>
      </c>
      <c r="S26" s="287">
        <f>I26-R26</f>
        <v>0</v>
      </c>
      <c r="T26" s="288">
        <f>G26-I26</f>
        <v>0</v>
      </c>
      <c r="U26" s="289">
        <v>0</v>
      </c>
      <c r="V26" s="290" t="e">
        <f t="shared" si="0"/>
        <v>#DIV/0!</v>
      </c>
      <c r="X26" s="329"/>
      <c r="Y26" s="285"/>
      <c r="Z26" s="285"/>
      <c r="AA26" s="285"/>
      <c r="AB26" s="285"/>
      <c r="AC26" s="285"/>
      <c r="AD26" s="285"/>
      <c r="AE26" s="285"/>
    </row>
    <row r="27" spans="1:31" ht="18.95" customHeight="1">
      <c r="A27" s="312"/>
      <c r="B27" s="279"/>
      <c r="C27" s="280" t="s">
        <v>45</v>
      </c>
      <c r="D27" s="281" t="s">
        <v>43</v>
      </c>
      <c r="E27" s="282">
        <v>0</v>
      </c>
      <c r="F27" s="283"/>
      <c r="G27" s="282">
        <v>0</v>
      </c>
      <c r="H27" s="283"/>
      <c r="I27" s="284">
        <v>200000</v>
      </c>
      <c r="J27" s="285">
        <v>0</v>
      </c>
      <c r="K27" s="285">
        <v>0</v>
      </c>
      <c r="L27" s="285">
        <v>0</v>
      </c>
      <c r="M27" s="285">
        <v>0</v>
      </c>
      <c r="N27" s="285">
        <v>0</v>
      </c>
      <c r="O27" s="285">
        <v>0</v>
      </c>
      <c r="P27" s="285">
        <v>0</v>
      </c>
      <c r="Q27" s="285">
        <v>0</v>
      </c>
      <c r="R27" s="286">
        <f>SUM(J27:Q27)</f>
        <v>0</v>
      </c>
      <c r="S27" s="287">
        <f>I27-R27</f>
        <v>200000</v>
      </c>
      <c r="T27" s="288">
        <f>G27-I27</f>
        <v>-200000</v>
      </c>
      <c r="U27" s="289">
        <v>0</v>
      </c>
      <c r="V27" s="290" t="e">
        <f t="shared" si="0"/>
        <v>#DIV/0!</v>
      </c>
      <c r="X27" s="329"/>
      <c r="Y27" s="285"/>
      <c r="Z27" s="285"/>
      <c r="AA27" s="285"/>
      <c r="AB27" s="285"/>
      <c r="AC27" s="285"/>
      <c r="AD27" s="285"/>
      <c r="AE27" s="285"/>
    </row>
    <row r="28" spans="1:31" ht="18.95" customHeight="1">
      <c r="A28" s="312"/>
      <c r="B28" s="279"/>
      <c r="C28" s="280" t="s">
        <v>42</v>
      </c>
      <c r="D28" s="281" t="s">
        <v>43</v>
      </c>
      <c r="E28" s="282">
        <v>1609000</v>
      </c>
      <c r="F28" s="283"/>
      <c r="G28" s="282">
        <v>0</v>
      </c>
      <c r="H28" s="283"/>
      <c r="I28" s="284">
        <v>0</v>
      </c>
      <c r="J28" s="285">
        <v>0</v>
      </c>
      <c r="K28" s="285">
        <v>0</v>
      </c>
      <c r="L28" s="285">
        <v>0</v>
      </c>
      <c r="M28" s="285">
        <v>0</v>
      </c>
      <c r="N28" s="285">
        <v>0</v>
      </c>
      <c r="O28" s="285">
        <v>0</v>
      </c>
      <c r="P28" s="285">
        <v>0</v>
      </c>
      <c r="Q28" s="285">
        <v>0</v>
      </c>
      <c r="R28" s="286">
        <f>SUM(J28:Q28)</f>
        <v>0</v>
      </c>
      <c r="S28" s="287">
        <f>I28-R28</f>
        <v>0</v>
      </c>
      <c r="T28" s="288">
        <f>G28-I28</f>
        <v>0</v>
      </c>
      <c r="U28" s="289">
        <v>0</v>
      </c>
      <c r="V28" s="290" t="e">
        <f t="shared" si="0"/>
        <v>#DIV/0!</v>
      </c>
      <c r="X28" s="329"/>
      <c r="Y28" s="285"/>
      <c r="Z28" s="285"/>
      <c r="AA28" s="285"/>
      <c r="AB28" s="285"/>
      <c r="AC28" s="285"/>
      <c r="AD28" s="285"/>
      <c r="AE28" s="285"/>
    </row>
    <row r="29" spans="1:31" ht="18.95" customHeight="1">
      <c r="A29" s="312"/>
      <c r="B29" s="279"/>
      <c r="C29" s="280" t="s">
        <v>64</v>
      </c>
      <c r="D29" s="281" t="s">
        <v>43</v>
      </c>
      <c r="E29" s="282">
        <v>0</v>
      </c>
      <c r="F29" s="283"/>
      <c r="G29" s="282">
        <v>0</v>
      </c>
      <c r="H29" s="283"/>
      <c r="I29" s="284">
        <v>0</v>
      </c>
      <c r="J29" s="285">
        <v>0</v>
      </c>
      <c r="K29" s="285">
        <v>0</v>
      </c>
      <c r="L29" s="285">
        <v>0</v>
      </c>
      <c r="M29" s="285">
        <v>0</v>
      </c>
      <c r="N29" s="285">
        <v>0</v>
      </c>
      <c r="O29" s="285">
        <v>0</v>
      </c>
      <c r="P29" s="285">
        <v>0</v>
      </c>
      <c r="Q29" s="285">
        <v>0</v>
      </c>
      <c r="R29" s="286">
        <f>SUM(J29:Q29)</f>
        <v>0</v>
      </c>
      <c r="S29" s="287">
        <f>I29-R29</f>
        <v>0</v>
      </c>
      <c r="T29" s="288">
        <f>G29-I29</f>
        <v>0</v>
      </c>
      <c r="U29" s="289">
        <v>0</v>
      </c>
      <c r="V29" s="290" t="e">
        <f t="shared" si="0"/>
        <v>#DIV/0!</v>
      </c>
      <c r="X29" s="329"/>
      <c r="Y29" s="285"/>
      <c r="Z29" s="285"/>
      <c r="AA29" s="285"/>
      <c r="AB29" s="285"/>
      <c r="AC29" s="285"/>
      <c r="AD29" s="285"/>
      <c r="AE29" s="285"/>
    </row>
    <row r="30" spans="1:31" ht="18.95" customHeight="1">
      <c r="A30" s="313"/>
      <c r="B30" s="279"/>
      <c r="C30" s="280" t="s">
        <v>50</v>
      </c>
      <c r="D30" s="281" t="s">
        <v>43</v>
      </c>
      <c r="E30" s="282">
        <v>970000</v>
      </c>
      <c r="F30" s="283"/>
      <c r="G30" s="282">
        <v>900000</v>
      </c>
      <c r="H30" s="283"/>
      <c r="I30" s="284">
        <v>700000</v>
      </c>
      <c r="J30" s="285">
        <v>0</v>
      </c>
      <c r="K30" s="285">
        <v>0</v>
      </c>
      <c r="L30" s="285">
        <v>0</v>
      </c>
      <c r="M30" s="285">
        <v>0</v>
      </c>
      <c r="N30" s="285">
        <v>0</v>
      </c>
      <c r="O30" s="285">
        <v>0</v>
      </c>
      <c r="P30" s="285">
        <v>0</v>
      </c>
      <c r="Q30" s="285">
        <v>0</v>
      </c>
      <c r="R30" s="286">
        <f>SUM(J30:Q30)</f>
        <v>0</v>
      </c>
      <c r="S30" s="287">
        <f>I30-R30</f>
        <v>700000</v>
      </c>
      <c r="T30" s="288">
        <f>G30-I30</f>
        <v>200000</v>
      </c>
      <c r="U30" s="289">
        <v>0</v>
      </c>
      <c r="V30" s="290" t="e">
        <f t="shared" si="0"/>
        <v>#DIV/0!</v>
      </c>
      <c r="X30" s="329"/>
      <c r="Y30" s="285"/>
      <c r="Z30" s="285"/>
      <c r="AA30" s="285"/>
      <c r="AB30" s="285"/>
      <c r="AC30" s="285"/>
      <c r="AD30" s="285"/>
      <c r="AE30" s="285"/>
    </row>
    <row r="31" spans="1:31" ht="18.95" customHeight="1">
      <c r="A31" s="314" t="s">
        <v>65</v>
      </c>
      <c r="B31" s="291" t="s">
        <v>66</v>
      </c>
      <c r="C31" s="292" t="s">
        <v>67</v>
      </c>
      <c r="D31" s="293" t="s">
        <v>68</v>
      </c>
      <c r="E31" s="294">
        <v>10752500</v>
      </c>
      <c r="F31" s="295"/>
      <c r="G31" s="294">
        <v>10700000</v>
      </c>
      <c r="H31" s="295"/>
      <c r="I31" s="296">
        <v>10700000</v>
      </c>
      <c r="J31" s="273">
        <v>0</v>
      </c>
      <c r="K31" s="273">
        <v>0</v>
      </c>
      <c r="L31" s="273">
        <v>4333500</v>
      </c>
      <c r="M31" s="273">
        <v>1444500</v>
      </c>
      <c r="N31" s="273">
        <v>0</v>
      </c>
      <c r="O31" s="273">
        <v>0</v>
      </c>
      <c r="P31" s="273">
        <v>0</v>
      </c>
      <c r="Q31" s="273">
        <v>0</v>
      </c>
      <c r="R31" s="274">
        <f>SUM(J31:Q31)</f>
        <v>5778000</v>
      </c>
      <c r="S31" s="275">
        <f>I31-R31</f>
        <v>4922000</v>
      </c>
      <c r="T31" s="276">
        <f>G31-I31</f>
        <v>0</v>
      </c>
      <c r="U31" s="297">
        <v>106</v>
      </c>
      <c r="V31" s="278">
        <f t="shared" si="0"/>
        <v>54509.433962264149</v>
      </c>
      <c r="X31" s="328"/>
      <c r="Y31" s="273"/>
      <c r="Z31" s="273"/>
      <c r="AA31" s="273"/>
      <c r="AB31" s="273"/>
      <c r="AC31" s="273"/>
      <c r="AD31" s="273"/>
      <c r="AE31" s="273"/>
    </row>
    <row r="32" spans="1:31" ht="18.95" customHeight="1">
      <c r="A32" s="312"/>
      <c r="B32" s="279"/>
      <c r="C32" s="280" t="s">
        <v>67</v>
      </c>
      <c r="D32" s="281" t="s">
        <v>43</v>
      </c>
      <c r="E32" s="282">
        <v>0</v>
      </c>
      <c r="F32" s="283"/>
      <c r="G32" s="282">
        <v>0</v>
      </c>
      <c r="H32" s="283"/>
      <c r="I32" s="284">
        <v>0</v>
      </c>
      <c r="J32" s="285">
        <v>0</v>
      </c>
      <c r="K32" s="285">
        <v>0</v>
      </c>
      <c r="L32" s="285">
        <v>0</v>
      </c>
      <c r="M32" s="285">
        <v>0</v>
      </c>
      <c r="N32" s="285">
        <v>0</v>
      </c>
      <c r="O32" s="285">
        <v>0</v>
      </c>
      <c r="P32" s="285">
        <v>0</v>
      </c>
      <c r="Q32" s="285">
        <v>0</v>
      </c>
      <c r="R32" s="286">
        <f>SUM(J32:Q32)</f>
        <v>0</v>
      </c>
      <c r="S32" s="287">
        <f>I32-R32</f>
        <v>0</v>
      </c>
      <c r="T32" s="288">
        <f>G32-I32</f>
        <v>0</v>
      </c>
      <c r="U32" s="289">
        <v>0</v>
      </c>
      <c r="V32" s="290" t="e">
        <f t="shared" si="0"/>
        <v>#DIV/0!</v>
      </c>
      <c r="X32" s="329"/>
      <c r="Y32" s="285"/>
      <c r="Z32" s="285"/>
      <c r="AA32" s="285"/>
      <c r="AB32" s="285"/>
      <c r="AC32" s="285"/>
      <c r="AD32" s="285"/>
      <c r="AE32" s="285"/>
    </row>
    <row r="33" spans="1:31" ht="18.95" customHeight="1">
      <c r="A33" s="312"/>
      <c r="B33" s="279"/>
      <c r="C33" s="280" t="s">
        <v>69</v>
      </c>
      <c r="D33" s="281" t="s">
        <v>43</v>
      </c>
      <c r="E33" s="282">
        <v>0</v>
      </c>
      <c r="F33" s="283"/>
      <c r="G33" s="282">
        <v>0</v>
      </c>
      <c r="H33" s="283"/>
      <c r="I33" s="284">
        <v>0</v>
      </c>
      <c r="J33" s="285">
        <v>0</v>
      </c>
      <c r="K33" s="285">
        <v>0</v>
      </c>
      <c r="L33" s="285">
        <v>0</v>
      </c>
      <c r="M33" s="285">
        <v>0</v>
      </c>
      <c r="N33" s="285">
        <v>0</v>
      </c>
      <c r="O33" s="285">
        <v>0</v>
      </c>
      <c r="P33" s="285">
        <v>0</v>
      </c>
      <c r="Q33" s="285">
        <v>0</v>
      </c>
      <c r="R33" s="286">
        <f>SUM(J33:Q33)</f>
        <v>0</v>
      </c>
      <c r="S33" s="287">
        <f>I33-R33</f>
        <v>0</v>
      </c>
      <c r="T33" s="288">
        <f>G33-I33</f>
        <v>0</v>
      </c>
      <c r="U33" s="289">
        <v>0</v>
      </c>
      <c r="V33" s="290" t="e">
        <f t="shared" si="0"/>
        <v>#DIV/0!</v>
      </c>
      <c r="X33" s="329"/>
      <c r="Y33" s="285"/>
      <c r="Z33" s="285"/>
      <c r="AA33" s="285"/>
      <c r="AB33" s="285"/>
      <c r="AC33" s="285"/>
      <c r="AD33" s="285"/>
      <c r="AE33" s="285"/>
    </row>
    <row r="34" spans="1:31" ht="18.95" customHeight="1">
      <c r="A34" s="312"/>
      <c r="B34" s="279"/>
      <c r="C34" s="280" t="s">
        <v>70</v>
      </c>
      <c r="D34" s="281" t="s">
        <v>43</v>
      </c>
      <c r="E34" s="282">
        <v>126000</v>
      </c>
      <c r="F34" s="283"/>
      <c r="G34" s="282">
        <v>0</v>
      </c>
      <c r="H34" s="283"/>
      <c r="I34" s="284">
        <v>0</v>
      </c>
      <c r="J34" s="285">
        <v>0</v>
      </c>
      <c r="K34" s="285">
        <v>0</v>
      </c>
      <c r="L34" s="285">
        <v>0</v>
      </c>
      <c r="M34" s="285">
        <v>0</v>
      </c>
      <c r="N34" s="285">
        <v>0</v>
      </c>
      <c r="O34" s="285">
        <v>0</v>
      </c>
      <c r="P34" s="285">
        <v>0</v>
      </c>
      <c r="Q34" s="285">
        <v>0</v>
      </c>
      <c r="R34" s="286">
        <f>SUM(J34:Q34)</f>
        <v>0</v>
      </c>
      <c r="S34" s="287">
        <f>I34-R34</f>
        <v>0</v>
      </c>
      <c r="T34" s="288">
        <f>G34-I34</f>
        <v>0</v>
      </c>
      <c r="U34" s="289">
        <v>0</v>
      </c>
      <c r="V34" s="290" t="e">
        <f t="shared" si="0"/>
        <v>#DIV/0!</v>
      </c>
      <c r="X34" s="329"/>
      <c r="Y34" s="285"/>
      <c r="Z34" s="285"/>
      <c r="AA34" s="285"/>
      <c r="AB34" s="285"/>
      <c r="AC34" s="285"/>
      <c r="AD34" s="285"/>
      <c r="AE34" s="285"/>
    </row>
    <row r="35" spans="1:31" ht="18.95" customHeight="1">
      <c r="A35" s="312"/>
      <c r="B35" s="279"/>
      <c r="C35" s="280" t="s">
        <v>71</v>
      </c>
      <c r="D35" s="281" t="s">
        <v>43</v>
      </c>
      <c r="E35" s="282">
        <v>0</v>
      </c>
      <c r="F35" s="283"/>
      <c r="G35" s="282">
        <v>0</v>
      </c>
      <c r="H35" s="283"/>
      <c r="I35" s="284">
        <v>0</v>
      </c>
      <c r="J35" s="285">
        <v>0</v>
      </c>
      <c r="K35" s="285">
        <v>0</v>
      </c>
      <c r="L35" s="285">
        <v>0</v>
      </c>
      <c r="M35" s="285">
        <v>0</v>
      </c>
      <c r="N35" s="285">
        <v>0</v>
      </c>
      <c r="O35" s="285">
        <v>0</v>
      </c>
      <c r="P35" s="285">
        <v>0</v>
      </c>
      <c r="Q35" s="285">
        <v>0</v>
      </c>
      <c r="R35" s="286">
        <f>SUM(J35:Q35)</f>
        <v>0</v>
      </c>
      <c r="S35" s="287">
        <f>I35-R35</f>
        <v>0</v>
      </c>
      <c r="T35" s="288">
        <f>G35-I35</f>
        <v>0</v>
      </c>
      <c r="U35" s="289">
        <v>0</v>
      </c>
      <c r="V35" s="290" t="e">
        <f t="shared" si="0"/>
        <v>#DIV/0!</v>
      </c>
      <c r="X35" s="329"/>
      <c r="Y35" s="285"/>
      <c r="Z35" s="285"/>
      <c r="AA35" s="285"/>
      <c r="AB35" s="285"/>
      <c r="AC35" s="285"/>
      <c r="AD35" s="285"/>
      <c r="AE35" s="285"/>
    </row>
    <row r="36" spans="1:31" ht="18.95" customHeight="1">
      <c r="A36" s="312"/>
      <c r="B36" s="279"/>
      <c r="C36" s="280" t="s">
        <v>72</v>
      </c>
      <c r="D36" s="281" t="s">
        <v>43</v>
      </c>
      <c r="E36" s="282">
        <v>3750000</v>
      </c>
      <c r="F36" s="283"/>
      <c r="G36" s="282">
        <v>625000</v>
      </c>
      <c r="H36" s="283"/>
      <c r="I36" s="284">
        <v>375000</v>
      </c>
      <c r="J36" s="285">
        <v>0</v>
      </c>
      <c r="K36" s="285">
        <v>0</v>
      </c>
      <c r="L36" s="285">
        <v>0</v>
      </c>
      <c r="M36" s="285">
        <v>0</v>
      </c>
      <c r="N36" s="285">
        <v>0</v>
      </c>
      <c r="O36" s="285">
        <v>0</v>
      </c>
      <c r="P36" s="285">
        <v>0</v>
      </c>
      <c r="Q36" s="285">
        <v>0</v>
      </c>
      <c r="R36" s="286">
        <f>SUM(J36:Q36)</f>
        <v>0</v>
      </c>
      <c r="S36" s="287">
        <f>I36-R36</f>
        <v>375000</v>
      </c>
      <c r="T36" s="288">
        <f>G36-I36</f>
        <v>250000</v>
      </c>
      <c r="U36" s="289">
        <v>0</v>
      </c>
      <c r="V36" s="290" t="e">
        <f t="shared" si="0"/>
        <v>#DIV/0!</v>
      </c>
      <c r="X36" s="329"/>
      <c r="Y36" s="285"/>
      <c r="Z36" s="285"/>
      <c r="AA36" s="285"/>
      <c r="AB36" s="285"/>
      <c r="AC36" s="285"/>
      <c r="AD36" s="285"/>
      <c r="AE36" s="285"/>
    </row>
    <row r="37" spans="1:31" ht="18.95" customHeight="1">
      <c r="A37" s="313"/>
      <c r="B37" s="279"/>
      <c r="C37" s="280" t="s">
        <v>73</v>
      </c>
      <c r="D37" s="281" t="s">
        <v>43</v>
      </c>
      <c r="E37" s="282">
        <v>0</v>
      </c>
      <c r="F37" s="283"/>
      <c r="G37" s="282">
        <v>0</v>
      </c>
      <c r="H37" s="283"/>
      <c r="I37" s="284">
        <v>0</v>
      </c>
      <c r="J37" s="285">
        <v>0</v>
      </c>
      <c r="K37" s="285">
        <v>0</v>
      </c>
      <c r="L37" s="285">
        <v>0</v>
      </c>
      <c r="M37" s="285">
        <v>0</v>
      </c>
      <c r="N37" s="285">
        <v>0</v>
      </c>
      <c r="O37" s="285">
        <v>0</v>
      </c>
      <c r="P37" s="285">
        <v>0</v>
      </c>
      <c r="Q37" s="285">
        <v>0</v>
      </c>
      <c r="R37" s="286">
        <f>SUM(J37:Q37)</f>
        <v>0</v>
      </c>
      <c r="S37" s="287">
        <f>I37-R37</f>
        <v>0</v>
      </c>
      <c r="T37" s="288">
        <f>G37-I37</f>
        <v>0</v>
      </c>
      <c r="U37" s="289">
        <v>0</v>
      </c>
      <c r="V37" s="290" t="e">
        <f t="shared" si="0"/>
        <v>#DIV/0!</v>
      </c>
      <c r="X37" s="329"/>
      <c r="Y37" s="285"/>
      <c r="Z37" s="285"/>
      <c r="AA37" s="285"/>
      <c r="AB37" s="285"/>
      <c r="AC37" s="285"/>
      <c r="AD37" s="285"/>
      <c r="AE37" s="285"/>
    </row>
    <row r="38" spans="1:31" ht="18.95" customHeight="1">
      <c r="A38" s="314" t="s">
        <v>74</v>
      </c>
      <c r="B38" s="291" t="s">
        <v>38</v>
      </c>
      <c r="C38" s="292" t="s">
        <v>75</v>
      </c>
      <c r="D38" s="293" t="s">
        <v>40</v>
      </c>
      <c r="E38" s="294">
        <v>8049475</v>
      </c>
      <c r="F38" s="295"/>
      <c r="G38" s="294">
        <v>8583000</v>
      </c>
      <c r="H38" s="295"/>
      <c r="I38" s="296">
        <v>8583000</v>
      </c>
      <c r="J38" s="273">
        <v>0</v>
      </c>
      <c r="K38" s="273">
        <v>0</v>
      </c>
      <c r="L38" s="273">
        <v>1900000</v>
      </c>
      <c r="M38" s="273">
        <v>4270000</v>
      </c>
      <c r="N38" s="273">
        <v>1470000</v>
      </c>
      <c r="O38" s="273">
        <v>0</v>
      </c>
      <c r="P38" s="273">
        <v>0</v>
      </c>
      <c r="Q38" s="273">
        <v>0</v>
      </c>
      <c r="R38" s="274">
        <f>SUM(J38:Q38)</f>
        <v>7640000</v>
      </c>
      <c r="S38" s="275">
        <f>I38-R38</f>
        <v>943000</v>
      </c>
      <c r="T38" s="276">
        <f>G38-I38</f>
        <v>0</v>
      </c>
      <c r="U38" s="297">
        <v>128</v>
      </c>
      <c r="V38" s="278">
        <f t="shared" si="0"/>
        <v>59687.5</v>
      </c>
      <c r="X38" s="328"/>
      <c r="Y38" s="273"/>
      <c r="Z38" s="273"/>
      <c r="AA38" s="273"/>
      <c r="AB38" s="273"/>
      <c r="AC38" s="273"/>
      <c r="AD38" s="273"/>
      <c r="AE38" s="273"/>
    </row>
    <row r="39" spans="1:31" ht="18.95" customHeight="1">
      <c r="A39" s="312"/>
      <c r="B39" s="279" t="s">
        <v>38</v>
      </c>
      <c r="C39" s="280" t="s">
        <v>75</v>
      </c>
      <c r="D39" s="281" t="s">
        <v>43</v>
      </c>
      <c r="E39" s="282">
        <v>0</v>
      </c>
      <c r="F39" s="283"/>
      <c r="G39" s="282">
        <v>0</v>
      </c>
      <c r="H39" s="283"/>
      <c r="I39" s="284">
        <v>0</v>
      </c>
      <c r="J39" s="285">
        <v>0</v>
      </c>
      <c r="K39" s="285">
        <v>0</v>
      </c>
      <c r="L39" s="285">
        <v>0</v>
      </c>
      <c r="M39" s="285">
        <v>-235800</v>
      </c>
      <c r="N39" s="285">
        <v>-527600</v>
      </c>
      <c r="O39" s="285">
        <v>-399200</v>
      </c>
      <c r="P39" s="285">
        <v>0</v>
      </c>
      <c r="Q39" s="285">
        <v>0</v>
      </c>
      <c r="R39" s="286">
        <f>SUM(J39:Q39)</f>
        <v>-1162600</v>
      </c>
      <c r="S39" s="287">
        <f>I39-R39</f>
        <v>1162600</v>
      </c>
      <c r="T39" s="288">
        <f>G39-I39</f>
        <v>0</v>
      </c>
      <c r="U39" s="289">
        <v>0</v>
      </c>
      <c r="V39" s="290" t="e">
        <f t="shared" si="0"/>
        <v>#DIV/0!</v>
      </c>
      <c r="X39" s="329"/>
      <c r="Y39" s="285"/>
      <c r="Z39" s="285"/>
      <c r="AA39" s="285"/>
      <c r="AB39" s="285"/>
      <c r="AC39" s="285"/>
      <c r="AD39" s="285"/>
      <c r="AE39" s="285"/>
    </row>
    <row r="40" spans="1:31" ht="18.95" customHeight="1">
      <c r="A40" s="312"/>
      <c r="B40" s="279" t="s">
        <v>53</v>
      </c>
      <c r="C40" s="280" t="s">
        <v>76</v>
      </c>
      <c r="D40" s="281" t="s">
        <v>43</v>
      </c>
      <c r="E40" s="282">
        <v>0</v>
      </c>
      <c r="F40" s="283"/>
      <c r="G40" s="282">
        <v>0</v>
      </c>
      <c r="H40" s="283"/>
      <c r="I40" s="284">
        <v>0</v>
      </c>
      <c r="J40" s="285">
        <v>0</v>
      </c>
      <c r="K40" s="285">
        <v>0</v>
      </c>
      <c r="L40" s="285">
        <v>221600</v>
      </c>
      <c r="M40" s="285">
        <v>495200</v>
      </c>
      <c r="N40" s="285">
        <v>376200</v>
      </c>
      <c r="O40" s="285">
        <v>0</v>
      </c>
      <c r="P40" s="285">
        <v>0</v>
      </c>
      <c r="Q40" s="285">
        <v>0</v>
      </c>
      <c r="R40" s="286">
        <f>SUM(J40:Q40)</f>
        <v>1093000</v>
      </c>
      <c r="S40" s="287">
        <f>I40-R40</f>
        <v>-1093000</v>
      </c>
      <c r="T40" s="288">
        <f>G40-I40</f>
        <v>0</v>
      </c>
      <c r="U40" s="289">
        <v>0</v>
      </c>
      <c r="V40" s="290" t="e">
        <f t="shared" si="0"/>
        <v>#DIV/0!</v>
      </c>
      <c r="X40" s="329"/>
      <c r="Y40" s="285"/>
      <c r="Z40" s="285"/>
      <c r="AA40" s="285"/>
      <c r="AB40" s="285"/>
      <c r="AC40" s="285"/>
      <c r="AD40" s="285"/>
      <c r="AE40" s="285"/>
    </row>
    <row r="41" spans="1:31" ht="18.95" customHeight="1">
      <c r="A41" s="312"/>
      <c r="B41" s="279"/>
      <c r="C41" s="280" t="s">
        <v>75</v>
      </c>
      <c r="D41" s="281" t="s">
        <v>43</v>
      </c>
      <c r="E41" s="282">
        <v>0</v>
      </c>
      <c r="F41" s="283"/>
      <c r="G41" s="282">
        <v>0</v>
      </c>
      <c r="H41" s="283"/>
      <c r="I41" s="284">
        <v>0</v>
      </c>
      <c r="J41" s="285">
        <v>0</v>
      </c>
      <c r="K41" s="285">
        <v>0</v>
      </c>
      <c r="L41" s="285">
        <v>0</v>
      </c>
      <c r="M41" s="285">
        <v>0</v>
      </c>
      <c r="N41" s="285">
        <v>0</v>
      </c>
      <c r="O41" s="285">
        <v>0</v>
      </c>
      <c r="P41" s="285">
        <v>0</v>
      </c>
      <c r="Q41" s="285">
        <v>0</v>
      </c>
      <c r="R41" s="286">
        <f>SUM(J41:Q41)</f>
        <v>0</v>
      </c>
      <c r="S41" s="287">
        <f>I41-R41</f>
        <v>0</v>
      </c>
      <c r="T41" s="288">
        <f>G41-I41</f>
        <v>0</v>
      </c>
      <c r="U41" s="289">
        <v>0</v>
      </c>
      <c r="V41" s="290" t="e">
        <f t="shared" si="0"/>
        <v>#DIV/0!</v>
      </c>
      <c r="X41" s="329"/>
      <c r="Y41" s="285"/>
      <c r="Z41" s="285"/>
      <c r="AA41" s="285"/>
      <c r="AB41" s="285"/>
      <c r="AC41" s="285"/>
      <c r="AD41" s="285"/>
      <c r="AE41" s="285"/>
    </row>
    <row r="42" spans="1:31" ht="18.95" customHeight="1">
      <c r="A42" s="313"/>
      <c r="B42" s="279"/>
      <c r="C42" s="280" t="s">
        <v>76</v>
      </c>
      <c r="D42" s="281" t="s">
        <v>43</v>
      </c>
      <c r="E42" s="282">
        <v>0</v>
      </c>
      <c r="F42" s="283"/>
      <c r="G42" s="282">
        <v>0</v>
      </c>
      <c r="H42" s="283"/>
      <c r="I42" s="284">
        <v>0</v>
      </c>
      <c r="J42" s="285">
        <v>0</v>
      </c>
      <c r="K42" s="285">
        <v>0</v>
      </c>
      <c r="L42" s="285">
        <v>0</v>
      </c>
      <c r="M42" s="285">
        <v>0</v>
      </c>
      <c r="N42" s="285">
        <v>0</v>
      </c>
      <c r="O42" s="285">
        <v>0</v>
      </c>
      <c r="P42" s="285">
        <v>0</v>
      </c>
      <c r="Q42" s="285">
        <v>0</v>
      </c>
      <c r="R42" s="286">
        <f>SUM(J42:Q42)</f>
        <v>0</v>
      </c>
      <c r="S42" s="287">
        <f>I42-R42</f>
        <v>0</v>
      </c>
      <c r="T42" s="288">
        <f>G42-I42</f>
        <v>0</v>
      </c>
      <c r="U42" s="289">
        <v>0</v>
      </c>
      <c r="V42" s="290" t="e">
        <f t="shared" si="0"/>
        <v>#DIV/0!</v>
      </c>
      <c r="X42" s="329"/>
      <c r="Y42" s="285"/>
      <c r="Z42" s="285"/>
      <c r="AA42" s="285"/>
      <c r="AB42" s="285"/>
      <c r="AC42" s="285"/>
      <c r="AD42" s="285"/>
      <c r="AE42" s="285"/>
    </row>
    <row r="43" spans="1:31" ht="18.95" customHeight="1">
      <c r="A43" s="314" t="s">
        <v>77</v>
      </c>
      <c r="B43" s="291" t="s">
        <v>38</v>
      </c>
      <c r="C43" s="292" t="s">
        <v>78</v>
      </c>
      <c r="D43" s="293" t="s">
        <v>40</v>
      </c>
      <c r="E43" s="294">
        <v>822100</v>
      </c>
      <c r="F43" s="295"/>
      <c r="G43" s="294">
        <v>679200</v>
      </c>
      <c r="H43" s="295"/>
      <c r="I43" s="296">
        <v>679200</v>
      </c>
      <c r="J43" s="273">
        <v>0</v>
      </c>
      <c r="K43" s="273">
        <v>0</v>
      </c>
      <c r="L43" s="273">
        <v>0</v>
      </c>
      <c r="M43" s="273">
        <v>679200</v>
      </c>
      <c r="N43" s="273">
        <v>0</v>
      </c>
      <c r="O43" s="273">
        <v>0</v>
      </c>
      <c r="P43" s="273">
        <v>0</v>
      </c>
      <c r="Q43" s="273">
        <v>0</v>
      </c>
      <c r="R43" s="274">
        <f>SUM(J43:Q43)</f>
        <v>679200</v>
      </c>
      <c r="S43" s="275">
        <f>I43-R43</f>
        <v>0</v>
      </c>
      <c r="T43" s="276">
        <f>G43-I43</f>
        <v>0</v>
      </c>
      <c r="U43" s="297">
        <v>35</v>
      </c>
      <c r="V43" s="278">
        <f t="shared" si="0"/>
        <v>19405.714285714286</v>
      </c>
      <c r="X43" s="328"/>
      <c r="Y43" s="273"/>
      <c r="Z43" s="273"/>
      <c r="AA43" s="273"/>
      <c r="AB43" s="273"/>
      <c r="AC43" s="273"/>
      <c r="AD43" s="273"/>
      <c r="AE43" s="273"/>
    </row>
    <row r="44" spans="1:31" ht="18.95" customHeight="1">
      <c r="A44" s="312"/>
      <c r="B44" s="279" t="s">
        <v>38</v>
      </c>
      <c r="C44" s="280" t="s">
        <v>78</v>
      </c>
      <c r="D44" s="281" t="s">
        <v>43</v>
      </c>
      <c r="E44" s="282">
        <v>0</v>
      </c>
      <c r="F44" s="283"/>
      <c r="G44" s="282">
        <v>0</v>
      </c>
      <c r="H44" s="283"/>
      <c r="I44" s="284">
        <v>0</v>
      </c>
      <c r="J44" s="285">
        <v>0</v>
      </c>
      <c r="K44" s="285">
        <v>0</v>
      </c>
      <c r="L44" s="285">
        <v>325000</v>
      </c>
      <c r="M44" s="285">
        <v>0</v>
      </c>
      <c r="N44" s="285">
        <v>-54300</v>
      </c>
      <c r="O44" s="285">
        <v>0</v>
      </c>
      <c r="P44" s="285">
        <v>0</v>
      </c>
      <c r="Q44" s="285">
        <v>0</v>
      </c>
      <c r="R44" s="286">
        <f>SUM(J44:Q44)</f>
        <v>270700</v>
      </c>
      <c r="S44" s="287">
        <f>I44-R44</f>
        <v>-270700</v>
      </c>
      <c r="T44" s="288">
        <f>G44-I44</f>
        <v>0</v>
      </c>
      <c r="U44" s="289">
        <v>0</v>
      </c>
      <c r="V44" s="290" t="e">
        <f t="shared" si="0"/>
        <v>#DIV/0!</v>
      </c>
      <c r="X44" s="329"/>
      <c r="Y44" s="285"/>
      <c r="Z44" s="285"/>
      <c r="AA44" s="285"/>
      <c r="AB44" s="285"/>
      <c r="AC44" s="285"/>
      <c r="AD44" s="285"/>
      <c r="AE44" s="285"/>
    </row>
    <row r="45" spans="1:31" ht="18.95" customHeight="1">
      <c r="A45" s="312"/>
      <c r="B45" s="279" t="s">
        <v>38</v>
      </c>
      <c r="C45" s="280" t="s">
        <v>79</v>
      </c>
      <c r="D45" s="281" t="s">
        <v>40</v>
      </c>
      <c r="E45" s="282">
        <v>3684600</v>
      </c>
      <c r="F45" s="283"/>
      <c r="G45" s="282">
        <v>3756250</v>
      </c>
      <c r="H45" s="283"/>
      <c r="I45" s="284">
        <v>3756250</v>
      </c>
      <c r="J45" s="285">
        <v>0</v>
      </c>
      <c r="K45" s="285">
        <v>0</v>
      </c>
      <c r="L45" s="285">
        <v>0</v>
      </c>
      <c r="M45" s="285">
        <v>1280800</v>
      </c>
      <c r="N45" s="285">
        <v>1680000</v>
      </c>
      <c r="O45" s="285">
        <v>0</v>
      </c>
      <c r="P45" s="285">
        <v>0</v>
      </c>
      <c r="Q45" s="285">
        <v>0</v>
      </c>
      <c r="R45" s="286">
        <f>SUM(J45:Q45)</f>
        <v>2960800</v>
      </c>
      <c r="S45" s="287">
        <f>I45-R45</f>
        <v>795450</v>
      </c>
      <c r="T45" s="288">
        <f>G45-I45</f>
        <v>0</v>
      </c>
      <c r="U45" s="289">
        <v>30</v>
      </c>
      <c r="V45" s="290">
        <f t="shared" si="0"/>
        <v>98693.333333333328</v>
      </c>
      <c r="X45" s="329"/>
      <c r="Y45" s="285"/>
      <c r="Z45" s="285"/>
      <c r="AA45" s="285"/>
      <c r="AB45" s="285"/>
      <c r="AC45" s="285"/>
      <c r="AD45" s="285"/>
      <c r="AE45" s="285"/>
    </row>
    <row r="46" spans="1:31" ht="18.95" customHeight="1">
      <c r="A46" s="312"/>
      <c r="B46" s="279" t="s">
        <v>38</v>
      </c>
      <c r="C46" s="280" t="s">
        <v>79</v>
      </c>
      <c r="D46" s="281" t="s">
        <v>43</v>
      </c>
      <c r="E46" s="282">
        <v>0</v>
      </c>
      <c r="F46" s="283"/>
      <c r="G46" s="282">
        <v>0</v>
      </c>
      <c r="H46" s="283"/>
      <c r="I46" s="284">
        <v>0</v>
      </c>
      <c r="J46" s="285">
        <v>0</v>
      </c>
      <c r="K46" s="285">
        <v>0</v>
      </c>
      <c r="L46" s="285">
        <v>0</v>
      </c>
      <c r="M46" s="285">
        <v>259400</v>
      </c>
      <c r="N46" s="285">
        <v>0</v>
      </c>
      <c r="O46" s="285">
        <v>0</v>
      </c>
      <c r="P46" s="285">
        <v>0</v>
      </c>
      <c r="Q46" s="285">
        <v>0</v>
      </c>
      <c r="R46" s="286">
        <f>SUM(J46:Q46)</f>
        <v>259400</v>
      </c>
      <c r="S46" s="287">
        <f>I46-R46</f>
        <v>-259400</v>
      </c>
      <c r="T46" s="288">
        <f>G46-I46</f>
        <v>0</v>
      </c>
      <c r="U46" s="289">
        <v>0</v>
      </c>
      <c r="V46" s="290" t="e">
        <f t="shared" si="0"/>
        <v>#DIV/0!</v>
      </c>
      <c r="X46" s="329"/>
      <c r="Y46" s="285"/>
      <c r="Z46" s="285"/>
      <c r="AA46" s="285"/>
      <c r="AB46" s="285"/>
      <c r="AC46" s="285"/>
      <c r="AD46" s="285"/>
      <c r="AE46" s="285"/>
    </row>
    <row r="47" spans="1:31" ht="18.95" customHeight="1">
      <c r="A47" s="312"/>
      <c r="B47" s="279" t="s">
        <v>38</v>
      </c>
      <c r="C47" s="280" t="s">
        <v>80</v>
      </c>
      <c r="D47" s="281" t="s">
        <v>40</v>
      </c>
      <c r="E47" s="282">
        <v>1771450</v>
      </c>
      <c r="F47" s="283"/>
      <c r="G47" s="282">
        <v>1879290</v>
      </c>
      <c r="H47" s="283"/>
      <c r="I47" s="284">
        <v>1879290</v>
      </c>
      <c r="J47" s="285">
        <v>0</v>
      </c>
      <c r="K47" s="285">
        <v>0</v>
      </c>
      <c r="L47" s="285">
        <v>0</v>
      </c>
      <c r="M47" s="285">
        <v>0</v>
      </c>
      <c r="N47" s="285">
        <v>0</v>
      </c>
      <c r="O47" s="285">
        <v>0</v>
      </c>
      <c r="P47" s="285">
        <v>0</v>
      </c>
      <c r="Q47" s="285">
        <v>0</v>
      </c>
      <c r="R47" s="286">
        <f>SUM(J47:Q47)</f>
        <v>0</v>
      </c>
      <c r="S47" s="287">
        <f>I47-R47</f>
        <v>1879290</v>
      </c>
      <c r="T47" s="288">
        <f>G47-I47</f>
        <v>0</v>
      </c>
      <c r="U47" s="289">
        <v>10</v>
      </c>
      <c r="V47" s="290">
        <f t="shared" si="0"/>
        <v>0</v>
      </c>
      <c r="X47" s="329"/>
      <c r="Y47" s="285"/>
      <c r="Z47" s="285"/>
      <c r="AA47" s="285"/>
      <c r="AB47" s="285"/>
      <c r="AC47" s="285"/>
      <c r="AD47" s="285"/>
      <c r="AE47" s="285"/>
    </row>
    <row r="48" spans="1:31" ht="18.95" customHeight="1">
      <c r="A48" s="312"/>
      <c r="B48" s="279" t="s">
        <v>53</v>
      </c>
      <c r="C48" s="280" t="s">
        <v>81</v>
      </c>
      <c r="D48" s="281" t="s">
        <v>43</v>
      </c>
      <c r="E48" s="282">
        <v>0</v>
      </c>
      <c r="F48" s="283"/>
      <c r="G48" s="282">
        <v>0</v>
      </c>
      <c r="H48" s="283"/>
      <c r="I48" s="284">
        <v>0</v>
      </c>
      <c r="J48" s="285">
        <v>0</v>
      </c>
      <c r="K48" s="285">
        <v>0</v>
      </c>
      <c r="L48" s="285">
        <v>0</v>
      </c>
      <c r="M48" s="285">
        <v>48280</v>
      </c>
      <c r="N48" s="285">
        <v>0</v>
      </c>
      <c r="O48" s="285">
        <v>0</v>
      </c>
      <c r="P48" s="285">
        <v>0</v>
      </c>
      <c r="Q48" s="285">
        <v>0</v>
      </c>
      <c r="R48" s="286">
        <f>SUM(J48:Q48)</f>
        <v>48280</v>
      </c>
      <c r="S48" s="287">
        <f>I48-R48</f>
        <v>-48280</v>
      </c>
      <c r="T48" s="288">
        <f>G48-I48</f>
        <v>0</v>
      </c>
      <c r="U48" s="289">
        <v>0</v>
      </c>
      <c r="V48" s="290" t="e">
        <f t="shared" si="0"/>
        <v>#DIV/0!</v>
      </c>
      <c r="X48" s="329"/>
      <c r="Y48" s="285"/>
      <c r="Z48" s="285"/>
      <c r="AA48" s="285"/>
      <c r="AB48" s="285"/>
      <c r="AC48" s="285"/>
      <c r="AD48" s="285"/>
      <c r="AE48" s="285"/>
    </row>
    <row r="49" spans="1:31" ht="18.95" customHeight="1">
      <c r="A49" s="312"/>
      <c r="B49" s="279" t="s">
        <v>53</v>
      </c>
      <c r="C49" s="280" t="s">
        <v>82</v>
      </c>
      <c r="D49" s="281" t="s">
        <v>43</v>
      </c>
      <c r="E49" s="282">
        <v>0</v>
      </c>
      <c r="F49" s="283"/>
      <c r="G49" s="282">
        <v>0</v>
      </c>
      <c r="H49" s="283"/>
      <c r="I49" s="284">
        <v>0</v>
      </c>
      <c r="J49" s="285">
        <v>0</v>
      </c>
      <c r="K49" s="285">
        <v>0</v>
      </c>
      <c r="L49" s="285">
        <v>14700</v>
      </c>
      <c r="M49" s="285">
        <v>33880</v>
      </c>
      <c r="N49" s="285">
        <v>0</v>
      </c>
      <c r="O49" s="285">
        <v>0</v>
      </c>
      <c r="P49" s="285">
        <v>0</v>
      </c>
      <c r="Q49" s="285">
        <v>0</v>
      </c>
      <c r="R49" s="286">
        <f>SUM(J49:Q49)</f>
        <v>48580</v>
      </c>
      <c r="S49" s="287">
        <f>I49-R49</f>
        <v>-48580</v>
      </c>
      <c r="T49" s="288">
        <f>G49-I49</f>
        <v>0</v>
      </c>
      <c r="U49" s="289">
        <v>0</v>
      </c>
      <c r="V49" s="290" t="e">
        <f t="shared" si="0"/>
        <v>#DIV/0!</v>
      </c>
      <c r="X49" s="329"/>
      <c r="Y49" s="285"/>
      <c r="Z49" s="285"/>
      <c r="AA49" s="285"/>
      <c r="AB49" s="285"/>
      <c r="AC49" s="285"/>
      <c r="AD49" s="285"/>
      <c r="AE49" s="285"/>
    </row>
    <row r="50" spans="1:31" ht="18.95" customHeight="1">
      <c r="A50" s="312"/>
      <c r="B50" s="279" t="s">
        <v>83</v>
      </c>
      <c r="C50" s="280" t="s">
        <v>82</v>
      </c>
      <c r="D50" s="281" t="s">
        <v>43</v>
      </c>
      <c r="E50" s="282">
        <v>0</v>
      </c>
      <c r="F50" s="283"/>
      <c r="G50" s="282">
        <v>0</v>
      </c>
      <c r="H50" s="283"/>
      <c r="I50" s="284">
        <v>0</v>
      </c>
      <c r="J50" s="285">
        <v>0</v>
      </c>
      <c r="K50" s="285">
        <v>0</v>
      </c>
      <c r="L50" s="285">
        <v>0</v>
      </c>
      <c r="M50" s="285">
        <v>510900</v>
      </c>
      <c r="N50" s="285">
        <v>0</v>
      </c>
      <c r="O50" s="285">
        <v>0</v>
      </c>
      <c r="P50" s="285">
        <v>0</v>
      </c>
      <c r="Q50" s="285">
        <v>0</v>
      </c>
      <c r="R50" s="286">
        <f>SUM(J50:Q50)</f>
        <v>510900</v>
      </c>
      <c r="S50" s="287">
        <f>I50-R50</f>
        <v>-510900</v>
      </c>
      <c r="T50" s="288">
        <f>G50-I50</f>
        <v>0</v>
      </c>
      <c r="U50" s="289">
        <v>0</v>
      </c>
      <c r="V50" s="290" t="e">
        <f t="shared" si="0"/>
        <v>#DIV/0!</v>
      </c>
      <c r="X50" s="329"/>
      <c r="Y50" s="285"/>
      <c r="Z50" s="285"/>
      <c r="AA50" s="285"/>
      <c r="AB50" s="285"/>
      <c r="AC50" s="285"/>
      <c r="AD50" s="285"/>
      <c r="AE50" s="285"/>
    </row>
    <row r="51" spans="1:31" ht="18.95" customHeight="1">
      <c r="A51" s="312"/>
      <c r="B51" s="279" t="s">
        <v>55</v>
      </c>
      <c r="C51" s="280" t="s">
        <v>82</v>
      </c>
      <c r="D51" s="281" t="s">
        <v>43</v>
      </c>
      <c r="E51" s="282">
        <v>0</v>
      </c>
      <c r="F51" s="283"/>
      <c r="G51" s="282">
        <v>0</v>
      </c>
      <c r="H51" s="283"/>
      <c r="I51" s="284">
        <v>0</v>
      </c>
      <c r="J51" s="285">
        <v>0</v>
      </c>
      <c r="K51" s="285">
        <v>0</v>
      </c>
      <c r="L51" s="285">
        <v>0</v>
      </c>
      <c r="M51" s="285">
        <v>0</v>
      </c>
      <c r="N51" s="285">
        <v>17420</v>
      </c>
      <c r="O51" s="285">
        <v>0</v>
      </c>
      <c r="P51" s="285">
        <v>0</v>
      </c>
      <c r="Q51" s="285">
        <v>0</v>
      </c>
      <c r="R51" s="286">
        <f>SUM(J51:Q51)</f>
        <v>17420</v>
      </c>
      <c r="S51" s="287">
        <f>I51-R51</f>
        <v>-17420</v>
      </c>
      <c r="T51" s="288">
        <f>G51-I51</f>
        <v>0</v>
      </c>
      <c r="U51" s="289">
        <v>0</v>
      </c>
      <c r="V51" s="290" t="e">
        <f t="shared" si="0"/>
        <v>#DIV/0!</v>
      </c>
      <c r="X51" s="329"/>
      <c r="Y51" s="285"/>
      <c r="Z51" s="285"/>
      <c r="AA51" s="285"/>
      <c r="AB51" s="285"/>
      <c r="AC51" s="285"/>
      <c r="AD51" s="285"/>
      <c r="AE51" s="285"/>
    </row>
    <row r="52" spans="1:31" ht="18.95" customHeight="1">
      <c r="A52" s="312"/>
      <c r="B52" s="279" t="s">
        <v>84</v>
      </c>
      <c r="C52" s="280" t="s">
        <v>79</v>
      </c>
      <c r="D52" s="281" t="s">
        <v>43</v>
      </c>
      <c r="E52" s="282">
        <v>0</v>
      </c>
      <c r="F52" s="283"/>
      <c r="G52" s="282">
        <v>0</v>
      </c>
      <c r="H52" s="283"/>
      <c r="I52" s="284">
        <v>220000</v>
      </c>
      <c r="J52" s="285">
        <v>0</v>
      </c>
      <c r="K52" s="285">
        <v>0</v>
      </c>
      <c r="L52" s="285">
        <v>0</v>
      </c>
      <c r="M52" s="285">
        <v>0</v>
      </c>
      <c r="N52" s="285">
        <v>0</v>
      </c>
      <c r="O52" s="285">
        <v>220000</v>
      </c>
      <c r="P52" s="285">
        <v>0</v>
      </c>
      <c r="Q52" s="285">
        <v>0</v>
      </c>
      <c r="R52" s="286">
        <f>SUM(J52:Q52)</f>
        <v>220000</v>
      </c>
      <c r="S52" s="287">
        <f>I52-R52</f>
        <v>0</v>
      </c>
      <c r="T52" s="288">
        <f>G52-I52</f>
        <v>-220000</v>
      </c>
      <c r="U52" s="289">
        <v>0</v>
      </c>
      <c r="V52" s="290" t="e">
        <f t="shared" si="0"/>
        <v>#DIV/0!</v>
      </c>
      <c r="X52" s="329"/>
      <c r="Y52" s="285"/>
      <c r="Z52" s="285"/>
      <c r="AA52" s="285"/>
      <c r="AB52" s="285"/>
      <c r="AC52" s="285"/>
      <c r="AD52" s="285"/>
      <c r="AE52" s="285"/>
    </row>
    <row r="53" spans="1:31" ht="18.95" customHeight="1">
      <c r="A53" s="312"/>
      <c r="B53" s="279"/>
      <c r="C53" s="280" t="s">
        <v>78</v>
      </c>
      <c r="D53" s="281" t="s">
        <v>43</v>
      </c>
      <c r="E53" s="282">
        <v>0</v>
      </c>
      <c r="F53" s="283"/>
      <c r="G53" s="282">
        <v>250000</v>
      </c>
      <c r="H53" s="283"/>
      <c r="I53" s="284">
        <v>325000</v>
      </c>
      <c r="J53" s="285">
        <v>0</v>
      </c>
      <c r="K53" s="285">
        <v>0</v>
      </c>
      <c r="L53" s="285">
        <v>0</v>
      </c>
      <c r="M53" s="285">
        <v>0</v>
      </c>
      <c r="N53" s="285">
        <v>0</v>
      </c>
      <c r="O53" s="285">
        <v>0</v>
      </c>
      <c r="P53" s="285">
        <v>0</v>
      </c>
      <c r="Q53" s="285">
        <v>0</v>
      </c>
      <c r="R53" s="286">
        <f>SUM(J53:Q53)</f>
        <v>0</v>
      </c>
      <c r="S53" s="287">
        <f>I53-R53</f>
        <v>325000</v>
      </c>
      <c r="T53" s="288">
        <f>G53-I53</f>
        <v>-75000</v>
      </c>
      <c r="U53" s="289">
        <v>0</v>
      </c>
      <c r="V53" s="290" t="e">
        <f t="shared" si="0"/>
        <v>#DIV/0!</v>
      </c>
      <c r="X53" s="329"/>
      <c r="Y53" s="285"/>
      <c r="Z53" s="285"/>
      <c r="AA53" s="285"/>
      <c r="AB53" s="285"/>
      <c r="AC53" s="285"/>
      <c r="AD53" s="285"/>
      <c r="AE53" s="285"/>
    </row>
    <row r="54" spans="1:31" ht="18.95" customHeight="1">
      <c r="A54" s="312"/>
      <c r="B54" s="279"/>
      <c r="C54" s="280" t="s">
        <v>81</v>
      </c>
      <c r="D54" s="281" t="s">
        <v>43</v>
      </c>
      <c r="E54" s="282">
        <v>0</v>
      </c>
      <c r="F54" s="283"/>
      <c r="G54" s="282">
        <v>0</v>
      </c>
      <c r="H54" s="283"/>
      <c r="I54" s="284">
        <v>0</v>
      </c>
      <c r="J54" s="285">
        <v>0</v>
      </c>
      <c r="K54" s="285">
        <v>0</v>
      </c>
      <c r="L54" s="285">
        <v>0</v>
      </c>
      <c r="M54" s="285">
        <v>0</v>
      </c>
      <c r="N54" s="285">
        <v>0</v>
      </c>
      <c r="O54" s="285">
        <v>0</v>
      </c>
      <c r="P54" s="285">
        <v>0</v>
      </c>
      <c r="Q54" s="285">
        <v>0</v>
      </c>
      <c r="R54" s="286">
        <f>SUM(J54:Q54)</f>
        <v>0</v>
      </c>
      <c r="S54" s="287">
        <f>I54-R54</f>
        <v>0</v>
      </c>
      <c r="T54" s="288">
        <f>G54-I54</f>
        <v>0</v>
      </c>
      <c r="U54" s="289">
        <v>0</v>
      </c>
      <c r="V54" s="290" t="e">
        <f t="shared" si="0"/>
        <v>#DIV/0!</v>
      </c>
      <c r="X54" s="329"/>
      <c r="Y54" s="285"/>
      <c r="Z54" s="285"/>
      <c r="AA54" s="285"/>
      <c r="AB54" s="285"/>
      <c r="AC54" s="285"/>
      <c r="AD54" s="285"/>
      <c r="AE54" s="285"/>
    </row>
    <row r="55" spans="1:31" ht="18.95" customHeight="1">
      <c r="A55" s="312"/>
      <c r="B55" s="279"/>
      <c r="C55" s="280" t="s">
        <v>79</v>
      </c>
      <c r="D55" s="281" t="s">
        <v>43</v>
      </c>
      <c r="E55" s="282">
        <v>911360</v>
      </c>
      <c r="F55" s="283"/>
      <c r="G55" s="282">
        <v>945000</v>
      </c>
      <c r="H55" s="283"/>
      <c r="I55" s="284">
        <v>945000</v>
      </c>
      <c r="J55" s="285">
        <v>0</v>
      </c>
      <c r="K55" s="285">
        <v>0</v>
      </c>
      <c r="L55" s="285">
        <v>0</v>
      </c>
      <c r="M55" s="285">
        <v>0</v>
      </c>
      <c r="N55" s="285">
        <v>0</v>
      </c>
      <c r="O55" s="285">
        <v>0</v>
      </c>
      <c r="P55" s="285">
        <v>0</v>
      </c>
      <c r="Q55" s="285">
        <v>0</v>
      </c>
      <c r="R55" s="286">
        <f>SUM(J55:Q55)</f>
        <v>0</v>
      </c>
      <c r="S55" s="287">
        <f>I55-R55</f>
        <v>945000</v>
      </c>
      <c r="T55" s="288">
        <f>G55-I55</f>
        <v>0</v>
      </c>
      <c r="U55" s="289">
        <v>0</v>
      </c>
      <c r="V55" s="290" t="e">
        <f t="shared" si="0"/>
        <v>#DIV/0!</v>
      </c>
      <c r="X55" s="329"/>
      <c r="Y55" s="285"/>
      <c r="Z55" s="285"/>
      <c r="AA55" s="285"/>
      <c r="AB55" s="285"/>
      <c r="AC55" s="285"/>
      <c r="AD55" s="285"/>
      <c r="AE55" s="285"/>
    </row>
    <row r="56" spans="1:31" ht="18.95" customHeight="1">
      <c r="A56" s="312"/>
      <c r="B56" s="279"/>
      <c r="C56" s="280" t="s">
        <v>82</v>
      </c>
      <c r="D56" s="281" t="s">
        <v>43</v>
      </c>
      <c r="E56" s="282">
        <v>0</v>
      </c>
      <c r="F56" s="283"/>
      <c r="G56" s="282">
        <v>0</v>
      </c>
      <c r="H56" s="283"/>
      <c r="I56" s="284">
        <v>60000</v>
      </c>
      <c r="J56" s="285">
        <v>0</v>
      </c>
      <c r="K56" s="285">
        <v>0</v>
      </c>
      <c r="L56" s="285">
        <v>0</v>
      </c>
      <c r="M56" s="285">
        <v>0</v>
      </c>
      <c r="N56" s="285">
        <v>0</v>
      </c>
      <c r="O56" s="285">
        <v>0</v>
      </c>
      <c r="P56" s="285">
        <v>0</v>
      </c>
      <c r="Q56" s="285">
        <v>0</v>
      </c>
      <c r="R56" s="286">
        <f>SUM(J56:Q56)</f>
        <v>0</v>
      </c>
      <c r="S56" s="287">
        <f>I56-R56</f>
        <v>60000</v>
      </c>
      <c r="T56" s="288">
        <f>G56-I56</f>
        <v>-60000</v>
      </c>
      <c r="U56" s="289">
        <v>0</v>
      </c>
      <c r="V56" s="290" t="e">
        <f t="shared" si="0"/>
        <v>#DIV/0!</v>
      </c>
      <c r="X56" s="329"/>
      <c r="Y56" s="285"/>
      <c r="Z56" s="285"/>
      <c r="AA56" s="285"/>
      <c r="AB56" s="285"/>
      <c r="AC56" s="285"/>
      <c r="AD56" s="285"/>
      <c r="AE56" s="285"/>
    </row>
    <row r="57" spans="1:31" ht="18.95" customHeight="1">
      <c r="A57" s="312"/>
      <c r="B57" s="279"/>
      <c r="C57" s="280" t="s">
        <v>80</v>
      </c>
      <c r="D57" s="281" t="s">
        <v>43</v>
      </c>
      <c r="E57" s="282">
        <v>0</v>
      </c>
      <c r="F57" s="283"/>
      <c r="G57" s="282">
        <v>0</v>
      </c>
      <c r="H57" s="283"/>
      <c r="I57" s="284">
        <v>0</v>
      </c>
      <c r="J57" s="285">
        <v>0</v>
      </c>
      <c r="K57" s="285">
        <v>0</v>
      </c>
      <c r="L57" s="285">
        <v>0</v>
      </c>
      <c r="M57" s="285">
        <v>0</v>
      </c>
      <c r="N57" s="285">
        <v>0</v>
      </c>
      <c r="O57" s="285">
        <v>0</v>
      </c>
      <c r="P57" s="285">
        <v>0</v>
      </c>
      <c r="Q57" s="285">
        <v>0</v>
      </c>
      <c r="R57" s="286">
        <f>SUM(J57:Q57)</f>
        <v>0</v>
      </c>
      <c r="S57" s="287">
        <f>I57-R57</f>
        <v>0</v>
      </c>
      <c r="T57" s="288">
        <f>G57-I57</f>
        <v>0</v>
      </c>
      <c r="U57" s="289">
        <v>0</v>
      </c>
      <c r="V57" s="290" t="e">
        <f t="shared" si="0"/>
        <v>#DIV/0!</v>
      </c>
      <c r="X57" s="329"/>
      <c r="Y57" s="285"/>
      <c r="Z57" s="285"/>
      <c r="AA57" s="285"/>
      <c r="AB57" s="285"/>
      <c r="AC57" s="285"/>
      <c r="AD57" s="285"/>
      <c r="AE57" s="285"/>
    </row>
    <row r="58" spans="1:31" ht="18.95" customHeight="1">
      <c r="A58" s="313"/>
      <c r="B58" s="279"/>
      <c r="C58" s="280" t="s">
        <v>85</v>
      </c>
      <c r="D58" s="281" t="s">
        <v>43</v>
      </c>
      <c r="E58" s="282">
        <v>0</v>
      </c>
      <c r="F58" s="283"/>
      <c r="G58" s="282">
        <v>0</v>
      </c>
      <c r="H58" s="283"/>
      <c r="I58" s="284">
        <v>0</v>
      </c>
      <c r="J58" s="285">
        <v>0</v>
      </c>
      <c r="K58" s="285">
        <v>0</v>
      </c>
      <c r="L58" s="285">
        <v>0</v>
      </c>
      <c r="M58" s="285">
        <v>0</v>
      </c>
      <c r="N58" s="285">
        <v>0</v>
      </c>
      <c r="O58" s="285">
        <v>0</v>
      </c>
      <c r="P58" s="285">
        <v>0</v>
      </c>
      <c r="Q58" s="285">
        <v>0</v>
      </c>
      <c r="R58" s="286">
        <f>SUM(J58:Q58)</f>
        <v>0</v>
      </c>
      <c r="S58" s="287">
        <f>I58-R58</f>
        <v>0</v>
      </c>
      <c r="T58" s="288">
        <f>G58-I58</f>
        <v>0</v>
      </c>
      <c r="U58" s="289">
        <v>0</v>
      </c>
      <c r="V58" s="290" t="e">
        <f t="shared" si="0"/>
        <v>#DIV/0!</v>
      </c>
      <c r="X58" s="329"/>
      <c r="Y58" s="285"/>
      <c r="Z58" s="285"/>
      <c r="AA58" s="285"/>
      <c r="AB58" s="285"/>
      <c r="AC58" s="285"/>
      <c r="AD58" s="285"/>
      <c r="AE58" s="285"/>
    </row>
    <row r="59" spans="1:31" ht="18.95" customHeight="1">
      <c r="A59" s="314" t="s">
        <v>86</v>
      </c>
      <c r="B59" s="291" t="s">
        <v>38</v>
      </c>
      <c r="C59" s="292" t="s">
        <v>87</v>
      </c>
      <c r="D59" s="293" t="s">
        <v>40</v>
      </c>
      <c r="E59" s="294">
        <v>2752050</v>
      </c>
      <c r="F59" s="295"/>
      <c r="G59" s="294">
        <v>2659000</v>
      </c>
      <c r="H59" s="295"/>
      <c r="I59" s="296">
        <v>2659000</v>
      </c>
      <c r="J59" s="273">
        <v>0</v>
      </c>
      <c r="K59" s="273">
        <v>0</v>
      </c>
      <c r="L59" s="273">
        <v>0</v>
      </c>
      <c r="M59" s="273">
        <v>0</v>
      </c>
      <c r="N59" s="273">
        <v>710000</v>
      </c>
      <c r="O59" s="273">
        <v>1910000</v>
      </c>
      <c r="P59" s="273">
        <v>0</v>
      </c>
      <c r="Q59" s="273">
        <v>0</v>
      </c>
      <c r="R59" s="274">
        <f>SUM(J59:Q59)</f>
        <v>2620000</v>
      </c>
      <c r="S59" s="275">
        <f>I59-R59</f>
        <v>39000</v>
      </c>
      <c r="T59" s="276">
        <f>G59-I59</f>
        <v>0</v>
      </c>
      <c r="U59" s="297">
        <v>0</v>
      </c>
      <c r="V59" s="278" t="e">
        <f t="shared" si="0"/>
        <v>#DIV/0!</v>
      </c>
      <c r="X59" s="328"/>
      <c r="Y59" s="273"/>
      <c r="Z59" s="273"/>
      <c r="AA59" s="273"/>
      <c r="AB59" s="273"/>
      <c r="AC59" s="273"/>
      <c r="AD59" s="273"/>
      <c r="AE59" s="273"/>
    </row>
    <row r="60" spans="1:31" ht="18.95" customHeight="1">
      <c r="A60" s="312"/>
      <c r="B60" s="279" t="s">
        <v>53</v>
      </c>
      <c r="C60" s="280" t="s">
        <v>88</v>
      </c>
      <c r="D60" s="281" t="s">
        <v>43</v>
      </c>
      <c r="E60" s="282">
        <v>0</v>
      </c>
      <c r="F60" s="283"/>
      <c r="G60" s="282">
        <v>0</v>
      </c>
      <c r="H60" s="283"/>
      <c r="I60" s="284">
        <v>0</v>
      </c>
      <c r="J60" s="285">
        <v>0</v>
      </c>
      <c r="K60" s="285">
        <v>0</v>
      </c>
      <c r="L60" s="285">
        <v>0</v>
      </c>
      <c r="M60" s="285">
        <v>0</v>
      </c>
      <c r="N60" s="285">
        <v>0</v>
      </c>
      <c r="O60" s="285">
        <v>1260</v>
      </c>
      <c r="P60" s="285">
        <v>0</v>
      </c>
      <c r="Q60" s="285">
        <v>0</v>
      </c>
      <c r="R60" s="286">
        <f>SUM(J60:Q60)</f>
        <v>1260</v>
      </c>
      <c r="S60" s="287">
        <f>I60-R60</f>
        <v>-1260</v>
      </c>
      <c r="T60" s="288">
        <f>G60-I60</f>
        <v>0</v>
      </c>
      <c r="U60" s="289">
        <v>0</v>
      </c>
      <c r="V60" s="290" t="e">
        <f t="shared" si="0"/>
        <v>#DIV/0!</v>
      </c>
      <c r="X60" s="329"/>
      <c r="Y60" s="285"/>
      <c r="Z60" s="285"/>
      <c r="AA60" s="285"/>
      <c r="AB60" s="285"/>
      <c r="AC60" s="285"/>
      <c r="AD60" s="285"/>
      <c r="AE60" s="285"/>
    </row>
    <row r="61" spans="1:31" ht="18.95" customHeight="1">
      <c r="A61" s="312"/>
      <c r="B61" s="279" t="s">
        <v>89</v>
      </c>
      <c r="C61" s="280" t="s">
        <v>88</v>
      </c>
      <c r="D61" s="281" t="s">
        <v>43</v>
      </c>
      <c r="E61" s="282">
        <v>0</v>
      </c>
      <c r="F61" s="283"/>
      <c r="G61" s="282">
        <v>0</v>
      </c>
      <c r="H61" s="283"/>
      <c r="I61" s="284">
        <v>0</v>
      </c>
      <c r="J61" s="285">
        <v>0</v>
      </c>
      <c r="K61" s="285">
        <v>0</v>
      </c>
      <c r="L61" s="285">
        <v>19900</v>
      </c>
      <c r="M61" s="285">
        <v>0</v>
      </c>
      <c r="N61" s="285">
        <v>474400</v>
      </c>
      <c r="O61" s="285">
        <v>217600</v>
      </c>
      <c r="P61" s="285">
        <v>0</v>
      </c>
      <c r="Q61" s="285">
        <v>0</v>
      </c>
      <c r="R61" s="286">
        <f>SUM(J61:Q61)</f>
        <v>711900</v>
      </c>
      <c r="S61" s="287">
        <f>I61-R61</f>
        <v>-711900</v>
      </c>
      <c r="T61" s="288">
        <f>G61-I61</f>
        <v>0</v>
      </c>
      <c r="U61" s="289">
        <v>0</v>
      </c>
      <c r="V61" s="290" t="e">
        <f t="shared" si="0"/>
        <v>#DIV/0!</v>
      </c>
      <c r="X61" s="329"/>
      <c r="Y61" s="285"/>
      <c r="Z61" s="285"/>
      <c r="AA61" s="285"/>
      <c r="AB61" s="285"/>
      <c r="AC61" s="285"/>
      <c r="AD61" s="285"/>
      <c r="AE61" s="285"/>
    </row>
    <row r="62" spans="1:31" ht="18.95" customHeight="1">
      <c r="A62" s="312"/>
      <c r="B62" s="279"/>
      <c r="C62" s="280" t="s">
        <v>87</v>
      </c>
      <c r="D62" s="281" t="s">
        <v>43</v>
      </c>
      <c r="E62" s="282">
        <v>0</v>
      </c>
      <c r="F62" s="283"/>
      <c r="G62" s="282">
        <v>50000</v>
      </c>
      <c r="H62" s="283"/>
      <c r="I62" s="284">
        <v>50000</v>
      </c>
      <c r="J62" s="285">
        <v>0</v>
      </c>
      <c r="K62" s="285">
        <v>0</v>
      </c>
      <c r="L62" s="285">
        <v>0</v>
      </c>
      <c r="M62" s="285">
        <v>0</v>
      </c>
      <c r="N62" s="285">
        <v>0</v>
      </c>
      <c r="O62" s="285">
        <v>0</v>
      </c>
      <c r="P62" s="285">
        <v>0</v>
      </c>
      <c r="Q62" s="285">
        <v>0</v>
      </c>
      <c r="R62" s="286">
        <f>SUM(J62:Q62)</f>
        <v>0</v>
      </c>
      <c r="S62" s="287">
        <f>I62-R62</f>
        <v>50000</v>
      </c>
      <c r="T62" s="288">
        <f>G62-I62</f>
        <v>0</v>
      </c>
      <c r="U62" s="289">
        <v>0</v>
      </c>
      <c r="V62" s="290" t="e">
        <f t="shared" si="0"/>
        <v>#DIV/0!</v>
      </c>
      <c r="X62" s="329"/>
      <c r="Y62" s="285"/>
      <c r="Z62" s="285"/>
      <c r="AA62" s="285"/>
      <c r="AB62" s="285"/>
      <c r="AC62" s="285"/>
      <c r="AD62" s="285"/>
      <c r="AE62" s="285"/>
    </row>
    <row r="63" spans="1:31" ht="18.95" customHeight="1">
      <c r="A63" s="313"/>
      <c r="B63" s="279"/>
      <c r="C63" s="280" t="s">
        <v>88</v>
      </c>
      <c r="D63" s="281" t="s">
        <v>43</v>
      </c>
      <c r="E63" s="282">
        <v>715800</v>
      </c>
      <c r="F63" s="283"/>
      <c r="G63" s="282">
        <v>715800</v>
      </c>
      <c r="H63" s="283"/>
      <c r="I63" s="284">
        <v>815800</v>
      </c>
      <c r="J63" s="285">
        <v>0</v>
      </c>
      <c r="K63" s="285">
        <v>0</v>
      </c>
      <c r="L63" s="285">
        <v>0</v>
      </c>
      <c r="M63" s="285">
        <v>0</v>
      </c>
      <c r="N63" s="285">
        <v>0</v>
      </c>
      <c r="O63" s="285">
        <v>0</v>
      </c>
      <c r="P63" s="285">
        <v>0</v>
      </c>
      <c r="Q63" s="285">
        <v>0</v>
      </c>
      <c r="R63" s="286">
        <f>SUM(J63:Q63)</f>
        <v>0</v>
      </c>
      <c r="S63" s="287">
        <f>I63-R63</f>
        <v>815800</v>
      </c>
      <c r="T63" s="288">
        <f>G63-I63</f>
        <v>-100000</v>
      </c>
      <c r="U63" s="289">
        <v>0</v>
      </c>
      <c r="V63" s="290" t="e">
        <f t="shared" si="0"/>
        <v>#DIV/0!</v>
      </c>
      <c r="X63" s="329"/>
      <c r="Y63" s="285"/>
      <c r="Z63" s="285"/>
      <c r="AA63" s="285"/>
      <c r="AB63" s="285"/>
      <c r="AC63" s="285"/>
      <c r="AD63" s="285"/>
      <c r="AE63" s="285"/>
    </row>
    <row r="64" spans="1:31" ht="18.95" customHeight="1">
      <c r="A64" s="314" t="s">
        <v>90</v>
      </c>
      <c r="B64" s="291" t="s">
        <v>38</v>
      </c>
      <c r="C64" s="292" t="s">
        <v>91</v>
      </c>
      <c r="D64" s="293" t="s">
        <v>40</v>
      </c>
      <c r="E64" s="294">
        <v>2083500</v>
      </c>
      <c r="F64" s="295"/>
      <c r="G64" s="294">
        <v>2152500</v>
      </c>
      <c r="H64" s="295"/>
      <c r="I64" s="296">
        <v>2152500</v>
      </c>
      <c r="J64" s="273">
        <v>0</v>
      </c>
      <c r="K64" s="273">
        <v>0</v>
      </c>
      <c r="L64" s="273">
        <v>500000</v>
      </c>
      <c r="M64" s="273">
        <v>1080000</v>
      </c>
      <c r="N64" s="273">
        <v>100000</v>
      </c>
      <c r="O64" s="273">
        <v>120000</v>
      </c>
      <c r="P64" s="273">
        <v>0</v>
      </c>
      <c r="Q64" s="273">
        <v>0</v>
      </c>
      <c r="R64" s="274">
        <f>SUM(J64:Q64)</f>
        <v>1800000</v>
      </c>
      <c r="S64" s="275">
        <f>I64-R64</f>
        <v>352500</v>
      </c>
      <c r="T64" s="276">
        <f>G64-I64</f>
        <v>0</v>
      </c>
      <c r="U64" s="297">
        <v>86</v>
      </c>
      <c r="V64" s="278">
        <f t="shared" si="0"/>
        <v>20930.232558139534</v>
      </c>
      <c r="X64" s="328"/>
      <c r="Y64" s="273"/>
      <c r="Z64" s="273"/>
      <c r="AA64" s="273"/>
      <c r="AB64" s="273"/>
      <c r="AC64" s="273"/>
      <c r="AD64" s="273"/>
      <c r="AE64" s="273"/>
    </row>
    <row r="65" spans="1:31" ht="18.95" customHeight="1">
      <c r="A65" s="312"/>
      <c r="B65" s="279" t="s">
        <v>38</v>
      </c>
      <c r="C65" s="280" t="s">
        <v>92</v>
      </c>
      <c r="D65" s="281" t="s">
        <v>40</v>
      </c>
      <c r="E65" s="282">
        <v>60000</v>
      </c>
      <c r="F65" s="283"/>
      <c r="G65" s="282">
        <v>52500</v>
      </c>
      <c r="H65" s="283"/>
      <c r="I65" s="284">
        <v>52500</v>
      </c>
      <c r="J65" s="285">
        <v>0</v>
      </c>
      <c r="K65" s="285">
        <v>0</v>
      </c>
      <c r="L65" s="285">
        <v>0</v>
      </c>
      <c r="M65" s="285">
        <v>0</v>
      </c>
      <c r="N65" s="285">
        <v>0</v>
      </c>
      <c r="O65" s="285">
        <v>0</v>
      </c>
      <c r="P65" s="285">
        <v>0</v>
      </c>
      <c r="Q65" s="285">
        <v>0</v>
      </c>
      <c r="R65" s="286">
        <f>SUM(J65:Q65)</f>
        <v>0</v>
      </c>
      <c r="S65" s="287">
        <f>I65-R65</f>
        <v>52500</v>
      </c>
      <c r="T65" s="288">
        <f>G65-I65</f>
        <v>0</v>
      </c>
      <c r="U65" s="289">
        <v>0</v>
      </c>
      <c r="V65" s="290" t="e">
        <f t="shared" si="0"/>
        <v>#DIV/0!</v>
      </c>
      <c r="X65" s="329"/>
      <c r="Y65" s="285"/>
      <c r="Z65" s="285"/>
      <c r="AA65" s="285"/>
      <c r="AB65" s="285"/>
      <c r="AC65" s="285"/>
      <c r="AD65" s="285"/>
      <c r="AE65" s="285"/>
    </row>
    <row r="66" spans="1:31" ht="18.95" customHeight="1">
      <c r="A66" s="312"/>
      <c r="B66" s="279" t="s">
        <v>89</v>
      </c>
      <c r="C66" s="280" t="s">
        <v>93</v>
      </c>
      <c r="D66" s="281" t="s">
        <v>43</v>
      </c>
      <c r="E66" s="282">
        <v>0</v>
      </c>
      <c r="F66" s="283"/>
      <c r="G66" s="282">
        <v>0</v>
      </c>
      <c r="H66" s="283"/>
      <c r="I66" s="284">
        <v>0</v>
      </c>
      <c r="J66" s="285">
        <v>0</v>
      </c>
      <c r="K66" s="285">
        <v>0</v>
      </c>
      <c r="L66" s="285">
        <v>123300</v>
      </c>
      <c r="M66" s="285">
        <v>185400</v>
      </c>
      <c r="N66" s="285">
        <v>0</v>
      </c>
      <c r="O66" s="285">
        <v>0</v>
      </c>
      <c r="P66" s="285">
        <v>0</v>
      </c>
      <c r="Q66" s="285">
        <v>0</v>
      </c>
      <c r="R66" s="286">
        <f>SUM(J66:Q66)</f>
        <v>308700</v>
      </c>
      <c r="S66" s="287">
        <f>I66-R66</f>
        <v>-308700</v>
      </c>
      <c r="T66" s="288">
        <f>G66-I66</f>
        <v>0</v>
      </c>
      <c r="U66" s="289">
        <v>0</v>
      </c>
      <c r="V66" s="290" t="e">
        <f t="shared" si="0"/>
        <v>#DIV/0!</v>
      </c>
      <c r="X66" s="329"/>
      <c r="Y66" s="285"/>
      <c r="Z66" s="285"/>
      <c r="AA66" s="285"/>
      <c r="AB66" s="285"/>
      <c r="AC66" s="285"/>
      <c r="AD66" s="285"/>
      <c r="AE66" s="285"/>
    </row>
    <row r="67" spans="1:31" ht="18.95" customHeight="1">
      <c r="A67" s="312"/>
      <c r="B67" s="279"/>
      <c r="C67" s="280" t="s">
        <v>91</v>
      </c>
      <c r="D67" s="281" t="s">
        <v>43</v>
      </c>
      <c r="E67" s="282">
        <v>0</v>
      </c>
      <c r="F67" s="283"/>
      <c r="G67" s="282">
        <v>0</v>
      </c>
      <c r="H67" s="283"/>
      <c r="I67" s="284">
        <v>0</v>
      </c>
      <c r="J67" s="285">
        <v>0</v>
      </c>
      <c r="K67" s="285">
        <v>0</v>
      </c>
      <c r="L67" s="285">
        <v>0</v>
      </c>
      <c r="M67" s="285">
        <v>0</v>
      </c>
      <c r="N67" s="285">
        <v>0</v>
      </c>
      <c r="O67" s="285">
        <v>0</v>
      </c>
      <c r="P67" s="285">
        <v>0</v>
      </c>
      <c r="Q67" s="285">
        <v>0</v>
      </c>
      <c r="R67" s="286">
        <f>SUM(J67:Q67)</f>
        <v>0</v>
      </c>
      <c r="S67" s="287">
        <f>I67-R67</f>
        <v>0</v>
      </c>
      <c r="T67" s="288">
        <f>G67-I67</f>
        <v>0</v>
      </c>
      <c r="U67" s="289">
        <v>0</v>
      </c>
      <c r="V67" s="290" t="e">
        <f t="shared" si="0"/>
        <v>#DIV/0!</v>
      </c>
      <c r="X67" s="329"/>
      <c r="Y67" s="285"/>
      <c r="Z67" s="285"/>
      <c r="AA67" s="285"/>
      <c r="AB67" s="285"/>
      <c r="AC67" s="285"/>
      <c r="AD67" s="285"/>
      <c r="AE67" s="285"/>
    </row>
    <row r="68" spans="1:31" ht="18.95" customHeight="1">
      <c r="A68" s="312"/>
      <c r="B68" s="279"/>
      <c r="C68" s="280" t="s">
        <v>93</v>
      </c>
      <c r="D68" s="281" t="s">
        <v>43</v>
      </c>
      <c r="E68" s="282">
        <v>118300</v>
      </c>
      <c r="F68" s="283"/>
      <c r="G68" s="282">
        <v>539300</v>
      </c>
      <c r="H68" s="283"/>
      <c r="I68" s="284">
        <v>439300</v>
      </c>
      <c r="J68" s="285">
        <v>0</v>
      </c>
      <c r="K68" s="285">
        <v>0</v>
      </c>
      <c r="L68" s="285">
        <v>0</v>
      </c>
      <c r="M68" s="285">
        <v>0</v>
      </c>
      <c r="N68" s="285">
        <v>0</v>
      </c>
      <c r="O68" s="285">
        <v>0</v>
      </c>
      <c r="P68" s="285">
        <v>0</v>
      </c>
      <c r="Q68" s="285">
        <v>0</v>
      </c>
      <c r="R68" s="286">
        <f>SUM(J68:Q68)</f>
        <v>0</v>
      </c>
      <c r="S68" s="287">
        <f>I68-R68</f>
        <v>439300</v>
      </c>
      <c r="T68" s="288">
        <f>G68-I68</f>
        <v>100000</v>
      </c>
      <c r="U68" s="289">
        <v>0</v>
      </c>
      <c r="V68" s="290" t="e">
        <f t="shared" si="0"/>
        <v>#DIV/0!</v>
      </c>
      <c r="X68" s="329"/>
      <c r="Y68" s="285"/>
      <c r="Z68" s="285"/>
      <c r="AA68" s="285"/>
      <c r="AB68" s="285"/>
      <c r="AC68" s="285"/>
      <c r="AD68" s="285"/>
      <c r="AE68" s="285"/>
    </row>
    <row r="69" spans="1:31" ht="18.95" customHeight="1">
      <c r="A69" s="312"/>
      <c r="B69" s="279"/>
      <c r="C69" s="280" t="s">
        <v>92</v>
      </c>
      <c r="D69" s="281" t="s">
        <v>43</v>
      </c>
      <c r="E69" s="282">
        <v>0</v>
      </c>
      <c r="F69" s="283"/>
      <c r="G69" s="282">
        <v>0</v>
      </c>
      <c r="H69" s="283"/>
      <c r="I69" s="284">
        <v>0</v>
      </c>
      <c r="J69" s="285">
        <v>0</v>
      </c>
      <c r="K69" s="285">
        <v>0</v>
      </c>
      <c r="L69" s="285">
        <v>0</v>
      </c>
      <c r="M69" s="285">
        <v>0</v>
      </c>
      <c r="N69" s="285">
        <v>0</v>
      </c>
      <c r="O69" s="285">
        <v>0</v>
      </c>
      <c r="P69" s="285">
        <v>0</v>
      </c>
      <c r="Q69" s="285">
        <v>0</v>
      </c>
      <c r="R69" s="286">
        <f>SUM(J69:Q69)</f>
        <v>0</v>
      </c>
      <c r="S69" s="287">
        <f>I69-R69</f>
        <v>0</v>
      </c>
      <c r="T69" s="288">
        <f>G69-I69</f>
        <v>0</v>
      </c>
      <c r="U69" s="289">
        <v>0</v>
      </c>
      <c r="V69" s="290" t="e">
        <f t="shared" si="0"/>
        <v>#DIV/0!</v>
      </c>
      <c r="X69" s="329"/>
      <c r="Y69" s="285"/>
      <c r="Z69" s="285"/>
      <c r="AA69" s="285"/>
      <c r="AB69" s="285"/>
      <c r="AC69" s="285"/>
      <c r="AD69" s="285"/>
      <c r="AE69" s="285"/>
    </row>
    <row r="70" spans="1:31" ht="18.95" customHeight="1">
      <c r="A70" s="313"/>
      <c r="B70" s="279"/>
      <c r="C70" s="280" t="s">
        <v>94</v>
      </c>
      <c r="D70" s="281" t="s">
        <v>43</v>
      </c>
      <c r="E70" s="282">
        <v>0</v>
      </c>
      <c r="F70" s="283"/>
      <c r="G70" s="282">
        <v>0</v>
      </c>
      <c r="H70" s="283"/>
      <c r="I70" s="284">
        <v>0</v>
      </c>
      <c r="J70" s="285">
        <v>0</v>
      </c>
      <c r="K70" s="285">
        <v>0</v>
      </c>
      <c r="L70" s="285">
        <v>0</v>
      </c>
      <c r="M70" s="285">
        <v>0</v>
      </c>
      <c r="N70" s="285">
        <v>0</v>
      </c>
      <c r="O70" s="285">
        <v>0</v>
      </c>
      <c r="P70" s="285">
        <v>0</v>
      </c>
      <c r="Q70" s="285">
        <v>0</v>
      </c>
      <c r="R70" s="286">
        <f>SUM(J70:Q70)</f>
        <v>0</v>
      </c>
      <c r="S70" s="287">
        <f>I70-R70</f>
        <v>0</v>
      </c>
      <c r="T70" s="288">
        <f>G70-I70</f>
        <v>0</v>
      </c>
      <c r="U70" s="289">
        <v>0</v>
      </c>
      <c r="V70" s="290" t="e">
        <f t="shared" si="0"/>
        <v>#DIV/0!</v>
      </c>
      <c r="X70" s="329"/>
      <c r="Y70" s="285"/>
      <c r="Z70" s="285"/>
      <c r="AA70" s="285"/>
      <c r="AB70" s="285"/>
      <c r="AC70" s="285"/>
      <c r="AD70" s="285"/>
      <c r="AE70" s="285"/>
    </row>
    <row r="71" spans="1:31" ht="18.95" customHeight="1">
      <c r="A71" s="314" t="s">
        <v>95</v>
      </c>
      <c r="B71" s="291" t="s">
        <v>38</v>
      </c>
      <c r="C71" s="292" t="s">
        <v>96</v>
      </c>
      <c r="D71" s="293" t="s">
        <v>40</v>
      </c>
      <c r="E71" s="294">
        <v>267800</v>
      </c>
      <c r="F71" s="295"/>
      <c r="G71" s="294">
        <v>282240</v>
      </c>
      <c r="H71" s="295"/>
      <c r="I71" s="296">
        <v>282240</v>
      </c>
      <c r="J71" s="273">
        <v>0</v>
      </c>
      <c r="K71" s="273">
        <v>0</v>
      </c>
      <c r="L71" s="273">
        <v>0</v>
      </c>
      <c r="M71" s="273">
        <v>0</v>
      </c>
      <c r="N71" s="273">
        <v>0</v>
      </c>
      <c r="O71" s="273">
        <v>0</v>
      </c>
      <c r="P71" s="273">
        <v>0</v>
      </c>
      <c r="Q71" s="273">
        <v>0</v>
      </c>
      <c r="R71" s="274">
        <f>SUM(J71:Q71)</f>
        <v>0</v>
      </c>
      <c r="S71" s="275">
        <f>I71-R71</f>
        <v>282240</v>
      </c>
      <c r="T71" s="276">
        <f>G71-I71</f>
        <v>0</v>
      </c>
      <c r="U71" s="297">
        <v>0</v>
      </c>
      <c r="V71" s="278" t="e">
        <f t="shared" si="0"/>
        <v>#DIV/0!</v>
      </c>
      <c r="X71" s="328"/>
      <c r="Y71" s="273"/>
      <c r="Z71" s="273"/>
      <c r="AA71" s="273"/>
      <c r="AB71" s="273"/>
      <c r="AC71" s="273"/>
      <c r="AD71" s="273"/>
      <c r="AE71" s="273"/>
    </row>
    <row r="72" spans="1:31" ht="18.95" customHeight="1">
      <c r="A72" s="312"/>
      <c r="B72" s="279" t="s">
        <v>38</v>
      </c>
      <c r="C72" s="280" t="s">
        <v>97</v>
      </c>
      <c r="D72" s="281" t="s">
        <v>40</v>
      </c>
      <c r="E72" s="282">
        <v>1378700</v>
      </c>
      <c r="F72" s="283"/>
      <c r="G72" s="282">
        <v>3052820</v>
      </c>
      <c r="H72" s="283"/>
      <c r="I72" s="284">
        <v>1652820</v>
      </c>
      <c r="J72" s="285">
        <v>0</v>
      </c>
      <c r="K72" s="285">
        <v>0</v>
      </c>
      <c r="L72" s="285">
        <v>0</v>
      </c>
      <c r="M72" s="285">
        <v>0</v>
      </c>
      <c r="N72" s="285">
        <v>0</v>
      </c>
      <c r="O72" s="285">
        <v>0</v>
      </c>
      <c r="P72" s="285">
        <v>0</v>
      </c>
      <c r="Q72" s="285">
        <v>0</v>
      </c>
      <c r="R72" s="286">
        <f>SUM(J72:Q72)</f>
        <v>0</v>
      </c>
      <c r="S72" s="287">
        <f>I72-R72</f>
        <v>1652820</v>
      </c>
      <c r="T72" s="288">
        <f>G72-I72</f>
        <v>1400000</v>
      </c>
      <c r="U72" s="289">
        <v>0</v>
      </c>
      <c r="V72" s="290" t="e">
        <f t="shared" ref="V72:V122" si="1">R72/U72</f>
        <v>#DIV/0!</v>
      </c>
      <c r="X72" s="329"/>
      <c r="Y72" s="285"/>
      <c r="Z72" s="285"/>
      <c r="AA72" s="285"/>
      <c r="AB72" s="285"/>
      <c r="AC72" s="285"/>
      <c r="AD72" s="285"/>
      <c r="AE72" s="285"/>
    </row>
    <row r="73" spans="1:31" ht="18.95" customHeight="1">
      <c r="A73" s="312"/>
      <c r="B73" s="279" t="s">
        <v>53</v>
      </c>
      <c r="C73" s="280" t="s">
        <v>98</v>
      </c>
      <c r="D73" s="281" t="s">
        <v>43</v>
      </c>
      <c r="E73" s="282">
        <v>0</v>
      </c>
      <c r="F73" s="283"/>
      <c r="G73" s="282">
        <v>0</v>
      </c>
      <c r="H73" s="283"/>
      <c r="I73" s="284">
        <v>0</v>
      </c>
      <c r="J73" s="285">
        <v>0</v>
      </c>
      <c r="K73" s="285">
        <v>0</v>
      </c>
      <c r="L73" s="285">
        <v>0</v>
      </c>
      <c r="M73" s="285">
        <v>0</v>
      </c>
      <c r="N73" s="285">
        <v>0</v>
      </c>
      <c r="O73" s="285">
        <v>69620</v>
      </c>
      <c r="P73" s="285">
        <v>0</v>
      </c>
      <c r="Q73" s="285">
        <v>0</v>
      </c>
      <c r="R73" s="286">
        <f>SUM(J73:Q73)</f>
        <v>69620</v>
      </c>
      <c r="S73" s="287">
        <f>I73-R73</f>
        <v>-69620</v>
      </c>
      <c r="T73" s="288">
        <f>G73-I73</f>
        <v>0</v>
      </c>
      <c r="U73" s="289">
        <v>0</v>
      </c>
      <c r="V73" s="290" t="e">
        <f t="shared" si="1"/>
        <v>#DIV/0!</v>
      </c>
      <c r="X73" s="329"/>
      <c r="Y73" s="285"/>
      <c r="Z73" s="285"/>
      <c r="AA73" s="285"/>
      <c r="AB73" s="285"/>
      <c r="AC73" s="285"/>
      <c r="AD73" s="285"/>
      <c r="AE73" s="285"/>
    </row>
    <row r="74" spans="1:31" ht="18.95" customHeight="1">
      <c r="A74" s="312"/>
      <c r="B74" s="279" t="s">
        <v>99</v>
      </c>
      <c r="C74" s="280" t="s">
        <v>97</v>
      </c>
      <c r="D74" s="281" t="s">
        <v>100</v>
      </c>
      <c r="E74" s="282">
        <v>540000</v>
      </c>
      <c r="F74" s="283"/>
      <c r="G74" s="282">
        <v>0</v>
      </c>
      <c r="H74" s="283"/>
      <c r="I74" s="284">
        <v>331000</v>
      </c>
      <c r="J74" s="285">
        <v>0</v>
      </c>
      <c r="K74" s="285">
        <v>0</v>
      </c>
      <c r="L74" s="285">
        <v>0</v>
      </c>
      <c r="M74" s="285">
        <v>0</v>
      </c>
      <c r="N74" s="285">
        <v>331000</v>
      </c>
      <c r="O74" s="285">
        <v>0</v>
      </c>
      <c r="P74" s="285">
        <v>0</v>
      </c>
      <c r="Q74" s="285">
        <v>0</v>
      </c>
      <c r="R74" s="286">
        <f>SUM(J74:Q74)</f>
        <v>331000</v>
      </c>
      <c r="S74" s="287">
        <f>I74-R74</f>
        <v>0</v>
      </c>
      <c r="T74" s="288">
        <f>G74-I74</f>
        <v>-331000</v>
      </c>
      <c r="U74" s="289">
        <v>0</v>
      </c>
      <c r="V74" s="290" t="e">
        <f t="shared" si="1"/>
        <v>#DIV/0!</v>
      </c>
      <c r="X74" s="329"/>
      <c r="Y74" s="285"/>
      <c r="Z74" s="285"/>
      <c r="AA74" s="285"/>
      <c r="AB74" s="285"/>
      <c r="AC74" s="285"/>
      <c r="AD74" s="285"/>
      <c r="AE74" s="285"/>
    </row>
    <row r="75" spans="1:31" ht="18.95" customHeight="1">
      <c r="A75" s="312"/>
      <c r="B75" s="279" t="s">
        <v>99</v>
      </c>
      <c r="C75" s="280" t="s">
        <v>97</v>
      </c>
      <c r="D75" s="281" t="s">
        <v>101</v>
      </c>
      <c r="E75" s="282">
        <v>0</v>
      </c>
      <c r="F75" s="283"/>
      <c r="G75" s="282">
        <v>0</v>
      </c>
      <c r="H75" s="283"/>
      <c r="I75" s="284">
        <v>603000</v>
      </c>
      <c r="J75" s="285">
        <v>0</v>
      </c>
      <c r="K75" s="285">
        <v>0</v>
      </c>
      <c r="L75" s="285">
        <v>0</v>
      </c>
      <c r="M75" s="285">
        <v>0</v>
      </c>
      <c r="N75" s="285">
        <v>0</v>
      </c>
      <c r="O75" s="285">
        <v>603000</v>
      </c>
      <c r="P75" s="285">
        <v>0</v>
      </c>
      <c r="Q75" s="285">
        <v>0</v>
      </c>
      <c r="R75" s="286">
        <f>SUM(J75:Q75)</f>
        <v>603000</v>
      </c>
      <c r="S75" s="287">
        <f>I75-R75</f>
        <v>0</v>
      </c>
      <c r="T75" s="288">
        <f>G75-I75</f>
        <v>-603000</v>
      </c>
      <c r="U75" s="289">
        <v>0</v>
      </c>
      <c r="V75" s="290" t="e">
        <f t="shared" si="1"/>
        <v>#DIV/0!</v>
      </c>
      <c r="X75" s="329"/>
      <c r="Y75" s="285"/>
      <c r="Z75" s="285"/>
      <c r="AA75" s="285"/>
      <c r="AB75" s="285"/>
      <c r="AC75" s="285"/>
      <c r="AD75" s="285"/>
      <c r="AE75" s="285"/>
    </row>
    <row r="76" spans="1:31" ht="18.95" customHeight="1">
      <c r="A76" s="312"/>
      <c r="B76" s="279" t="s">
        <v>102</v>
      </c>
      <c r="C76" s="280" t="s">
        <v>96</v>
      </c>
      <c r="D76" s="281" t="s">
        <v>43</v>
      </c>
      <c r="E76" s="282">
        <v>0</v>
      </c>
      <c r="F76" s="283"/>
      <c r="G76" s="282">
        <v>0</v>
      </c>
      <c r="H76" s="283"/>
      <c r="I76" s="284">
        <v>0</v>
      </c>
      <c r="J76" s="285">
        <v>0</v>
      </c>
      <c r="K76" s="285">
        <v>0</v>
      </c>
      <c r="L76" s="285">
        <v>0</v>
      </c>
      <c r="M76" s="285">
        <v>0</v>
      </c>
      <c r="N76" s="285">
        <v>0</v>
      </c>
      <c r="O76" s="285">
        <v>0</v>
      </c>
      <c r="P76" s="285">
        <v>-74360</v>
      </c>
      <c r="Q76" s="285">
        <v>0</v>
      </c>
      <c r="R76" s="286">
        <f>SUM(J76:Q76)</f>
        <v>-74360</v>
      </c>
      <c r="S76" s="287">
        <f>I76-R76</f>
        <v>74360</v>
      </c>
      <c r="T76" s="288">
        <f>G76-I76</f>
        <v>0</v>
      </c>
      <c r="U76" s="289">
        <v>0</v>
      </c>
      <c r="V76" s="290" t="e">
        <f t="shared" si="1"/>
        <v>#DIV/0!</v>
      </c>
      <c r="X76" s="329"/>
      <c r="Y76" s="285"/>
      <c r="Z76" s="285"/>
      <c r="AA76" s="285"/>
      <c r="AB76" s="285"/>
      <c r="AC76" s="285"/>
      <c r="AD76" s="285"/>
      <c r="AE76" s="285"/>
    </row>
    <row r="77" spans="1:31" ht="18.95" customHeight="1">
      <c r="A77" s="312"/>
      <c r="B77" s="279" t="s">
        <v>102</v>
      </c>
      <c r="C77" s="280" t="s">
        <v>103</v>
      </c>
      <c r="D77" s="281" t="s">
        <v>104</v>
      </c>
      <c r="E77" s="282">
        <v>0</v>
      </c>
      <c r="F77" s="283"/>
      <c r="G77" s="282">
        <v>0</v>
      </c>
      <c r="H77" s="283"/>
      <c r="I77" s="284">
        <v>8150000</v>
      </c>
      <c r="J77" s="285">
        <v>0</v>
      </c>
      <c r="K77" s="285">
        <v>0</v>
      </c>
      <c r="L77" s="285">
        <v>0</v>
      </c>
      <c r="M77" s="285">
        <v>0</v>
      </c>
      <c r="N77" s="285">
        <v>4914450</v>
      </c>
      <c r="O77" s="285">
        <v>2273850</v>
      </c>
      <c r="P77" s="285">
        <v>0</v>
      </c>
      <c r="Q77" s="285">
        <v>0</v>
      </c>
      <c r="R77" s="286">
        <f>SUM(J77:Q77)</f>
        <v>7188300</v>
      </c>
      <c r="S77" s="287">
        <f>I77-R77</f>
        <v>961700</v>
      </c>
      <c r="T77" s="288">
        <f>G77-I77</f>
        <v>-8150000</v>
      </c>
      <c r="U77" s="289">
        <v>0</v>
      </c>
      <c r="V77" s="290" t="e">
        <f t="shared" si="1"/>
        <v>#DIV/0!</v>
      </c>
      <c r="X77" s="329"/>
      <c r="Y77" s="285"/>
      <c r="Z77" s="285"/>
      <c r="AA77" s="285"/>
      <c r="AB77" s="285"/>
      <c r="AC77" s="285"/>
      <c r="AD77" s="285"/>
      <c r="AE77" s="285"/>
    </row>
    <row r="78" spans="1:31" ht="18.95" customHeight="1">
      <c r="A78" s="312"/>
      <c r="B78" s="279"/>
      <c r="C78" s="280" t="s">
        <v>96</v>
      </c>
      <c r="D78" s="281" t="s">
        <v>43</v>
      </c>
      <c r="E78" s="282">
        <v>0</v>
      </c>
      <c r="F78" s="283"/>
      <c r="G78" s="282">
        <v>0</v>
      </c>
      <c r="H78" s="283"/>
      <c r="I78" s="284">
        <v>0</v>
      </c>
      <c r="J78" s="285">
        <v>0</v>
      </c>
      <c r="K78" s="285">
        <v>0</v>
      </c>
      <c r="L78" s="285">
        <v>0</v>
      </c>
      <c r="M78" s="285">
        <v>0</v>
      </c>
      <c r="N78" s="285">
        <v>0</v>
      </c>
      <c r="O78" s="285">
        <v>0</v>
      </c>
      <c r="P78" s="285">
        <v>0</v>
      </c>
      <c r="Q78" s="285">
        <v>0</v>
      </c>
      <c r="R78" s="286">
        <f>SUM(J78:Q78)</f>
        <v>0</v>
      </c>
      <c r="S78" s="287">
        <f>I78-R78</f>
        <v>0</v>
      </c>
      <c r="T78" s="288">
        <f>G78-I78</f>
        <v>0</v>
      </c>
      <c r="U78" s="289">
        <v>0</v>
      </c>
      <c r="V78" s="290" t="e">
        <f t="shared" si="1"/>
        <v>#DIV/0!</v>
      </c>
      <c r="X78" s="329"/>
      <c r="Y78" s="285"/>
      <c r="Z78" s="285"/>
      <c r="AA78" s="285"/>
      <c r="AB78" s="285"/>
      <c r="AC78" s="285"/>
      <c r="AD78" s="285"/>
      <c r="AE78" s="285"/>
    </row>
    <row r="79" spans="1:31" ht="18.95" customHeight="1">
      <c r="A79" s="312"/>
      <c r="B79" s="279"/>
      <c r="C79" s="280" t="s">
        <v>98</v>
      </c>
      <c r="D79" s="281" t="s">
        <v>43</v>
      </c>
      <c r="E79" s="282">
        <v>0</v>
      </c>
      <c r="F79" s="283"/>
      <c r="G79" s="282">
        <v>0</v>
      </c>
      <c r="H79" s="283"/>
      <c r="I79" s="284">
        <v>0</v>
      </c>
      <c r="J79" s="285">
        <v>0</v>
      </c>
      <c r="K79" s="285">
        <v>0</v>
      </c>
      <c r="L79" s="285">
        <v>0</v>
      </c>
      <c r="M79" s="285">
        <v>0</v>
      </c>
      <c r="N79" s="285">
        <v>0</v>
      </c>
      <c r="O79" s="285">
        <v>0</v>
      </c>
      <c r="P79" s="285">
        <v>0</v>
      </c>
      <c r="Q79" s="285">
        <v>0</v>
      </c>
      <c r="R79" s="286">
        <f>SUM(J79:Q79)</f>
        <v>0</v>
      </c>
      <c r="S79" s="287">
        <f>I79-R79</f>
        <v>0</v>
      </c>
      <c r="T79" s="288">
        <f>G79-I79</f>
        <v>0</v>
      </c>
      <c r="U79" s="289">
        <v>0</v>
      </c>
      <c r="V79" s="290" t="e">
        <f t="shared" si="1"/>
        <v>#DIV/0!</v>
      </c>
      <c r="X79" s="329"/>
      <c r="Y79" s="285"/>
      <c r="Z79" s="285"/>
      <c r="AA79" s="285"/>
      <c r="AB79" s="285"/>
      <c r="AC79" s="285"/>
      <c r="AD79" s="285"/>
      <c r="AE79" s="285"/>
    </row>
    <row r="80" spans="1:31" ht="18.95" customHeight="1">
      <c r="A80" s="312"/>
      <c r="B80" s="279"/>
      <c r="C80" s="280" t="s">
        <v>97</v>
      </c>
      <c r="D80" s="281" t="s">
        <v>43</v>
      </c>
      <c r="E80" s="282">
        <v>1070000</v>
      </c>
      <c r="F80" s="283"/>
      <c r="G80" s="282">
        <v>0</v>
      </c>
      <c r="H80" s="283"/>
      <c r="I80" s="284">
        <v>0</v>
      </c>
      <c r="J80" s="285">
        <v>0</v>
      </c>
      <c r="K80" s="285">
        <v>0</v>
      </c>
      <c r="L80" s="285">
        <v>0</v>
      </c>
      <c r="M80" s="285">
        <v>0</v>
      </c>
      <c r="N80" s="285">
        <v>0</v>
      </c>
      <c r="O80" s="285">
        <v>0</v>
      </c>
      <c r="P80" s="285">
        <v>0</v>
      </c>
      <c r="Q80" s="285">
        <v>0</v>
      </c>
      <c r="R80" s="286">
        <f>SUM(J80:Q80)</f>
        <v>0</v>
      </c>
      <c r="S80" s="287">
        <f>I80-R80</f>
        <v>0</v>
      </c>
      <c r="T80" s="288">
        <f>G80-I80</f>
        <v>0</v>
      </c>
      <c r="U80" s="289">
        <v>0</v>
      </c>
      <c r="V80" s="290" t="e">
        <f t="shared" si="1"/>
        <v>#DIV/0!</v>
      </c>
      <c r="X80" s="329"/>
      <c r="Y80" s="285"/>
      <c r="Z80" s="285"/>
      <c r="AA80" s="285"/>
      <c r="AB80" s="285"/>
      <c r="AC80" s="285"/>
      <c r="AD80" s="285"/>
      <c r="AE80" s="285"/>
    </row>
    <row r="81" spans="1:31" ht="18.95" customHeight="1">
      <c r="A81" s="313"/>
      <c r="B81" s="279"/>
      <c r="C81" s="280" t="s">
        <v>105</v>
      </c>
      <c r="D81" s="281" t="s">
        <v>43</v>
      </c>
      <c r="E81" s="282">
        <v>0</v>
      </c>
      <c r="F81" s="283"/>
      <c r="G81" s="282">
        <v>0</v>
      </c>
      <c r="H81" s="283"/>
      <c r="I81" s="284">
        <v>0</v>
      </c>
      <c r="J81" s="285">
        <v>0</v>
      </c>
      <c r="K81" s="285">
        <v>0</v>
      </c>
      <c r="L81" s="285">
        <v>0</v>
      </c>
      <c r="M81" s="285">
        <v>0</v>
      </c>
      <c r="N81" s="285">
        <v>0</v>
      </c>
      <c r="O81" s="285">
        <v>0</v>
      </c>
      <c r="P81" s="285">
        <v>0</v>
      </c>
      <c r="Q81" s="285">
        <v>0</v>
      </c>
      <c r="R81" s="286">
        <f>SUM(J81:Q81)</f>
        <v>0</v>
      </c>
      <c r="S81" s="287">
        <f>I81-R81</f>
        <v>0</v>
      </c>
      <c r="T81" s="288">
        <f>G81-I81</f>
        <v>0</v>
      </c>
      <c r="U81" s="289">
        <v>0</v>
      </c>
      <c r="V81" s="290" t="e">
        <f t="shared" si="1"/>
        <v>#DIV/0!</v>
      </c>
      <c r="X81" s="329"/>
      <c r="Y81" s="285"/>
      <c r="Z81" s="285"/>
      <c r="AA81" s="285"/>
      <c r="AB81" s="285"/>
      <c r="AC81" s="285"/>
      <c r="AD81" s="285"/>
      <c r="AE81" s="285"/>
    </row>
    <row r="82" spans="1:31" ht="18.95" customHeight="1">
      <c r="A82" s="314" t="s">
        <v>106</v>
      </c>
      <c r="B82" s="291" t="s">
        <v>38</v>
      </c>
      <c r="C82" s="292" t="s">
        <v>107</v>
      </c>
      <c r="D82" s="293" t="s">
        <v>40</v>
      </c>
      <c r="E82" s="294">
        <v>884700</v>
      </c>
      <c r="F82" s="295"/>
      <c r="G82" s="294">
        <v>1071750</v>
      </c>
      <c r="H82" s="295"/>
      <c r="I82" s="296">
        <v>1071750</v>
      </c>
      <c r="J82" s="273">
        <v>0</v>
      </c>
      <c r="K82" s="273">
        <v>0</v>
      </c>
      <c r="L82" s="273">
        <v>0</v>
      </c>
      <c r="M82" s="273">
        <v>0</v>
      </c>
      <c r="N82" s="273">
        <v>0</v>
      </c>
      <c r="O82" s="273">
        <v>0</v>
      </c>
      <c r="P82" s="273">
        <v>0</v>
      </c>
      <c r="Q82" s="273">
        <v>0</v>
      </c>
      <c r="R82" s="274">
        <f>SUM(J82:Q82)</f>
        <v>0</v>
      </c>
      <c r="S82" s="275">
        <f>I82-R82</f>
        <v>1071750</v>
      </c>
      <c r="T82" s="276">
        <f>G82-I82</f>
        <v>0</v>
      </c>
      <c r="U82" s="297">
        <v>8</v>
      </c>
      <c r="V82" s="278">
        <f t="shared" si="1"/>
        <v>0</v>
      </c>
      <c r="X82" s="328"/>
      <c r="Y82" s="273"/>
      <c r="Z82" s="273"/>
      <c r="AA82" s="273"/>
      <c r="AB82" s="273"/>
      <c r="AC82" s="273"/>
      <c r="AD82" s="273"/>
      <c r="AE82" s="273"/>
    </row>
    <row r="83" spans="1:31" ht="18.95" customHeight="1">
      <c r="A83" s="312"/>
      <c r="B83" s="279"/>
      <c r="C83" s="280" t="s">
        <v>107</v>
      </c>
      <c r="D83" s="281" t="s">
        <v>43</v>
      </c>
      <c r="E83" s="282">
        <v>0</v>
      </c>
      <c r="F83" s="283"/>
      <c r="G83" s="282">
        <v>0</v>
      </c>
      <c r="H83" s="283"/>
      <c r="I83" s="284">
        <v>0</v>
      </c>
      <c r="J83" s="285">
        <v>0</v>
      </c>
      <c r="K83" s="285">
        <v>0</v>
      </c>
      <c r="L83" s="285">
        <v>0</v>
      </c>
      <c r="M83" s="285">
        <v>0</v>
      </c>
      <c r="N83" s="285">
        <v>0</v>
      </c>
      <c r="O83" s="285">
        <v>0</v>
      </c>
      <c r="P83" s="285">
        <v>0</v>
      </c>
      <c r="Q83" s="285">
        <v>0</v>
      </c>
      <c r="R83" s="286">
        <f>SUM(J83:Q83)</f>
        <v>0</v>
      </c>
      <c r="S83" s="287">
        <f>I83-R83</f>
        <v>0</v>
      </c>
      <c r="T83" s="288">
        <f>G83-I83</f>
        <v>0</v>
      </c>
      <c r="U83" s="289">
        <v>0</v>
      </c>
      <c r="V83" s="290" t="e">
        <f t="shared" si="1"/>
        <v>#DIV/0!</v>
      </c>
      <c r="X83" s="329"/>
      <c r="Y83" s="285"/>
      <c r="Z83" s="285"/>
      <c r="AA83" s="285"/>
      <c r="AB83" s="285"/>
      <c r="AC83" s="285"/>
      <c r="AD83" s="285"/>
      <c r="AE83" s="285"/>
    </row>
    <row r="84" spans="1:31" ht="18.95" customHeight="1">
      <c r="A84" s="313"/>
      <c r="B84" s="279"/>
      <c r="C84" s="280" t="s">
        <v>108</v>
      </c>
      <c r="D84" s="281" t="s">
        <v>43</v>
      </c>
      <c r="E84" s="282">
        <v>0</v>
      </c>
      <c r="F84" s="283"/>
      <c r="G84" s="282">
        <v>0</v>
      </c>
      <c r="H84" s="283"/>
      <c r="I84" s="284">
        <v>0</v>
      </c>
      <c r="J84" s="285">
        <v>0</v>
      </c>
      <c r="K84" s="285">
        <v>0</v>
      </c>
      <c r="L84" s="285">
        <v>0</v>
      </c>
      <c r="M84" s="285">
        <v>0</v>
      </c>
      <c r="N84" s="285">
        <v>0</v>
      </c>
      <c r="O84" s="285">
        <v>0</v>
      </c>
      <c r="P84" s="285">
        <v>0</v>
      </c>
      <c r="Q84" s="285">
        <v>0</v>
      </c>
      <c r="R84" s="286">
        <f>SUM(J84:Q84)</f>
        <v>0</v>
      </c>
      <c r="S84" s="287">
        <f>I84-R84</f>
        <v>0</v>
      </c>
      <c r="T84" s="288">
        <f>G84-I84</f>
        <v>0</v>
      </c>
      <c r="U84" s="289">
        <v>0</v>
      </c>
      <c r="V84" s="290" t="e">
        <f t="shared" si="1"/>
        <v>#DIV/0!</v>
      </c>
      <c r="X84" s="329"/>
      <c r="Y84" s="285"/>
      <c r="Z84" s="285"/>
      <c r="AA84" s="285"/>
      <c r="AB84" s="285"/>
      <c r="AC84" s="285"/>
      <c r="AD84" s="285"/>
      <c r="AE84" s="285"/>
    </row>
    <row r="85" spans="1:31" ht="18.95" customHeight="1">
      <c r="A85" s="314" t="s">
        <v>109</v>
      </c>
      <c r="B85" s="291" t="s">
        <v>38</v>
      </c>
      <c r="C85" s="292" t="s">
        <v>110</v>
      </c>
      <c r="D85" s="293" t="s">
        <v>40</v>
      </c>
      <c r="E85" s="294">
        <v>4145400</v>
      </c>
      <c r="F85" s="295"/>
      <c r="G85" s="294">
        <v>4604830</v>
      </c>
      <c r="H85" s="295"/>
      <c r="I85" s="296">
        <v>4545390</v>
      </c>
      <c r="J85" s="273">
        <v>0</v>
      </c>
      <c r="K85" s="273">
        <v>0</v>
      </c>
      <c r="L85" s="273">
        <v>2800000</v>
      </c>
      <c r="M85" s="273">
        <v>0</v>
      </c>
      <c r="N85" s="273">
        <v>0</v>
      </c>
      <c r="O85" s="273">
        <v>1141700</v>
      </c>
      <c r="P85" s="273">
        <v>0</v>
      </c>
      <c r="Q85" s="273">
        <v>0</v>
      </c>
      <c r="R85" s="274">
        <f>SUM(J85:Q85)</f>
        <v>3941700</v>
      </c>
      <c r="S85" s="275">
        <f>I85-R85</f>
        <v>603690</v>
      </c>
      <c r="T85" s="276">
        <f>G85-I85</f>
        <v>59440</v>
      </c>
      <c r="U85" s="297">
        <v>2</v>
      </c>
      <c r="V85" s="278">
        <f t="shared" si="1"/>
        <v>1970850</v>
      </c>
      <c r="X85" s="328"/>
      <c r="Y85" s="273"/>
      <c r="Z85" s="273"/>
      <c r="AA85" s="273"/>
      <c r="AB85" s="273"/>
      <c r="AC85" s="273"/>
      <c r="AD85" s="273"/>
      <c r="AE85" s="273"/>
    </row>
    <row r="86" spans="1:31" ht="18.95" customHeight="1">
      <c r="A86" s="312"/>
      <c r="B86" s="279" t="s">
        <v>38</v>
      </c>
      <c r="C86" s="280" t="s">
        <v>110</v>
      </c>
      <c r="D86" s="281" t="s">
        <v>43</v>
      </c>
      <c r="E86" s="282">
        <v>0</v>
      </c>
      <c r="F86" s="283"/>
      <c r="G86" s="282">
        <v>0</v>
      </c>
      <c r="H86" s="283"/>
      <c r="I86" s="284">
        <v>0</v>
      </c>
      <c r="J86" s="285">
        <v>0</v>
      </c>
      <c r="K86" s="285">
        <v>0</v>
      </c>
      <c r="L86" s="285">
        <v>0</v>
      </c>
      <c r="M86" s="285">
        <v>0</v>
      </c>
      <c r="N86" s="285">
        <v>-158100</v>
      </c>
      <c r="O86" s="285">
        <v>-479500</v>
      </c>
      <c r="P86" s="285">
        <v>-727180</v>
      </c>
      <c r="Q86" s="285">
        <v>0</v>
      </c>
      <c r="R86" s="286">
        <f>SUM(J86:Q86)</f>
        <v>-1364780</v>
      </c>
      <c r="S86" s="287">
        <f>I86-R86</f>
        <v>1364780</v>
      </c>
      <c r="T86" s="288">
        <f>G86-I86</f>
        <v>0</v>
      </c>
      <c r="U86" s="289">
        <v>0</v>
      </c>
      <c r="V86" s="290" t="e">
        <f t="shared" si="1"/>
        <v>#DIV/0!</v>
      </c>
      <c r="X86" s="329"/>
      <c r="Y86" s="285"/>
      <c r="Z86" s="285"/>
      <c r="AA86" s="285"/>
      <c r="AB86" s="285"/>
      <c r="AC86" s="285"/>
      <c r="AD86" s="285"/>
      <c r="AE86" s="285"/>
    </row>
    <row r="87" spans="1:31" ht="18.95" customHeight="1">
      <c r="A87" s="312"/>
      <c r="B87" s="279" t="s">
        <v>38</v>
      </c>
      <c r="C87" s="280" t="s">
        <v>111</v>
      </c>
      <c r="D87" s="281" t="s">
        <v>40</v>
      </c>
      <c r="E87" s="282">
        <v>4275800</v>
      </c>
      <c r="F87" s="283"/>
      <c r="G87" s="282">
        <v>4366500</v>
      </c>
      <c r="H87" s="283"/>
      <c r="I87" s="284">
        <v>4366500</v>
      </c>
      <c r="J87" s="285">
        <v>0</v>
      </c>
      <c r="K87" s="285">
        <v>0</v>
      </c>
      <c r="L87" s="285">
        <v>0</v>
      </c>
      <c r="M87" s="285">
        <v>1840000</v>
      </c>
      <c r="N87" s="285">
        <v>1860000</v>
      </c>
      <c r="O87" s="285">
        <v>0</v>
      </c>
      <c r="P87" s="285">
        <v>0</v>
      </c>
      <c r="Q87" s="285">
        <v>0</v>
      </c>
      <c r="R87" s="286">
        <f>SUM(J87:Q87)</f>
        <v>3700000</v>
      </c>
      <c r="S87" s="287">
        <f>I87-R87</f>
        <v>666500</v>
      </c>
      <c r="T87" s="288">
        <f>G87-I87</f>
        <v>0</v>
      </c>
      <c r="U87" s="289">
        <v>21</v>
      </c>
      <c r="V87" s="290">
        <f t="shared" si="1"/>
        <v>176190.47619047618</v>
      </c>
      <c r="X87" s="329"/>
      <c r="Y87" s="285"/>
      <c r="Z87" s="285"/>
      <c r="AA87" s="285"/>
      <c r="AB87" s="285"/>
      <c r="AC87" s="285"/>
      <c r="AD87" s="285"/>
      <c r="AE87" s="285"/>
    </row>
    <row r="88" spans="1:31" ht="18.95" customHeight="1">
      <c r="A88" s="312"/>
      <c r="B88" s="279" t="s">
        <v>53</v>
      </c>
      <c r="C88" s="280" t="s">
        <v>112</v>
      </c>
      <c r="D88" s="281" t="s">
        <v>43</v>
      </c>
      <c r="E88" s="282">
        <v>0</v>
      </c>
      <c r="F88" s="283"/>
      <c r="G88" s="282">
        <v>0</v>
      </c>
      <c r="H88" s="283"/>
      <c r="I88" s="284">
        <v>0</v>
      </c>
      <c r="J88" s="285">
        <v>0</v>
      </c>
      <c r="K88" s="285">
        <v>0</v>
      </c>
      <c r="L88" s="285">
        <v>0</v>
      </c>
      <c r="M88" s="285">
        <v>149560</v>
      </c>
      <c r="N88" s="285">
        <v>803080</v>
      </c>
      <c r="O88" s="285">
        <v>688060</v>
      </c>
      <c r="P88" s="285">
        <v>0</v>
      </c>
      <c r="Q88" s="285">
        <v>0</v>
      </c>
      <c r="R88" s="286">
        <f>SUM(J88:Q88)</f>
        <v>1640700</v>
      </c>
      <c r="S88" s="287">
        <f>I88-R88</f>
        <v>-1640700</v>
      </c>
      <c r="T88" s="288">
        <f>G88-I88</f>
        <v>0</v>
      </c>
      <c r="U88" s="289">
        <v>0</v>
      </c>
      <c r="V88" s="290" t="e">
        <f t="shared" si="1"/>
        <v>#DIV/0!</v>
      </c>
      <c r="X88" s="329"/>
      <c r="Y88" s="285"/>
      <c r="Z88" s="285"/>
      <c r="AA88" s="285"/>
      <c r="AB88" s="285"/>
      <c r="AC88" s="285"/>
      <c r="AD88" s="285"/>
      <c r="AE88" s="285"/>
    </row>
    <row r="89" spans="1:31" ht="18.95" customHeight="1">
      <c r="A89" s="312"/>
      <c r="B89" s="279" t="s">
        <v>102</v>
      </c>
      <c r="C89" s="280" t="s">
        <v>110</v>
      </c>
      <c r="D89" s="281" t="s">
        <v>43</v>
      </c>
      <c r="E89" s="282">
        <v>0</v>
      </c>
      <c r="F89" s="283"/>
      <c r="G89" s="282">
        <v>0</v>
      </c>
      <c r="H89" s="283"/>
      <c r="I89" s="284">
        <v>0</v>
      </c>
      <c r="J89" s="285">
        <v>0</v>
      </c>
      <c r="K89" s="285">
        <v>0</v>
      </c>
      <c r="L89" s="285">
        <v>0</v>
      </c>
      <c r="M89" s="285">
        <v>0</v>
      </c>
      <c r="N89" s="285">
        <v>0</v>
      </c>
      <c r="O89" s="285">
        <v>-368600</v>
      </c>
      <c r="P89" s="285">
        <v>0</v>
      </c>
      <c r="Q89" s="285">
        <v>0</v>
      </c>
      <c r="R89" s="286">
        <f>SUM(J89:Q89)</f>
        <v>-368600</v>
      </c>
      <c r="S89" s="287">
        <f>I89-R89</f>
        <v>368600</v>
      </c>
      <c r="T89" s="288">
        <f>G89-I89</f>
        <v>0</v>
      </c>
      <c r="U89" s="289">
        <v>0</v>
      </c>
      <c r="V89" s="290" t="e">
        <f t="shared" si="1"/>
        <v>#DIV/0!</v>
      </c>
      <c r="X89" s="329"/>
      <c r="Y89" s="285"/>
      <c r="Z89" s="285"/>
      <c r="AA89" s="285"/>
      <c r="AB89" s="285"/>
      <c r="AC89" s="285"/>
      <c r="AD89" s="285"/>
      <c r="AE89" s="285"/>
    </row>
    <row r="90" spans="1:31" ht="18.95" customHeight="1">
      <c r="A90" s="312"/>
      <c r="B90" s="279"/>
      <c r="C90" s="280" t="s">
        <v>110</v>
      </c>
      <c r="D90" s="281" t="s">
        <v>43</v>
      </c>
      <c r="E90" s="282">
        <v>81200</v>
      </c>
      <c r="F90" s="283"/>
      <c r="G90" s="282">
        <v>0</v>
      </c>
      <c r="H90" s="283"/>
      <c r="I90" s="284">
        <v>0</v>
      </c>
      <c r="J90" s="285">
        <v>0</v>
      </c>
      <c r="K90" s="285">
        <v>0</v>
      </c>
      <c r="L90" s="285">
        <v>0</v>
      </c>
      <c r="M90" s="285">
        <v>0</v>
      </c>
      <c r="N90" s="285">
        <v>0</v>
      </c>
      <c r="O90" s="285">
        <v>0</v>
      </c>
      <c r="P90" s="285">
        <v>0</v>
      </c>
      <c r="Q90" s="285">
        <v>0</v>
      </c>
      <c r="R90" s="286">
        <f>SUM(J90:Q90)</f>
        <v>0</v>
      </c>
      <c r="S90" s="287">
        <f>I90-R90</f>
        <v>0</v>
      </c>
      <c r="T90" s="288">
        <f>G90-I90</f>
        <v>0</v>
      </c>
      <c r="U90" s="289">
        <v>0</v>
      </c>
      <c r="V90" s="290" t="e">
        <f t="shared" si="1"/>
        <v>#DIV/0!</v>
      </c>
      <c r="X90" s="329"/>
      <c r="Y90" s="285"/>
      <c r="Z90" s="285"/>
      <c r="AA90" s="285"/>
      <c r="AB90" s="285"/>
      <c r="AC90" s="285"/>
      <c r="AD90" s="285"/>
      <c r="AE90" s="285"/>
    </row>
    <row r="91" spans="1:31" ht="18.95" customHeight="1">
      <c r="A91" s="312"/>
      <c r="B91" s="279"/>
      <c r="C91" s="280" t="s">
        <v>112</v>
      </c>
      <c r="D91" s="281" t="s">
        <v>43</v>
      </c>
      <c r="E91" s="282">
        <v>0</v>
      </c>
      <c r="F91" s="283"/>
      <c r="G91" s="282">
        <v>0</v>
      </c>
      <c r="H91" s="283"/>
      <c r="I91" s="284">
        <v>0</v>
      </c>
      <c r="J91" s="285">
        <v>0</v>
      </c>
      <c r="K91" s="285">
        <v>0</v>
      </c>
      <c r="L91" s="285">
        <v>0</v>
      </c>
      <c r="M91" s="285">
        <v>0</v>
      </c>
      <c r="N91" s="285">
        <v>0</v>
      </c>
      <c r="O91" s="285">
        <v>0</v>
      </c>
      <c r="P91" s="285">
        <v>0</v>
      </c>
      <c r="Q91" s="285">
        <v>0</v>
      </c>
      <c r="R91" s="286">
        <f>SUM(J91:Q91)</f>
        <v>0</v>
      </c>
      <c r="S91" s="287">
        <f>I91-R91</f>
        <v>0</v>
      </c>
      <c r="T91" s="288">
        <f>G91-I91</f>
        <v>0</v>
      </c>
      <c r="U91" s="289">
        <v>0</v>
      </c>
      <c r="V91" s="290" t="e">
        <f t="shared" si="1"/>
        <v>#DIV/0!</v>
      </c>
      <c r="X91" s="329"/>
      <c r="Y91" s="285"/>
      <c r="Z91" s="285"/>
      <c r="AA91" s="285"/>
      <c r="AB91" s="285"/>
      <c r="AC91" s="285"/>
      <c r="AD91" s="285"/>
      <c r="AE91" s="285"/>
    </row>
    <row r="92" spans="1:31" ht="18.95" customHeight="1">
      <c r="A92" s="312"/>
      <c r="B92" s="279"/>
      <c r="C92" s="280" t="s">
        <v>111</v>
      </c>
      <c r="D92" s="281" t="s">
        <v>43</v>
      </c>
      <c r="E92" s="282">
        <v>0</v>
      </c>
      <c r="F92" s="283"/>
      <c r="G92" s="282">
        <v>0</v>
      </c>
      <c r="H92" s="283"/>
      <c r="I92" s="284">
        <v>0</v>
      </c>
      <c r="J92" s="285">
        <v>0</v>
      </c>
      <c r="K92" s="285">
        <v>0</v>
      </c>
      <c r="L92" s="285">
        <v>0</v>
      </c>
      <c r="M92" s="285">
        <v>0</v>
      </c>
      <c r="N92" s="285">
        <v>0</v>
      </c>
      <c r="O92" s="285">
        <v>0</v>
      </c>
      <c r="P92" s="285">
        <v>0</v>
      </c>
      <c r="Q92" s="285">
        <v>0</v>
      </c>
      <c r="R92" s="286">
        <f>SUM(J92:Q92)</f>
        <v>0</v>
      </c>
      <c r="S92" s="287">
        <f>I92-R92</f>
        <v>0</v>
      </c>
      <c r="T92" s="288">
        <f>G92-I92</f>
        <v>0</v>
      </c>
      <c r="U92" s="289">
        <v>0</v>
      </c>
      <c r="V92" s="290" t="e">
        <f t="shared" si="1"/>
        <v>#DIV/0!</v>
      </c>
      <c r="X92" s="329"/>
      <c r="Y92" s="285"/>
      <c r="Z92" s="285"/>
      <c r="AA92" s="285"/>
      <c r="AB92" s="285"/>
      <c r="AC92" s="285"/>
      <c r="AD92" s="285"/>
      <c r="AE92" s="285"/>
    </row>
    <row r="93" spans="1:31" ht="18.95" customHeight="1">
      <c r="A93" s="313"/>
      <c r="B93" s="279"/>
      <c r="C93" s="280" t="s">
        <v>113</v>
      </c>
      <c r="D93" s="281" t="s">
        <v>43</v>
      </c>
      <c r="E93" s="282">
        <v>0</v>
      </c>
      <c r="F93" s="283"/>
      <c r="G93" s="282">
        <v>0</v>
      </c>
      <c r="H93" s="283"/>
      <c r="I93" s="284">
        <v>0</v>
      </c>
      <c r="J93" s="285">
        <v>0</v>
      </c>
      <c r="K93" s="285">
        <v>0</v>
      </c>
      <c r="L93" s="285">
        <v>0</v>
      </c>
      <c r="M93" s="285">
        <v>0</v>
      </c>
      <c r="N93" s="285">
        <v>0</v>
      </c>
      <c r="O93" s="285">
        <v>0</v>
      </c>
      <c r="P93" s="285">
        <v>0</v>
      </c>
      <c r="Q93" s="285">
        <v>0</v>
      </c>
      <c r="R93" s="286">
        <f>SUM(J93:Q93)</f>
        <v>0</v>
      </c>
      <c r="S93" s="287">
        <f>I93-R93</f>
        <v>0</v>
      </c>
      <c r="T93" s="288">
        <f>G93-I93</f>
        <v>0</v>
      </c>
      <c r="U93" s="289">
        <v>0</v>
      </c>
      <c r="V93" s="290" t="e">
        <f t="shared" si="1"/>
        <v>#DIV/0!</v>
      </c>
      <c r="X93" s="329"/>
      <c r="Y93" s="285"/>
      <c r="Z93" s="285"/>
      <c r="AA93" s="285"/>
      <c r="AB93" s="285"/>
      <c r="AC93" s="285"/>
      <c r="AD93" s="285"/>
      <c r="AE93" s="285"/>
    </row>
    <row r="94" spans="1:31" ht="18.95" customHeight="1">
      <c r="A94" s="314" t="s">
        <v>114</v>
      </c>
      <c r="B94" s="291" t="s">
        <v>38</v>
      </c>
      <c r="C94" s="292" t="s">
        <v>115</v>
      </c>
      <c r="D94" s="293" t="s">
        <v>40</v>
      </c>
      <c r="E94" s="294">
        <v>2843500</v>
      </c>
      <c r="F94" s="295"/>
      <c r="G94" s="294">
        <v>3056300</v>
      </c>
      <c r="H94" s="295"/>
      <c r="I94" s="296">
        <v>3056300</v>
      </c>
      <c r="J94" s="273">
        <v>0</v>
      </c>
      <c r="K94" s="273">
        <v>0</v>
      </c>
      <c r="L94" s="273">
        <v>0</v>
      </c>
      <c r="M94" s="273">
        <v>0</v>
      </c>
      <c r="N94" s="273">
        <v>0</v>
      </c>
      <c r="O94" s="273">
        <v>3056300</v>
      </c>
      <c r="P94" s="273">
        <v>0</v>
      </c>
      <c r="Q94" s="273">
        <v>0</v>
      </c>
      <c r="R94" s="274">
        <f>SUM(J94:Q94)</f>
        <v>3056300</v>
      </c>
      <c r="S94" s="275">
        <f>I94-R94</f>
        <v>0</v>
      </c>
      <c r="T94" s="276">
        <f>G94-I94</f>
        <v>0</v>
      </c>
      <c r="U94" s="297">
        <v>0</v>
      </c>
      <c r="V94" s="278" t="e">
        <f t="shared" si="1"/>
        <v>#DIV/0!</v>
      </c>
      <c r="X94" s="328"/>
      <c r="Y94" s="273"/>
      <c r="Z94" s="273"/>
      <c r="AA94" s="273"/>
      <c r="AB94" s="273"/>
      <c r="AC94" s="273"/>
      <c r="AD94" s="273"/>
      <c r="AE94" s="273"/>
    </row>
    <row r="95" spans="1:31" ht="18.95" customHeight="1">
      <c r="A95" s="312"/>
      <c r="B95" s="279" t="s">
        <v>38</v>
      </c>
      <c r="C95" s="280" t="s">
        <v>116</v>
      </c>
      <c r="D95" s="281" t="s">
        <v>40</v>
      </c>
      <c r="E95" s="282">
        <v>3837900</v>
      </c>
      <c r="F95" s="283"/>
      <c r="G95" s="282">
        <v>3892000</v>
      </c>
      <c r="H95" s="283"/>
      <c r="I95" s="284">
        <v>3892000</v>
      </c>
      <c r="J95" s="285">
        <v>0</v>
      </c>
      <c r="K95" s="285">
        <v>0</v>
      </c>
      <c r="L95" s="285">
        <v>0</v>
      </c>
      <c r="M95" s="285">
        <v>0</v>
      </c>
      <c r="N95" s="285">
        <v>0</v>
      </c>
      <c r="O95" s="285">
        <v>3892000</v>
      </c>
      <c r="P95" s="285">
        <v>0</v>
      </c>
      <c r="Q95" s="285">
        <v>0</v>
      </c>
      <c r="R95" s="286">
        <f>SUM(J95:Q95)</f>
        <v>3892000</v>
      </c>
      <c r="S95" s="287">
        <f>I95-R95</f>
        <v>0</v>
      </c>
      <c r="T95" s="288">
        <f>G95-I95</f>
        <v>0</v>
      </c>
      <c r="U95" s="289">
        <v>17</v>
      </c>
      <c r="V95" s="290">
        <f t="shared" si="1"/>
        <v>228941.17647058822</v>
      </c>
      <c r="X95" s="329"/>
      <c r="Y95" s="285"/>
      <c r="Z95" s="285"/>
      <c r="AA95" s="285"/>
      <c r="AB95" s="285"/>
      <c r="AC95" s="285"/>
      <c r="AD95" s="285"/>
      <c r="AE95" s="285"/>
    </row>
    <row r="96" spans="1:31" ht="18.95" customHeight="1">
      <c r="A96" s="312"/>
      <c r="B96" s="279"/>
      <c r="C96" s="280" t="s">
        <v>115</v>
      </c>
      <c r="D96" s="281" t="s">
        <v>43</v>
      </c>
      <c r="E96" s="282">
        <v>62300</v>
      </c>
      <c r="F96" s="283"/>
      <c r="G96" s="282">
        <v>0</v>
      </c>
      <c r="H96" s="283"/>
      <c r="I96" s="284">
        <v>0</v>
      </c>
      <c r="J96" s="285">
        <v>0</v>
      </c>
      <c r="K96" s="285">
        <v>0</v>
      </c>
      <c r="L96" s="285">
        <v>0</v>
      </c>
      <c r="M96" s="285">
        <v>0</v>
      </c>
      <c r="N96" s="285">
        <v>0</v>
      </c>
      <c r="O96" s="285">
        <v>0</v>
      </c>
      <c r="P96" s="285">
        <v>0</v>
      </c>
      <c r="Q96" s="285">
        <v>0</v>
      </c>
      <c r="R96" s="286">
        <f>SUM(J96:Q96)</f>
        <v>0</v>
      </c>
      <c r="S96" s="287">
        <f>I96-R96</f>
        <v>0</v>
      </c>
      <c r="T96" s="288">
        <f>G96-I96</f>
        <v>0</v>
      </c>
      <c r="U96" s="289">
        <v>0</v>
      </c>
      <c r="V96" s="290" t="e">
        <f t="shared" si="1"/>
        <v>#DIV/0!</v>
      </c>
      <c r="X96" s="329"/>
      <c r="Y96" s="285"/>
      <c r="Z96" s="285"/>
      <c r="AA96" s="285"/>
      <c r="AB96" s="285"/>
      <c r="AC96" s="285"/>
      <c r="AD96" s="285"/>
      <c r="AE96" s="285"/>
    </row>
    <row r="97" spans="1:31" ht="18.95" customHeight="1">
      <c r="A97" s="312"/>
      <c r="B97" s="279"/>
      <c r="C97" s="280" t="s">
        <v>117</v>
      </c>
      <c r="D97" s="281" t="s">
        <v>43</v>
      </c>
      <c r="E97" s="282">
        <v>0</v>
      </c>
      <c r="F97" s="283"/>
      <c r="G97" s="282">
        <v>0</v>
      </c>
      <c r="H97" s="283"/>
      <c r="I97" s="284">
        <v>0</v>
      </c>
      <c r="J97" s="285">
        <v>0</v>
      </c>
      <c r="K97" s="285">
        <v>0</v>
      </c>
      <c r="L97" s="285">
        <v>0</v>
      </c>
      <c r="M97" s="285">
        <v>0</v>
      </c>
      <c r="N97" s="285">
        <v>0</v>
      </c>
      <c r="O97" s="285">
        <v>0</v>
      </c>
      <c r="P97" s="285">
        <v>0</v>
      </c>
      <c r="Q97" s="285">
        <v>0</v>
      </c>
      <c r="R97" s="286">
        <f>SUM(J97:Q97)</f>
        <v>0</v>
      </c>
      <c r="S97" s="287">
        <f>I97-R97</f>
        <v>0</v>
      </c>
      <c r="T97" s="288">
        <f>G97-I97</f>
        <v>0</v>
      </c>
      <c r="U97" s="289">
        <v>0</v>
      </c>
      <c r="V97" s="290" t="e">
        <f t="shared" si="1"/>
        <v>#DIV/0!</v>
      </c>
      <c r="X97" s="329"/>
      <c r="Y97" s="285"/>
      <c r="Z97" s="285"/>
      <c r="AA97" s="285"/>
      <c r="AB97" s="285"/>
      <c r="AC97" s="285"/>
      <c r="AD97" s="285"/>
      <c r="AE97" s="285"/>
    </row>
    <row r="98" spans="1:31" ht="18.95" customHeight="1">
      <c r="A98" s="312"/>
      <c r="B98" s="279"/>
      <c r="C98" s="280" t="s">
        <v>116</v>
      </c>
      <c r="D98" s="281" t="s">
        <v>43</v>
      </c>
      <c r="E98" s="282">
        <v>0</v>
      </c>
      <c r="F98" s="283"/>
      <c r="G98" s="282">
        <v>0</v>
      </c>
      <c r="H98" s="283"/>
      <c r="I98" s="284">
        <v>0</v>
      </c>
      <c r="J98" s="285">
        <v>0</v>
      </c>
      <c r="K98" s="285">
        <v>0</v>
      </c>
      <c r="L98" s="285">
        <v>0</v>
      </c>
      <c r="M98" s="285">
        <v>0</v>
      </c>
      <c r="N98" s="285">
        <v>0</v>
      </c>
      <c r="O98" s="285">
        <v>0</v>
      </c>
      <c r="P98" s="285">
        <v>0</v>
      </c>
      <c r="Q98" s="285">
        <v>0</v>
      </c>
      <c r="R98" s="286">
        <f>SUM(J98:Q98)</f>
        <v>0</v>
      </c>
      <c r="S98" s="287">
        <f>I98-R98</f>
        <v>0</v>
      </c>
      <c r="T98" s="288">
        <f>G98-I98</f>
        <v>0</v>
      </c>
      <c r="U98" s="289">
        <v>0</v>
      </c>
      <c r="V98" s="290" t="e">
        <f t="shared" si="1"/>
        <v>#DIV/0!</v>
      </c>
      <c r="X98" s="329"/>
      <c r="Y98" s="285"/>
      <c r="Z98" s="285"/>
      <c r="AA98" s="285"/>
      <c r="AB98" s="285"/>
      <c r="AC98" s="285"/>
      <c r="AD98" s="285"/>
      <c r="AE98" s="285"/>
    </row>
    <row r="99" spans="1:31" ht="18.95" customHeight="1">
      <c r="A99" s="313"/>
      <c r="B99" s="279"/>
      <c r="C99" s="280" t="s">
        <v>118</v>
      </c>
      <c r="D99" s="281" t="s">
        <v>43</v>
      </c>
      <c r="E99" s="282">
        <v>0</v>
      </c>
      <c r="F99" s="283"/>
      <c r="G99" s="282">
        <v>0</v>
      </c>
      <c r="H99" s="283"/>
      <c r="I99" s="284">
        <v>0</v>
      </c>
      <c r="J99" s="285">
        <v>0</v>
      </c>
      <c r="K99" s="285">
        <v>0</v>
      </c>
      <c r="L99" s="285">
        <v>0</v>
      </c>
      <c r="M99" s="285">
        <v>0</v>
      </c>
      <c r="N99" s="285">
        <v>0</v>
      </c>
      <c r="O99" s="285">
        <v>0</v>
      </c>
      <c r="P99" s="285">
        <v>0</v>
      </c>
      <c r="Q99" s="285">
        <v>0</v>
      </c>
      <c r="R99" s="286">
        <f>SUM(J99:Q99)</f>
        <v>0</v>
      </c>
      <c r="S99" s="287">
        <f>I99-R99</f>
        <v>0</v>
      </c>
      <c r="T99" s="288">
        <f>G99-I99</f>
        <v>0</v>
      </c>
      <c r="U99" s="289">
        <v>0</v>
      </c>
      <c r="V99" s="290" t="e">
        <f t="shared" si="1"/>
        <v>#DIV/0!</v>
      </c>
      <c r="X99" s="329"/>
      <c r="Y99" s="285"/>
      <c r="Z99" s="285"/>
      <c r="AA99" s="285"/>
      <c r="AB99" s="285"/>
      <c r="AC99" s="285"/>
      <c r="AD99" s="285"/>
      <c r="AE99" s="285"/>
    </row>
    <row r="100" spans="1:31" ht="18.95" customHeight="1">
      <c r="A100" s="314" t="s">
        <v>119</v>
      </c>
      <c r="B100" s="291" t="s">
        <v>38</v>
      </c>
      <c r="C100" s="292" t="s">
        <v>120</v>
      </c>
      <c r="D100" s="293" t="s">
        <v>40</v>
      </c>
      <c r="E100" s="294">
        <v>1539000</v>
      </c>
      <c r="F100" s="295"/>
      <c r="G100" s="294">
        <v>1556560</v>
      </c>
      <c r="H100" s="295"/>
      <c r="I100" s="296">
        <v>1556560</v>
      </c>
      <c r="J100" s="273">
        <v>0</v>
      </c>
      <c r="K100" s="273">
        <v>0</v>
      </c>
      <c r="L100" s="273">
        <v>0</v>
      </c>
      <c r="M100" s="273">
        <v>0</v>
      </c>
      <c r="N100" s="273">
        <v>0</v>
      </c>
      <c r="O100" s="273">
        <v>0</v>
      </c>
      <c r="P100" s="273">
        <v>0</v>
      </c>
      <c r="Q100" s="273">
        <v>0</v>
      </c>
      <c r="R100" s="274">
        <f>SUM(J100:Q100)</f>
        <v>0</v>
      </c>
      <c r="S100" s="275">
        <f>I100-R100</f>
        <v>1556560</v>
      </c>
      <c r="T100" s="276">
        <f>G100-I100</f>
        <v>0</v>
      </c>
      <c r="U100" s="297">
        <v>0</v>
      </c>
      <c r="V100" s="278" t="e">
        <f t="shared" si="1"/>
        <v>#DIV/0!</v>
      </c>
      <c r="X100" s="328"/>
      <c r="Y100" s="273"/>
      <c r="Z100" s="273"/>
      <c r="AA100" s="273"/>
      <c r="AB100" s="273"/>
      <c r="AC100" s="273"/>
      <c r="AD100" s="273"/>
      <c r="AE100" s="273"/>
    </row>
    <row r="101" spans="1:31" ht="18.95" customHeight="1">
      <c r="A101" s="312"/>
      <c r="B101" s="279"/>
      <c r="C101" s="280" t="s">
        <v>120</v>
      </c>
      <c r="D101" s="281" t="s">
        <v>43</v>
      </c>
      <c r="E101" s="282">
        <v>0</v>
      </c>
      <c r="F101" s="283"/>
      <c r="G101" s="282">
        <v>0</v>
      </c>
      <c r="H101" s="283"/>
      <c r="I101" s="284">
        <v>0</v>
      </c>
      <c r="J101" s="285">
        <v>0</v>
      </c>
      <c r="K101" s="285">
        <v>0</v>
      </c>
      <c r="L101" s="285">
        <v>0</v>
      </c>
      <c r="M101" s="285">
        <v>0</v>
      </c>
      <c r="N101" s="285">
        <v>0</v>
      </c>
      <c r="O101" s="285">
        <v>0</v>
      </c>
      <c r="P101" s="285">
        <v>0</v>
      </c>
      <c r="Q101" s="285">
        <v>0</v>
      </c>
      <c r="R101" s="286">
        <f>SUM(J101:Q101)</f>
        <v>0</v>
      </c>
      <c r="S101" s="287">
        <f>I101-R101</f>
        <v>0</v>
      </c>
      <c r="T101" s="288">
        <f>G101-I101</f>
        <v>0</v>
      </c>
      <c r="U101" s="289">
        <v>0</v>
      </c>
      <c r="V101" s="290" t="e">
        <f t="shared" si="1"/>
        <v>#DIV/0!</v>
      </c>
      <c r="X101" s="329"/>
      <c r="Y101" s="285"/>
      <c r="Z101" s="285"/>
      <c r="AA101" s="285"/>
      <c r="AB101" s="285"/>
      <c r="AC101" s="285"/>
      <c r="AD101" s="285"/>
      <c r="AE101" s="285"/>
    </row>
    <row r="102" spans="1:31" ht="18.95" customHeight="1">
      <c r="A102" s="313"/>
      <c r="B102" s="279"/>
      <c r="C102" s="280" t="s">
        <v>121</v>
      </c>
      <c r="D102" s="281" t="s">
        <v>43</v>
      </c>
      <c r="E102" s="282">
        <v>0</v>
      </c>
      <c r="F102" s="283"/>
      <c r="G102" s="282">
        <v>0</v>
      </c>
      <c r="H102" s="283"/>
      <c r="I102" s="284">
        <v>0</v>
      </c>
      <c r="J102" s="285">
        <v>0</v>
      </c>
      <c r="K102" s="285">
        <v>0</v>
      </c>
      <c r="L102" s="285">
        <v>0</v>
      </c>
      <c r="M102" s="285">
        <v>0</v>
      </c>
      <c r="N102" s="285">
        <v>0</v>
      </c>
      <c r="O102" s="285">
        <v>0</v>
      </c>
      <c r="P102" s="285">
        <v>0</v>
      </c>
      <c r="Q102" s="285">
        <v>0</v>
      </c>
      <c r="R102" s="286">
        <f>SUM(J102:Q102)</f>
        <v>0</v>
      </c>
      <c r="S102" s="287">
        <f>I102-R102</f>
        <v>0</v>
      </c>
      <c r="T102" s="288">
        <f>G102-I102</f>
        <v>0</v>
      </c>
      <c r="U102" s="289">
        <v>0</v>
      </c>
      <c r="V102" s="290" t="e">
        <f t="shared" si="1"/>
        <v>#DIV/0!</v>
      </c>
      <c r="X102" s="329"/>
      <c r="Y102" s="285"/>
      <c r="Z102" s="285"/>
      <c r="AA102" s="285"/>
      <c r="AB102" s="285"/>
      <c r="AC102" s="285"/>
      <c r="AD102" s="285"/>
      <c r="AE102" s="285"/>
    </row>
    <row r="103" spans="1:31" ht="18.95" customHeight="1">
      <c r="A103" s="314" t="s">
        <v>122</v>
      </c>
      <c r="B103" s="291" t="s">
        <v>38</v>
      </c>
      <c r="C103" s="292" t="s">
        <v>123</v>
      </c>
      <c r="D103" s="293" t="s">
        <v>40</v>
      </c>
      <c r="E103" s="294">
        <v>2525000</v>
      </c>
      <c r="F103" s="295"/>
      <c r="G103" s="294">
        <v>3351500</v>
      </c>
      <c r="H103" s="295"/>
      <c r="I103" s="296">
        <v>2851450</v>
      </c>
      <c r="J103" s="273">
        <v>0</v>
      </c>
      <c r="K103" s="273">
        <v>0</v>
      </c>
      <c r="L103" s="273">
        <v>600000</v>
      </c>
      <c r="M103" s="273">
        <v>90000</v>
      </c>
      <c r="N103" s="273">
        <v>0</v>
      </c>
      <c r="O103" s="273">
        <v>690000</v>
      </c>
      <c r="P103" s="273">
        <v>0</v>
      </c>
      <c r="Q103" s="273">
        <v>0</v>
      </c>
      <c r="R103" s="274">
        <f>SUM(J103:Q103)</f>
        <v>1380000</v>
      </c>
      <c r="S103" s="275">
        <f>I103-R103</f>
        <v>1471450</v>
      </c>
      <c r="T103" s="276">
        <f>G103-I103</f>
        <v>500050</v>
      </c>
      <c r="U103" s="297">
        <v>27</v>
      </c>
      <c r="V103" s="278">
        <f t="shared" si="1"/>
        <v>51111.111111111109</v>
      </c>
      <c r="X103" s="328"/>
      <c r="Y103" s="273"/>
      <c r="Z103" s="273"/>
      <c r="AA103" s="273"/>
      <c r="AB103" s="273"/>
      <c r="AC103" s="273"/>
      <c r="AD103" s="273"/>
      <c r="AE103" s="273"/>
    </row>
    <row r="104" spans="1:31" ht="18.95" customHeight="1">
      <c r="A104" s="312"/>
      <c r="B104" s="279" t="s">
        <v>124</v>
      </c>
      <c r="C104" s="280" t="s">
        <v>123</v>
      </c>
      <c r="D104" s="281" t="s">
        <v>125</v>
      </c>
      <c r="E104" s="282">
        <v>500000</v>
      </c>
      <c r="F104" s="283"/>
      <c r="G104" s="282">
        <v>0</v>
      </c>
      <c r="H104" s="283"/>
      <c r="I104" s="284">
        <v>527000</v>
      </c>
      <c r="J104" s="285">
        <v>0</v>
      </c>
      <c r="K104" s="285">
        <v>0</v>
      </c>
      <c r="L104" s="285">
        <v>0</v>
      </c>
      <c r="M104" s="285">
        <v>0</v>
      </c>
      <c r="N104" s="285">
        <v>0</v>
      </c>
      <c r="O104" s="285">
        <v>527000</v>
      </c>
      <c r="P104" s="285">
        <v>0</v>
      </c>
      <c r="Q104" s="285">
        <v>0</v>
      </c>
      <c r="R104" s="286">
        <f>SUM(J104:Q104)</f>
        <v>527000</v>
      </c>
      <c r="S104" s="287">
        <f>I104-R104</f>
        <v>0</v>
      </c>
      <c r="T104" s="288">
        <f>G104-I104</f>
        <v>-527000</v>
      </c>
      <c r="U104" s="289">
        <v>0</v>
      </c>
      <c r="V104" s="290" t="e">
        <f t="shared" si="1"/>
        <v>#DIV/0!</v>
      </c>
      <c r="X104" s="329"/>
      <c r="Y104" s="285"/>
      <c r="Z104" s="285"/>
      <c r="AA104" s="285"/>
      <c r="AB104" s="285"/>
      <c r="AC104" s="285"/>
      <c r="AD104" s="285"/>
      <c r="AE104" s="285"/>
    </row>
    <row r="105" spans="1:31" ht="18.95" customHeight="1">
      <c r="A105" s="312"/>
      <c r="B105" s="279" t="s">
        <v>124</v>
      </c>
      <c r="C105" s="280" t="s">
        <v>123</v>
      </c>
      <c r="D105" s="281" t="s">
        <v>43</v>
      </c>
      <c r="E105" s="282">
        <v>0</v>
      </c>
      <c r="F105" s="283"/>
      <c r="G105" s="282">
        <v>0</v>
      </c>
      <c r="H105" s="283"/>
      <c r="I105" s="284">
        <v>0</v>
      </c>
      <c r="J105" s="285">
        <v>0</v>
      </c>
      <c r="K105" s="285">
        <v>0</v>
      </c>
      <c r="L105" s="285">
        <v>0</v>
      </c>
      <c r="M105" s="285">
        <v>0</v>
      </c>
      <c r="N105" s="285">
        <v>30000</v>
      </c>
      <c r="O105" s="285">
        <v>0</v>
      </c>
      <c r="P105" s="285">
        <v>0</v>
      </c>
      <c r="Q105" s="285">
        <v>0</v>
      </c>
      <c r="R105" s="286">
        <f>SUM(J105:Q105)</f>
        <v>30000</v>
      </c>
      <c r="S105" s="287">
        <f>I105-R105</f>
        <v>-30000</v>
      </c>
      <c r="T105" s="288">
        <f>G105-I105</f>
        <v>0</v>
      </c>
      <c r="U105" s="289">
        <v>0</v>
      </c>
      <c r="V105" s="290" t="e">
        <f t="shared" si="1"/>
        <v>#DIV/0!</v>
      </c>
      <c r="X105" s="329"/>
      <c r="Y105" s="285"/>
      <c r="Z105" s="285"/>
      <c r="AA105" s="285"/>
      <c r="AB105" s="285"/>
      <c r="AC105" s="285"/>
      <c r="AD105" s="285"/>
      <c r="AE105" s="285"/>
    </row>
    <row r="106" spans="1:31" ht="18.95" customHeight="1">
      <c r="A106" s="312"/>
      <c r="B106" s="279" t="s">
        <v>46</v>
      </c>
      <c r="C106" s="280" t="s">
        <v>126</v>
      </c>
      <c r="D106" s="281" t="s">
        <v>127</v>
      </c>
      <c r="E106" s="282">
        <v>3285050</v>
      </c>
      <c r="F106" s="283"/>
      <c r="G106" s="282">
        <v>2000000</v>
      </c>
      <c r="H106" s="283"/>
      <c r="I106" s="284">
        <v>2000000</v>
      </c>
      <c r="J106" s="285">
        <v>0</v>
      </c>
      <c r="K106" s="285">
        <v>0</v>
      </c>
      <c r="L106" s="285">
        <v>0</v>
      </c>
      <c r="M106" s="285">
        <v>0</v>
      </c>
      <c r="N106" s="285">
        <v>0</v>
      </c>
      <c r="O106" s="285">
        <v>0</v>
      </c>
      <c r="P106" s="285">
        <v>0</v>
      </c>
      <c r="Q106" s="285">
        <v>0</v>
      </c>
      <c r="R106" s="286">
        <f>SUM(J106:Q106)</f>
        <v>0</v>
      </c>
      <c r="S106" s="287">
        <f>I106-R106</f>
        <v>2000000</v>
      </c>
      <c r="T106" s="288">
        <f>G106-I106</f>
        <v>0</v>
      </c>
      <c r="U106" s="289">
        <v>0</v>
      </c>
      <c r="V106" s="290" t="e">
        <f t="shared" si="1"/>
        <v>#DIV/0!</v>
      </c>
      <c r="X106" s="329"/>
      <c r="Y106" s="285"/>
      <c r="Z106" s="285"/>
      <c r="AA106" s="285"/>
      <c r="AB106" s="285"/>
      <c r="AC106" s="285"/>
      <c r="AD106" s="285"/>
      <c r="AE106" s="285"/>
    </row>
    <row r="107" spans="1:31" ht="18.95" customHeight="1">
      <c r="A107" s="312"/>
      <c r="B107" s="279" t="s">
        <v>46</v>
      </c>
      <c r="C107" s="280" t="s">
        <v>123</v>
      </c>
      <c r="D107" s="281" t="s">
        <v>43</v>
      </c>
      <c r="E107" s="282">
        <v>0</v>
      </c>
      <c r="F107" s="283"/>
      <c r="G107" s="282">
        <v>0</v>
      </c>
      <c r="H107" s="283"/>
      <c r="I107" s="284">
        <v>0</v>
      </c>
      <c r="J107" s="285">
        <v>0</v>
      </c>
      <c r="K107" s="285">
        <v>0</v>
      </c>
      <c r="L107" s="285">
        <v>0</v>
      </c>
      <c r="M107" s="285">
        <v>108000</v>
      </c>
      <c r="N107" s="285">
        <v>0</v>
      </c>
      <c r="O107" s="285">
        <v>54000</v>
      </c>
      <c r="P107" s="285">
        <v>0</v>
      </c>
      <c r="Q107" s="285">
        <v>0</v>
      </c>
      <c r="R107" s="286">
        <f>SUM(J107:Q107)</f>
        <v>162000</v>
      </c>
      <c r="S107" s="287">
        <f>I107-R107</f>
        <v>-162000</v>
      </c>
      <c r="T107" s="288">
        <f>G107-I107</f>
        <v>0</v>
      </c>
      <c r="U107" s="289">
        <v>2</v>
      </c>
      <c r="V107" s="290">
        <f t="shared" si="1"/>
        <v>81000</v>
      </c>
      <c r="X107" s="329"/>
      <c r="Y107" s="285"/>
      <c r="Z107" s="285"/>
      <c r="AA107" s="285"/>
      <c r="AB107" s="285"/>
      <c r="AC107" s="285"/>
      <c r="AD107" s="285"/>
      <c r="AE107" s="285"/>
    </row>
    <row r="108" spans="1:31" ht="18.95" customHeight="1">
      <c r="A108" s="312"/>
      <c r="B108" s="279" t="s">
        <v>128</v>
      </c>
      <c r="C108" s="280" t="s">
        <v>123</v>
      </c>
      <c r="D108" s="281" t="s">
        <v>43</v>
      </c>
      <c r="E108" s="282">
        <v>0</v>
      </c>
      <c r="F108" s="283"/>
      <c r="G108" s="282">
        <v>0</v>
      </c>
      <c r="H108" s="283"/>
      <c r="I108" s="284">
        <v>0</v>
      </c>
      <c r="J108" s="285">
        <v>0</v>
      </c>
      <c r="K108" s="285">
        <v>0</v>
      </c>
      <c r="L108" s="285">
        <v>155000</v>
      </c>
      <c r="M108" s="285">
        <v>0</v>
      </c>
      <c r="N108" s="285">
        <v>0</v>
      </c>
      <c r="O108" s="285">
        <v>0</v>
      </c>
      <c r="P108" s="285">
        <v>0</v>
      </c>
      <c r="Q108" s="285">
        <v>0</v>
      </c>
      <c r="R108" s="286">
        <f>SUM(J108:Q108)</f>
        <v>155000</v>
      </c>
      <c r="S108" s="287">
        <f>I108-R108</f>
        <v>-155000</v>
      </c>
      <c r="T108" s="288">
        <f>G108-I108</f>
        <v>0</v>
      </c>
      <c r="U108" s="289">
        <v>0</v>
      </c>
      <c r="V108" s="290" t="e">
        <f t="shared" si="1"/>
        <v>#DIV/0!</v>
      </c>
      <c r="X108" s="329"/>
      <c r="Y108" s="285"/>
      <c r="Z108" s="285"/>
      <c r="AA108" s="285"/>
      <c r="AB108" s="285"/>
      <c r="AC108" s="285"/>
      <c r="AD108" s="285"/>
      <c r="AE108" s="285"/>
    </row>
    <row r="109" spans="1:31" ht="18.95" customHeight="1">
      <c r="A109" s="312"/>
      <c r="B109" s="279" t="s">
        <v>129</v>
      </c>
      <c r="C109" s="280" t="s">
        <v>123</v>
      </c>
      <c r="D109" s="281" t="s">
        <v>43</v>
      </c>
      <c r="E109" s="282">
        <v>0</v>
      </c>
      <c r="F109" s="283"/>
      <c r="G109" s="282">
        <v>0</v>
      </c>
      <c r="H109" s="283"/>
      <c r="I109" s="284">
        <v>90000</v>
      </c>
      <c r="J109" s="285">
        <v>0</v>
      </c>
      <c r="K109" s="285">
        <v>0</v>
      </c>
      <c r="L109" s="285">
        <v>0</v>
      </c>
      <c r="M109" s="285">
        <v>90000</v>
      </c>
      <c r="N109" s="285">
        <v>0</v>
      </c>
      <c r="O109" s="285">
        <v>0</v>
      </c>
      <c r="P109" s="285">
        <v>0</v>
      </c>
      <c r="Q109" s="285">
        <v>0</v>
      </c>
      <c r="R109" s="286">
        <f>SUM(J109:Q109)</f>
        <v>90000</v>
      </c>
      <c r="S109" s="287">
        <f>I109-R109</f>
        <v>0</v>
      </c>
      <c r="T109" s="288">
        <f>G109-I109</f>
        <v>-90000</v>
      </c>
      <c r="U109" s="289">
        <v>4</v>
      </c>
      <c r="V109" s="290">
        <f t="shared" si="1"/>
        <v>22500</v>
      </c>
      <c r="X109" s="329"/>
      <c r="Y109" s="285"/>
      <c r="Z109" s="285"/>
      <c r="AA109" s="285"/>
      <c r="AB109" s="285"/>
      <c r="AC109" s="285"/>
      <c r="AD109" s="285"/>
      <c r="AE109" s="285"/>
    </row>
    <row r="110" spans="1:31" ht="18.95" customHeight="1">
      <c r="A110" s="312"/>
      <c r="B110" s="279" t="s">
        <v>99</v>
      </c>
      <c r="C110" s="280" t="s">
        <v>123</v>
      </c>
      <c r="D110" s="281" t="s">
        <v>43</v>
      </c>
      <c r="E110" s="282">
        <v>0</v>
      </c>
      <c r="F110" s="283"/>
      <c r="G110" s="282">
        <v>0</v>
      </c>
      <c r="H110" s="283"/>
      <c r="I110" s="284">
        <v>75000</v>
      </c>
      <c r="J110" s="285">
        <v>0</v>
      </c>
      <c r="K110" s="285">
        <v>0</v>
      </c>
      <c r="L110" s="285">
        <v>0</v>
      </c>
      <c r="M110" s="285">
        <v>25000</v>
      </c>
      <c r="N110" s="285">
        <v>0</v>
      </c>
      <c r="O110" s="285">
        <v>0</v>
      </c>
      <c r="P110" s="285">
        <v>0</v>
      </c>
      <c r="Q110" s="285">
        <v>0</v>
      </c>
      <c r="R110" s="286">
        <f>SUM(J110:Q110)</f>
        <v>25000</v>
      </c>
      <c r="S110" s="287">
        <f>I110-R110</f>
        <v>50000</v>
      </c>
      <c r="T110" s="288">
        <f>G110-I110</f>
        <v>-75000</v>
      </c>
      <c r="U110" s="289">
        <v>1</v>
      </c>
      <c r="V110" s="290">
        <f t="shared" si="1"/>
        <v>25000</v>
      </c>
      <c r="X110" s="329"/>
      <c r="Y110" s="285"/>
      <c r="Z110" s="285"/>
      <c r="AA110" s="285"/>
      <c r="AB110" s="285"/>
      <c r="AC110" s="285"/>
      <c r="AD110" s="285"/>
      <c r="AE110" s="285"/>
    </row>
    <row r="111" spans="1:31" ht="18.95" customHeight="1">
      <c r="A111" s="312"/>
      <c r="B111" s="279"/>
      <c r="C111" s="280" t="s">
        <v>126</v>
      </c>
      <c r="D111" s="281" t="s">
        <v>43</v>
      </c>
      <c r="E111" s="282">
        <v>100000</v>
      </c>
      <c r="F111" s="283"/>
      <c r="G111" s="282">
        <v>0</v>
      </c>
      <c r="H111" s="283"/>
      <c r="I111" s="284">
        <v>0</v>
      </c>
      <c r="J111" s="285">
        <v>0</v>
      </c>
      <c r="K111" s="285">
        <v>0</v>
      </c>
      <c r="L111" s="285">
        <v>0</v>
      </c>
      <c r="M111" s="285">
        <v>0</v>
      </c>
      <c r="N111" s="285">
        <v>0</v>
      </c>
      <c r="O111" s="285">
        <v>0</v>
      </c>
      <c r="P111" s="285">
        <v>0</v>
      </c>
      <c r="Q111" s="285">
        <v>0</v>
      </c>
      <c r="R111" s="286">
        <f>SUM(J111:Q111)</f>
        <v>0</v>
      </c>
      <c r="S111" s="287">
        <f>I111-R111</f>
        <v>0</v>
      </c>
      <c r="T111" s="288">
        <f>G111-I111</f>
        <v>0</v>
      </c>
      <c r="U111" s="289">
        <v>0</v>
      </c>
      <c r="V111" s="290" t="e">
        <f t="shared" si="1"/>
        <v>#DIV/0!</v>
      </c>
      <c r="X111" s="329"/>
      <c r="Y111" s="285"/>
      <c r="Z111" s="285"/>
      <c r="AA111" s="285"/>
      <c r="AB111" s="285"/>
      <c r="AC111" s="285"/>
      <c r="AD111" s="285"/>
      <c r="AE111" s="285"/>
    </row>
    <row r="112" spans="1:31" ht="18.95" customHeight="1">
      <c r="A112" s="312"/>
      <c r="B112" s="279"/>
      <c r="C112" s="280" t="s">
        <v>130</v>
      </c>
      <c r="D112" s="281" t="s">
        <v>43</v>
      </c>
      <c r="E112" s="282">
        <v>0</v>
      </c>
      <c r="F112" s="283"/>
      <c r="G112" s="282">
        <v>0</v>
      </c>
      <c r="H112" s="283"/>
      <c r="I112" s="284">
        <v>0</v>
      </c>
      <c r="J112" s="285">
        <v>0</v>
      </c>
      <c r="K112" s="285">
        <v>0</v>
      </c>
      <c r="L112" s="285">
        <v>0</v>
      </c>
      <c r="M112" s="285">
        <v>0</v>
      </c>
      <c r="N112" s="285">
        <v>0</v>
      </c>
      <c r="O112" s="285">
        <v>0</v>
      </c>
      <c r="P112" s="285">
        <v>0</v>
      </c>
      <c r="Q112" s="285">
        <v>0</v>
      </c>
      <c r="R112" s="286">
        <f>SUM(J112:Q112)</f>
        <v>0</v>
      </c>
      <c r="S112" s="287">
        <f>I112-R112</f>
        <v>0</v>
      </c>
      <c r="T112" s="288">
        <f>G112-I112</f>
        <v>0</v>
      </c>
      <c r="U112" s="289">
        <v>0</v>
      </c>
      <c r="V112" s="290" t="e">
        <f t="shared" si="1"/>
        <v>#DIV/0!</v>
      </c>
      <c r="X112" s="329"/>
      <c r="Y112" s="285"/>
      <c r="Z112" s="285"/>
      <c r="AA112" s="285"/>
      <c r="AB112" s="285"/>
      <c r="AC112" s="285"/>
      <c r="AD112" s="285"/>
      <c r="AE112" s="285"/>
    </row>
    <row r="113" spans="1:31" ht="18.95" customHeight="1">
      <c r="A113" s="312"/>
      <c r="B113" s="279"/>
      <c r="C113" s="280" t="s">
        <v>123</v>
      </c>
      <c r="D113" s="281" t="s">
        <v>43</v>
      </c>
      <c r="E113" s="282">
        <v>300000</v>
      </c>
      <c r="F113" s="283"/>
      <c r="G113" s="282">
        <v>200000</v>
      </c>
      <c r="H113" s="283"/>
      <c r="I113" s="284">
        <v>425000</v>
      </c>
      <c r="J113" s="285">
        <v>0</v>
      </c>
      <c r="K113" s="285">
        <v>0</v>
      </c>
      <c r="L113" s="285">
        <v>0</v>
      </c>
      <c r="M113" s="285">
        <v>0</v>
      </c>
      <c r="N113" s="285">
        <v>0</v>
      </c>
      <c r="O113" s="285">
        <v>0</v>
      </c>
      <c r="P113" s="285">
        <v>0</v>
      </c>
      <c r="Q113" s="285">
        <v>0</v>
      </c>
      <c r="R113" s="286">
        <f>SUM(J113:Q113)</f>
        <v>0</v>
      </c>
      <c r="S113" s="287">
        <f>I113-R113</f>
        <v>425000</v>
      </c>
      <c r="T113" s="288">
        <f>G113-I113</f>
        <v>-225000</v>
      </c>
      <c r="U113" s="289">
        <v>0</v>
      </c>
      <c r="V113" s="290" t="e">
        <f t="shared" si="1"/>
        <v>#DIV/0!</v>
      </c>
      <c r="X113" s="329"/>
      <c r="Y113" s="285"/>
      <c r="Z113" s="285"/>
      <c r="AA113" s="285"/>
      <c r="AB113" s="285"/>
      <c r="AC113" s="285"/>
      <c r="AD113" s="285"/>
      <c r="AE113" s="285"/>
    </row>
    <row r="114" spans="1:31" ht="18.95" customHeight="1">
      <c r="A114" s="313"/>
      <c r="B114" s="279"/>
      <c r="C114" s="280" t="s">
        <v>131</v>
      </c>
      <c r="D114" s="281" t="s">
        <v>43</v>
      </c>
      <c r="E114" s="282">
        <v>0</v>
      </c>
      <c r="F114" s="283"/>
      <c r="G114" s="282">
        <v>0</v>
      </c>
      <c r="H114" s="283"/>
      <c r="I114" s="284">
        <v>0</v>
      </c>
      <c r="J114" s="285">
        <v>0</v>
      </c>
      <c r="K114" s="285">
        <v>0</v>
      </c>
      <c r="L114" s="285">
        <v>0</v>
      </c>
      <c r="M114" s="285">
        <v>0</v>
      </c>
      <c r="N114" s="285">
        <v>0</v>
      </c>
      <c r="O114" s="285">
        <v>0</v>
      </c>
      <c r="P114" s="285">
        <v>0</v>
      </c>
      <c r="Q114" s="285">
        <v>0</v>
      </c>
      <c r="R114" s="286">
        <f>SUM(J114:Q114)</f>
        <v>0</v>
      </c>
      <c r="S114" s="287">
        <f>I114-R114</f>
        <v>0</v>
      </c>
      <c r="T114" s="288">
        <f>G114-I114</f>
        <v>0</v>
      </c>
      <c r="U114" s="289">
        <v>0</v>
      </c>
      <c r="V114" s="290" t="e">
        <f t="shared" si="1"/>
        <v>#DIV/0!</v>
      </c>
      <c r="X114" s="329"/>
      <c r="Y114" s="285"/>
      <c r="Z114" s="285"/>
      <c r="AA114" s="285"/>
      <c r="AB114" s="285"/>
      <c r="AC114" s="285"/>
      <c r="AD114" s="285"/>
      <c r="AE114" s="285"/>
    </row>
    <row r="115" spans="1:31" ht="18.95" customHeight="1">
      <c r="A115" s="314" t="s">
        <v>132</v>
      </c>
      <c r="B115" s="291" t="s">
        <v>38</v>
      </c>
      <c r="C115" s="292" t="s">
        <v>133</v>
      </c>
      <c r="D115" s="293" t="s">
        <v>40</v>
      </c>
      <c r="E115" s="294">
        <v>607100</v>
      </c>
      <c r="F115" s="295"/>
      <c r="G115" s="294">
        <v>477250</v>
      </c>
      <c r="H115" s="295"/>
      <c r="I115" s="296">
        <v>477250</v>
      </c>
      <c r="J115" s="273">
        <v>0</v>
      </c>
      <c r="K115" s="273">
        <v>0</v>
      </c>
      <c r="L115" s="273">
        <v>0</v>
      </c>
      <c r="M115" s="273">
        <v>0</v>
      </c>
      <c r="N115" s="273">
        <v>0</v>
      </c>
      <c r="O115" s="273">
        <v>0</v>
      </c>
      <c r="P115" s="273">
        <v>0</v>
      </c>
      <c r="Q115" s="273">
        <v>0</v>
      </c>
      <c r="R115" s="274">
        <f>SUM(J115:Q115)</f>
        <v>0</v>
      </c>
      <c r="S115" s="275">
        <f>I115-R115</f>
        <v>477250</v>
      </c>
      <c r="T115" s="276">
        <f>G115-I115</f>
        <v>0</v>
      </c>
      <c r="U115" s="297">
        <v>0</v>
      </c>
      <c r="V115" s="278" t="e">
        <f t="shared" si="1"/>
        <v>#DIV/0!</v>
      </c>
      <c r="X115" s="328"/>
      <c r="Y115" s="273"/>
      <c r="Z115" s="273"/>
      <c r="AA115" s="273"/>
      <c r="AB115" s="273"/>
      <c r="AC115" s="273"/>
      <c r="AD115" s="273"/>
      <c r="AE115" s="273"/>
    </row>
    <row r="116" spans="1:31" ht="18.95" customHeight="1">
      <c r="A116" s="312"/>
      <c r="B116" s="279"/>
      <c r="C116" s="280" t="s">
        <v>133</v>
      </c>
      <c r="D116" s="281" t="s">
        <v>43</v>
      </c>
      <c r="E116" s="282">
        <v>150000</v>
      </c>
      <c r="F116" s="283"/>
      <c r="G116" s="282">
        <v>0</v>
      </c>
      <c r="H116" s="283"/>
      <c r="I116" s="284">
        <v>0</v>
      </c>
      <c r="J116" s="285">
        <v>0</v>
      </c>
      <c r="K116" s="285">
        <v>0</v>
      </c>
      <c r="L116" s="285">
        <v>0</v>
      </c>
      <c r="M116" s="285">
        <v>0</v>
      </c>
      <c r="N116" s="285">
        <v>0</v>
      </c>
      <c r="O116" s="285">
        <v>0</v>
      </c>
      <c r="P116" s="285">
        <v>0</v>
      </c>
      <c r="Q116" s="285">
        <v>0</v>
      </c>
      <c r="R116" s="286">
        <f>SUM(J116:Q116)</f>
        <v>0</v>
      </c>
      <c r="S116" s="287">
        <f>I116-R116</f>
        <v>0</v>
      </c>
      <c r="T116" s="288">
        <f>G116-I116</f>
        <v>0</v>
      </c>
      <c r="U116" s="289">
        <v>0</v>
      </c>
      <c r="V116" s="290" t="e">
        <f t="shared" si="1"/>
        <v>#DIV/0!</v>
      </c>
      <c r="X116" s="329"/>
      <c r="Y116" s="285"/>
      <c r="Z116" s="285"/>
      <c r="AA116" s="285"/>
      <c r="AB116" s="285"/>
      <c r="AC116" s="285"/>
      <c r="AD116" s="285"/>
      <c r="AE116" s="285"/>
    </row>
    <row r="117" spans="1:31" ht="18.95" customHeight="1">
      <c r="A117" s="313"/>
      <c r="B117" s="279"/>
      <c r="C117" s="280" t="s">
        <v>134</v>
      </c>
      <c r="D117" s="281" t="s">
        <v>43</v>
      </c>
      <c r="E117" s="282">
        <v>0</v>
      </c>
      <c r="F117" s="283"/>
      <c r="G117" s="282">
        <v>0</v>
      </c>
      <c r="H117" s="283"/>
      <c r="I117" s="284">
        <v>0</v>
      </c>
      <c r="J117" s="285">
        <v>0</v>
      </c>
      <c r="K117" s="285">
        <v>0</v>
      </c>
      <c r="L117" s="285">
        <v>0</v>
      </c>
      <c r="M117" s="285">
        <v>0</v>
      </c>
      <c r="N117" s="285">
        <v>0</v>
      </c>
      <c r="O117" s="285">
        <v>0</v>
      </c>
      <c r="P117" s="285">
        <v>0</v>
      </c>
      <c r="Q117" s="285">
        <v>0</v>
      </c>
      <c r="R117" s="286">
        <f>SUM(J117:Q117)</f>
        <v>0</v>
      </c>
      <c r="S117" s="287">
        <f>I117-R117</f>
        <v>0</v>
      </c>
      <c r="T117" s="288">
        <f>G117-I117</f>
        <v>0</v>
      </c>
      <c r="U117" s="289">
        <v>0</v>
      </c>
      <c r="V117" s="290" t="e">
        <f t="shared" si="1"/>
        <v>#DIV/0!</v>
      </c>
      <c r="X117" s="329"/>
      <c r="Y117" s="285"/>
      <c r="Z117" s="285"/>
      <c r="AA117" s="285"/>
      <c r="AB117" s="285"/>
      <c r="AC117" s="285"/>
      <c r="AD117" s="285"/>
      <c r="AE117" s="285"/>
    </row>
    <row r="118" spans="1:31" ht="18.95" customHeight="1">
      <c r="A118" s="314" t="s">
        <v>135</v>
      </c>
      <c r="B118" s="291" t="s">
        <v>38</v>
      </c>
      <c r="C118" s="292"/>
      <c r="D118" s="293" t="s">
        <v>43</v>
      </c>
      <c r="E118" s="294">
        <v>0</v>
      </c>
      <c r="F118" s="295"/>
      <c r="G118" s="294">
        <v>4000000</v>
      </c>
      <c r="H118" s="295"/>
      <c r="I118" s="296">
        <v>0</v>
      </c>
      <c r="J118" s="273">
        <v>0</v>
      </c>
      <c r="K118" s="273">
        <v>0</v>
      </c>
      <c r="L118" s="273">
        <v>0</v>
      </c>
      <c r="M118" s="273">
        <v>0</v>
      </c>
      <c r="N118" s="273">
        <v>0</v>
      </c>
      <c r="O118" s="273">
        <v>0</v>
      </c>
      <c r="P118" s="273">
        <v>0</v>
      </c>
      <c r="Q118" s="273">
        <v>0</v>
      </c>
      <c r="R118" s="274">
        <f>SUM(J118:Q118)</f>
        <v>0</v>
      </c>
      <c r="S118" s="275">
        <f>I118-R118</f>
        <v>0</v>
      </c>
      <c r="T118" s="276">
        <f>G118-I118</f>
        <v>4000000</v>
      </c>
      <c r="U118" s="297">
        <v>0</v>
      </c>
      <c r="V118" s="278" t="e">
        <f t="shared" si="1"/>
        <v>#DIV/0!</v>
      </c>
      <c r="X118" s="328"/>
      <c r="Y118" s="273"/>
      <c r="Z118" s="273"/>
      <c r="AA118" s="273"/>
      <c r="AB118" s="273"/>
      <c r="AC118" s="273"/>
      <c r="AD118" s="273"/>
      <c r="AE118" s="273"/>
    </row>
    <row r="119" spans="1:31" ht="18.95" customHeight="1">
      <c r="A119" s="312"/>
      <c r="B119" s="279" t="s">
        <v>38</v>
      </c>
      <c r="C119" s="280"/>
      <c r="D119" s="281" t="s">
        <v>40</v>
      </c>
      <c r="E119" s="282">
        <v>0</v>
      </c>
      <c r="F119" s="283"/>
      <c r="G119" s="282">
        <v>0</v>
      </c>
      <c r="H119" s="283"/>
      <c r="I119" s="284">
        <v>4000000</v>
      </c>
      <c r="J119" s="285">
        <v>0</v>
      </c>
      <c r="K119" s="285">
        <v>0</v>
      </c>
      <c r="L119" s="285">
        <v>600000</v>
      </c>
      <c r="M119" s="285">
        <v>660000</v>
      </c>
      <c r="N119" s="285">
        <v>540000</v>
      </c>
      <c r="O119" s="285">
        <v>540000</v>
      </c>
      <c r="P119" s="285">
        <v>0</v>
      </c>
      <c r="Q119" s="285">
        <v>0</v>
      </c>
      <c r="R119" s="286">
        <f>SUM(J119:Q119)</f>
        <v>2340000</v>
      </c>
      <c r="S119" s="287">
        <f>I119-R119</f>
        <v>1660000</v>
      </c>
      <c r="T119" s="288">
        <f>G119-I119</f>
        <v>-4000000</v>
      </c>
      <c r="U119" s="289">
        <v>43</v>
      </c>
      <c r="V119" s="290">
        <f t="shared" si="1"/>
        <v>54418.604651162794</v>
      </c>
      <c r="X119" s="329"/>
      <c r="Y119" s="285"/>
      <c r="Z119" s="285"/>
      <c r="AA119" s="285"/>
      <c r="AB119" s="285"/>
      <c r="AC119" s="285"/>
      <c r="AD119" s="285"/>
      <c r="AE119" s="285"/>
    </row>
    <row r="120" spans="1:31" ht="18.95" customHeight="1">
      <c r="A120" s="312"/>
      <c r="B120" s="279" t="s">
        <v>63</v>
      </c>
      <c r="C120" s="280"/>
      <c r="D120" s="281" t="s">
        <v>43</v>
      </c>
      <c r="E120" s="282">
        <v>0</v>
      </c>
      <c r="F120" s="283"/>
      <c r="G120" s="282">
        <v>0</v>
      </c>
      <c r="H120" s="283"/>
      <c r="I120" s="284">
        <v>0</v>
      </c>
      <c r="J120" s="285">
        <v>0</v>
      </c>
      <c r="K120" s="285">
        <v>684415</v>
      </c>
      <c r="L120" s="285">
        <v>0</v>
      </c>
      <c r="M120" s="285">
        <v>0</v>
      </c>
      <c r="N120" s="285">
        <v>0</v>
      </c>
      <c r="O120" s="285">
        <v>0</v>
      </c>
      <c r="P120" s="285">
        <v>0</v>
      </c>
      <c r="Q120" s="285">
        <v>0</v>
      </c>
      <c r="R120" s="286">
        <f>SUM(J120:Q120)</f>
        <v>684415</v>
      </c>
      <c r="S120" s="287">
        <f>I120-R120</f>
        <v>-684415</v>
      </c>
      <c r="T120" s="288">
        <f>G120-I120</f>
        <v>0</v>
      </c>
      <c r="U120" s="289">
        <v>0</v>
      </c>
      <c r="V120" s="290" t="e">
        <f t="shared" si="1"/>
        <v>#DIV/0!</v>
      </c>
      <c r="X120" s="329"/>
      <c r="Y120" s="285"/>
      <c r="Z120" s="285"/>
      <c r="AA120" s="285"/>
      <c r="AB120" s="285"/>
      <c r="AC120" s="285"/>
      <c r="AD120" s="285"/>
      <c r="AE120" s="285"/>
    </row>
    <row r="121" spans="1:31" ht="18.95" customHeight="1">
      <c r="A121" s="312"/>
      <c r="B121" s="279"/>
      <c r="C121" s="280"/>
      <c r="D121" s="281" t="s">
        <v>43</v>
      </c>
      <c r="E121" s="282">
        <v>0</v>
      </c>
      <c r="F121" s="283"/>
      <c r="G121" s="282">
        <v>0</v>
      </c>
      <c r="H121" s="283"/>
      <c r="I121" s="284">
        <v>0</v>
      </c>
      <c r="J121" s="285">
        <v>0</v>
      </c>
      <c r="K121" s="285">
        <v>0</v>
      </c>
      <c r="L121" s="285">
        <v>0</v>
      </c>
      <c r="M121" s="285">
        <v>0</v>
      </c>
      <c r="N121" s="285">
        <v>0</v>
      </c>
      <c r="O121" s="285">
        <v>0</v>
      </c>
      <c r="P121" s="285">
        <v>0</v>
      </c>
      <c r="Q121" s="285">
        <v>0</v>
      </c>
      <c r="R121" s="286">
        <f>SUM(J121:Q121)</f>
        <v>0</v>
      </c>
      <c r="S121" s="287">
        <f>I121-R121</f>
        <v>0</v>
      </c>
      <c r="T121" s="288">
        <f>G121-I121</f>
        <v>0</v>
      </c>
      <c r="U121" s="289">
        <v>0</v>
      </c>
      <c r="V121" s="290" t="e">
        <f t="shared" si="1"/>
        <v>#DIV/0!</v>
      </c>
      <c r="X121" s="329"/>
      <c r="Y121" s="285"/>
      <c r="Z121" s="285"/>
      <c r="AA121" s="285"/>
      <c r="AB121" s="285"/>
      <c r="AC121" s="285"/>
      <c r="AD121" s="285"/>
      <c r="AE121" s="285"/>
    </row>
    <row r="122" spans="1:31" ht="18.95" customHeight="1" thickBot="1">
      <c r="A122" s="315"/>
      <c r="B122" s="299"/>
      <c r="C122" s="300"/>
      <c r="D122" s="301" t="s">
        <v>43</v>
      </c>
      <c r="E122" s="302">
        <v>1680000</v>
      </c>
      <c r="F122" s="303"/>
      <c r="G122" s="302">
        <v>1747000</v>
      </c>
      <c r="H122" s="303"/>
      <c r="I122" s="304">
        <v>1747000</v>
      </c>
      <c r="J122" s="305">
        <v>0</v>
      </c>
      <c r="K122" s="305">
        <v>0</v>
      </c>
      <c r="L122" s="305">
        <v>0</v>
      </c>
      <c r="M122" s="305">
        <v>0</v>
      </c>
      <c r="N122" s="305">
        <v>0</v>
      </c>
      <c r="O122" s="305">
        <v>0</v>
      </c>
      <c r="P122" s="305">
        <v>0</v>
      </c>
      <c r="Q122" s="305">
        <v>0</v>
      </c>
      <c r="R122" s="306">
        <f>SUM(J122:Q122)</f>
        <v>0</v>
      </c>
      <c r="S122" s="307">
        <f>I122-R122</f>
        <v>1747000</v>
      </c>
      <c r="T122" s="308">
        <f>G122-I122</f>
        <v>0</v>
      </c>
      <c r="U122" s="309">
        <v>0</v>
      </c>
      <c r="V122" s="310" t="e">
        <f t="shared" si="1"/>
        <v>#DIV/0!</v>
      </c>
      <c r="X122" s="330"/>
      <c r="Y122" s="305"/>
      <c r="Z122" s="305"/>
      <c r="AA122" s="305"/>
      <c r="AB122" s="305"/>
      <c r="AC122" s="305"/>
      <c r="AD122" s="305"/>
      <c r="AE122" s="305"/>
    </row>
    <row r="123" spans="1:31" ht="18.95" customHeight="1" thickTop="1" thickBot="1">
      <c r="A123" s="27"/>
      <c r="B123" s="28" t="s">
        <v>12</v>
      </c>
      <c r="C123" s="29"/>
      <c r="D123" s="29"/>
      <c r="E123" s="187">
        <f>SUM(E7:F122)</f>
        <v>69879585</v>
      </c>
      <c r="F123" s="188"/>
      <c r="G123" s="187">
        <f>SUM(G7:H122)</f>
        <v>72270590</v>
      </c>
      <c r="H123" s="188"/>
      <c r="I123" s="87">
        <f>SUM(I7:I122)</f>
        <v>79725400</v>
      </c>
      <c r="J123" s="30"/>
      <c r="K123" s="30"/>
      <c r="L123" s="30"/>
      <c r="M123" s="30"/>
      <c r="N123" s="30"/>
      <c r="O123" s="30"/>
      <c r="P123" s="30"/>
      <c r="Q123" s="30"/>
      <c r="R123" s="32">
        <f>SUM(R7:R122)</f>
        <v>55438217</v>
      </c>
      <c r="S123" s="32">
        <f>SUM(S7:S122)</f>
        <v>24287183</v>
      </c>
      <c r="T123" s="33">
        <f>SUM(T7:T122)</f>
        <v>-7454810</v>
      </c>
      <c r="U123" s="298">
        <f>SUM(U7:U122)</f>
        <v>521</v>
      </c>
      <c r="V123" s="34"/>
    </row>
    <row r="124" spans="1:31" ht="15" customHeight="1" thickTop="1">
      <c r="A124" s="189"/>
      <c r="B124" s="190"/>
      <c r="C124" s="190"/>
      <c r="D124" s="190"/>
      <c r="E124" s="191"/>
      <c r="F124" s="191"/>
      <c r="G124" s="191"/>
      <c r="H124" s="191"/>
      <c r="I124" s="191"/>
      <c r="J124" s="190"/>
      <c r="K124" s="190"/>
      <c r="L124" s="190"/>
      <c r="M124" s="190"/>
      <c r="N124" s="190"/>
      <c r="O124" s="190"/>
      <c r="P124" s="190"/>
      <c r="Q124" s="190"/>
      <c r="R124" s="190"/>
      <c r="S124" s="190"/>
      <c r="T124" s="190"/>
      <c r="U124" s="191"/>
      <c r="V124" s="192"/>
    </row>
    <row r="125" spans="1:31" ht="18.95" customHeight="1">
      <c r="A125" s="97"/>
      <c r="B125" s="98" t="s">
        <v>13</v>
      </c>
      <c r="C125" s="98"/>
      <c r="D125" s="99"/>
      <c r="E125" s="193" t="s">
        <v>32</v>
      </c>
      <c r="F125" s="194"/>
      <c r="G125" s="193" t="s">
        <v>14</v>
      </c>
      <c r="H125" s="194"/>
      <c r="I125" s="100" t="s">
        <v>15</v>
      </c>
      <c r="J125" s="101"/>
      <c r="K125" s="101"/>
      <c r="L125" s="101"/>
      <c r="M125" s="101"/>
      <c r="N125" s="101"/>
      <c r="O125" s="101"/>
      <c r="P125" s="101"/>
      <c r="Q125" s="101"/>
      <c r="R125" s="101"/>
      <c r="S125" s="102"/>
      <c r="T125" s="103"/>
      <c r="U125" s="103"/>
      <c r="V125" s="104"/>
    </row>
    <row r="126" spans="1:31" ht="18.95" customHeight="1">
      <c r="A126" s="105"/>
      <c r="B126" s="107"/>
      <c r="C126" s="80"/>
      <c r="D126" s="158"/>
      <c r="E126" s="183"/>
      <c r="F126" s="184"/>
      <c r="G126" s="183"/>
      <c r="H126" s="184"/>
      <c r="I126" s="108"/>
      <c r="J126" s="20"/>
      <c r="K126" s="20"/>
      <c r="L126" s="20"/>
      <c r="M126" s="20"/>
      <c r="N126" s="20"/>
      <c r="O126" s="20"/>
      <c r="P126" s="20"/>
      <c r="Q126" s="20"/>
      <c r="R126" s="81">
        <f>SUM(J126:Q126)</f>
        <v>0</v>
      </c>
      <c r="S126" s="23">
        <f>I126-R126</f>
        <v>0</v>
      </c>
      <c r="T126" s="24">
        <f>G126-I126</f>
        <v>0</v>
      </c>
      <c r="U126" s="68"/>
      <c r="V126" s="88" t="e">
        <f>R126/U126</f>
        <v>#DIV/0!</v>
      </c>
    </row>
    <row r="127" spans="1:31" ht="18.95" customHeight="1">
      <c r="A127" s="106"/>
      <c r="B127" s="109"/>
      <c r="C127" s="71"/>
      <c r="D127" s="157"/>
      <c r="E127" s="185"/>
      <c r="F127" s="186"/>
      <c r="G127" s="185"/>
      <c r="H127" s="186"/>
      <c r="I127" s="110"/>
      <c r="J127" s="111"/>
      <c r="K127" s="111"/>
      <c r="L127" s="111"/>
      <c r="M127" s="111"/>
      <c r="N127" s="111"/>
      <c r="O127" s="111"/>
      <c r="P127" s="111"/>
      <c r="Q127" s="111"/>
      <c r="R127" s="81">
        <f>SUM(J127:Q127)</f>
        <v>0</v>
      </c>
      <c r="S127" s="23">
        <f>I127-R127</f>
        <v>0</v>
      </c>
      <c r="T127" s="24">
        <f>G127-I127</f>
        <v>0</v>
      </c>
      <c r="U127" s="69"/>
      <c r="V127" s="160" t="e">
        <f>R127/U127</f>
        <v>#DIV/0!</v>
      </c>
    </row>
    <row r="128" spans="1:31" ht="18.95" customHeight="1" thickBot="1">
      <c r="A128" s="89"/>
      <c r="B128" s="35" t="s">
        <v>16</v>
      </c>
      <c r="C128" s="35"/>
      <c r="D128" s="36"/>
      <c r="E128" s="168">
        <f>SUM(E126:E127)</f>
        <v>0</v>
      </c>
      <c r="F128" s="169"/>
      <c r="G128" s="168">
        <f>SUM(G126:G127)</f>
        <v>0</v>
      </c>
      <c r="H128" s="169"/>
      <c r="I128" s="37">
        <f>SUM(I126:I127)</f>
        <v>0</v>
      </c>
      <c r="J128" s="38"/>
      <c r="K128" s="38"/>
      <c r="L128" s="38"/>
      <c r="M128" s="38"/>
      <c r="N128" s="38"/>
      <c r="O128" s="38"/>
      <c r="P128" s="38"/>
      <c r="Q128" s="38"/>
      <c r="R128" s="39">
        <f>SUM(R126:R127)</f>
        <v>0</v>
      </c>
      <c r="S128" s="40">
        <f>SUM(S126:S127)</f>
        <v>0</v>
      </c>
      <c r="T128" s="41">
        <f>SUM(T126:T127)</f>
        <v>0</v>
      </c>
      <c r="U128" s="42">
        <f>SUM(U126:U127)</f>
        <v>0</v>
      </c>
      <c r="V128" s="159"/>
    </row>
    <row r="129" spans="1:31" ht="2.25" customHeight="1" thickTop="1" thickBot="1">
      <c r="A129" s="90"/>
      <c r="B129" s="43"/>
      <c r="C129" s="43"/>
      <c r="D129" s="43"/>
      <c r="E129" s="43"/>
      <c r="F129" s="44"/>
      <c r="G129" s="43"/>
      <c r="H129" s="44"/>
      <c r="I129" s="45"/>
      <c r="J129" s="44"/>
      <c r="K129" s="44"/>
      <c r="L129" s="44"/>
      <c r="M129" s="44"/>
      <c r="N129" s="44"/>
      <c r="O129" s="44"/>
      <c r="P129" s="44"/>
      <c r="Q129" s="44"/>
      <c r="R129" s="44"/>
      <c r="S129" s="46"/>
      <c r="T129" s="47"/>
      <c r="U129" s="48"/>
      <c r="V129" s="91"/>
    </row>
    <row r="130" spans="1:31" ht="26.25" customHeight="1" thickTop="1" thickBot="1">
      <c r="A130" s="92"/>
      <c r="B130" s="93" t="s">
        <v>17</v>
      </c>
      <c r="C130" s="93"/>
      <c r="D130" s="93"/>
      <c r="E130" s="170"/>
      <c r="F130" s="171"/>
      <c r="G130" s="170"/>
      <c r="H130" s="171"/>
      <c r="I130" s="49"/>
      <c r="J130" s="49"/>
      <c r="K130" s="49"/>
      <c r="L130" s="49"/>
      <c r="M130" s="49"/>
      <c r="N130" s="49"/>
      <c r="O130" s="49"/>
      <c r="P130" s="49"/>
      <c r="Q130" s="49"/>
      <c r="R130" s="50">
        <f>SUM(R128,R123)</f>
        <v>55438217</v>
      </c>
      <c r="S130" s="51">
        <f>SUM(S128,S123)</f>
        <v>24287183</v>
      </c>
      <c r="T130" s="94">
        <f>T123+T128</f>
        <v>-7454810</v>
      </c>
      <c r="U130" s="95">
        <f>SUM(U128,U123)</f>
        <v>521</v>
      </c>
      <c r="V130" s="96"/>
    </row>
    <row r="131" spans="1:31" ht="2.25" customHeight="1" thickTop="1">
      <c r="A131" s="137"/>
      <c r="B131" s="138"/>
      <c r="C131" s="138"/>
      <c r="D131" s="138"/>
      <c r="E131" s="138"/>
      <c r="F131" s="139"/>
      <c r="G131" s="138"/>
      <c r="H131" s="139"/>
      <c r="I131" s="140"/>
      <c r="J131" s="139"/>
      <c r="K131" s="139"/>
      <c r="L131" s="139"/>
      <c r="M131" s="139"/>
      <c r="N131" s="139"/>
      <c r="O131" s="139"/>
      <c r="P131" s="139"/>
      <c r="Q131" s="139"/>
      <c r="R131" s="139"/>
      <c r="S131" s="141"/>
      <c r="T131" s="142"/>
      <c r="U131" s="143"/>
      <c r="V131" s="144"/>
    </row>
    <row r="132" spans="1:31" ht="18.2" customHeight="1">
      <c r="A132" s="145"/>
      <c r="B132" s="146"/>
      <c r="C132" s="146"/>
      <c r="D132" s="146"/>
      <c r="E132" s="146"/>
      <c r="F132" s="128"/>
      <c r="G132" s="146"/>
      <c r="H132" s="128"/>
      <c r="I132" s="147"/>
      <c r="J132" s="128"/>
      <c r="K132" s="128"/>
      <c r="L132" s="128"/>
      <c r="M132" s="128"/>
      <c r="N132" s="128"/>
      <c r="O132" s="128"/>
      <c r="P132" s="128"/>
      <c r="Q132" s="128"/>
      <c r="R132" s="128"/>
      <c r="S132" s="148"/>
      <c r="T132" s="149"/>
      <c r="U132" s="150"/>
      <c r="V132" s="149"/>
    </row>
    <row r="133" spans="1:31" ht="18.2" customHeight="1">
      <c r="A133" s="258" t="s">
        <v>135</v>
      </c>
      <c r="B133" s="114" t="s">
        <v>38</v>
      </c>
      <c r="C133" s="115"/>
      <c r="D133" s="116"/>
      <c r="E133" s="172">
        <v>0</v>
      </c>
      <c r="F133" s="173"/>
      <c r="G133" s="174">
        <v>4000000</v>
      </c>
      <c r="H133" s="175"/>
      <c r="I133" s="117">
        <v>0</v>
      </c>
      <c r="J133" s="261">
        <v>0</v>
      </c>
      <c r="K133" s="261">
        <v>0</v>
      </c>
      <c r="L133" s="261">
        <v>0</v>
      </c>
      <c r="M133" s="261">
        <v>0</v>
      </c>
      <c r="N133" s="261">
        <v>0</v>
      </c>
      <c r="O133" s="261">
        <v>0</v>
      </c>
      <c r="P133" s="261">
        <v>0</v>
      </c>
      <c r="Q133" s="261">
        <v>0</v>
      </c>
      <c r="R133" s="119">
        <f>SUM(J133:Q133)</f>
        <v>0</v>
      </c>
      <c r="S133" s="120">
        <f>I133-R133</f>
        <v>0</v>
      </c>
      <c r="T133" s="121">
        <f>G133-I133</f>
        <v>4000000</v>
      </c>
      <c r="U133" s="122">
        <v>0</v>
      </c>
      <c r="V133" s="123" t="e">
        <f>R133/U133</f>
        <v>#DIV/0!</v>
      </c>
      <c r="X133" s="261"/>
      <c r="Y133" s="261"/>
      <c r="Z133" s="261"/>
      <c r="AA133" s="261"/>
      <c r="AB133" s="261"/>
      <c r="AC133" s="261"/>
      <c r="AD133" s="261"/>
      <c r="AE133" s="261"/>
    </row>
    <row r="134" spans="1:31" ht="18.2" customHeight="1">
      <c r="A134" s="259"/>
      <c r="B134" s="114" t="s">
        <v>38</v>
      </c>
      <c r="C134" s="115"/>
      <c r="D134" s="116"/>
      <c r="E134" s="172">
        <v>0</v>
      </c>
      <c r="F134" s="173"/>
      <c r="G134" s="174">
        <v>0</v>
      </c>
      <c r="H134" s="175"/>
      <c r="I134" s="117">
        <v>4000000</v>
      </c>
      <c r="J134" s="261">
        <v>0</v>
      </c>
      <c r="K134" s="261">
        <v>0</v>
      </c>
      <c r="L134" s="261">
        <v>600000</v>
      </c>
      <c r="M134" s="261">
        <v>660000</v>
      </c>
      <c r="N134" s="261">
        <v>540000</v>
      </c>
      <c r="O134" s="261">
        <v>540000</v>
      </c>
      <c r="P134" s="261">
        <v>0</v>
      </c>
      <c r="Q134" s="261">
        <v>0</v>
      </c>
      <c r="R134" s="119">
        <f>SUM(J134:Q134)</f>
        <v>2340000</v>
      </c>
      <c r="S134" s="120">
        <f>I134-R134</f>
        <v>1660000</v>
      </c>
      <c r="T134" s="121">
        <f>G134-I134</f>
        <v>-4000000</v>
      </c>
      <c r="U134" s="122">
        <v>43</v>
      </c>
      <c r="V134" s="123">
        <f t="shared" ref="V134:V143" si="2">R134/U134</f>
        <v>54418.604651162794</v>
      </c>
      <c r="X134" s="261"/>
      <c r="Y134" s="261"/>
      <c r="Z134" s="261"/>
      <c r="AA134" s="261"/>
      <c r="AB134" s="261"/>
      <c r="AC134" s="261"/>
      <c r="AD134" s="261"/>
      <c r="AE134" s="261"/>
    </row>
    <row r="135" spans="1:31" ht="18.2" customHeight="1">
      <c r="A135" s="259"/>
      <c r="B135" s="114" t="s">
        <v>144</v>
      </c>
      <c r="C135" s="115"/>
      <c r="D135" s="116"/>
      <c r="E135" s="172">
        <v>0</v>
      </c>
      <c r="F135" s="173"/>
      <c r="G135" s="174">
        <v>0</v>
      </c>
      <c r="H135" s="175"/>
      <c r="I135" s="117">
        <v>0</v>
      </c>
      <c r="J135" s="261">
        <v>0</v>
      </c>
      <c r="K135" s="261">
        <v>1304</v>
      </c>
      <c r="L135" s="261">
        <v>0</v>
      </c>
      <c r="M135" s="261">
        <v>655</v>
      </c>
      <c r="N135" s="261">
        <v>0</v>
      </c>
      <c r="O135" s="261">
        <v>0</v>
      </c>
      <c r="P135" s="261">
        <v>0</v>
      </c>
      <c r="Q135" s="261">
        <v>0</v>
      </c>
      <c r="R135" s="119">
        <f>SUM(J135:Q135)</f>
        <v>1959</v>
      </c>
      <c r="S135" s="120">
        <f>I135-R135</f>
        <v>-1959</v>
      </c>
      <c r="T135" s="121">
        <f>G135-I135</f>
        <v>0</v>
      </c>
      <c r="U135" s="122">
        <v>0</v>
      </c>
      <c r="V135" s="123" t="e">
        <f t="shared" si="2"/>
        <v>#DIV/0!</v>
      </c>
      <c r="X135" s="261"/>
      <c r="Y135" s="261"/>
      <c r="Z135" s="261"/>
      <c r="AA135" s="261"/>
      <c r="AB135" s="261"/>
      <c r="AC135" s="261"/>
      <c r="AD135" s="261"/>
      <c r="AE135" s="261"/>
    </row>
    <row r="136" spans="1:31" ht="18.2" customHeight="1">
      <c r="A136" s="259"/>
      <c r="B136" s="114" t="s">
        <v>145</v>
      </c>
      <c r="C136" s="115"/>
      <c r="D136" s="116"/>
      <c r="E136" s="172">
        <v>0</v>
      </c>
      <c r="F136" s="173"/>
      <c r="G136" s="174">
        <v>0</v>
      </c>
      <c r="H136" s="175"/>
      <c r="I136" s="117">
        <v>0</v>
      </c>
      <c r="J136" s="261">
        <v>0</v>
      </c>
      <c r="K136" s="261">
        <v>0</v>
      </c>
      <c r="L136" s="261">
        <v>1926</v>
      </c>
      <c r="M136" s="261">
        <v>0</v>
      </c>
      <c r="N136" s="261">
        <v>0</v>
      </c>
      <c r="O136" s="261">
        <v>0</v>
      </c>
      <c r="P136" s="261">
        <v>0</v>
      </c>
      <c r="Q136" s="261">
        <v>0</v>
      </c>
      <c r="R136" s="119">
        <f>SUM(J136:Q136)</f>
        <v>1926</v>
      </c>
      <c r="S136" s="120">
        <f>I136-R136</f>
        <v>-1926</v>
      </c>
      <c r="T136" s="121">
        <f>G136-I136</f>
        <v>0</v>
      </c>
      <c r="U136" s="122">
        <v>0</v>
      </c>
      <c r="V136" s="123" t="e">
        <f t="shared" si="2"/>
        <v>#DIV/0!</v>
      </c>
      <c r="X136" s="261"/>
      <c r="Y136" s="261"/>
      <c r="Z136" s="261"/>
      <c r="AA136" s="261"/>
      <c r="AB136" s="261"/>
      <c r="AC136" s="261"/>
      <c r="AD136" s="261"/>
      <c r="AE136" s="261"/>
    </row>
    <row r="137" spans="1:31" ht="18.2" customHeight="1">
      <c r="A137" s="259"/>
      <c r="B137" s="114" t="s">
        <v>146</v>
      </c>
      <c r="C137" s="115"/>
      <c r="D137" s="116"/>
      <c r="E137" s="172">
        <v>0</v>
      </c>
      <c r="F137" s="173"/>
      <c r="G137" s="174">
        <v>0</v>
      </c>
      <c r="H137" s="175"/>
      <c r="I137" s="117">
        <v>0</v>
      </c>
      <c r="J137" s="261">
        <v>0</v>
      </c>
      <c r="K137" s="261">
        <v>0</v>
      </c>
      <c r="L137" s="261">
        <v>13130</v>
      </c>
      <c r="M137" s="261">
        <v>122228</v>
      </c>
      <c r="N137" s="261">
        <v>210960</v>
      </c>
      <c r="O137" s="261">
        <v>169189</v>
      </c>
      <c r="P137" s="261">
        <v>36141</v>
      </c>
      <c r="Q137" s="261">
        <v>0</v>
      </c>
      <c r="R137" s="119">
        <f>SUM(J137:Q137)</f>
        <v>551648</v>
      </c>
      <c r="S137" s="120">
        <f>I137-R137</f>
        <v>-551648</v>
      </c>
      <c r="T137" s="121">
        <f>G137-I137</f>
        <v>0</v>
      </c>
      <c r="U137" s="122">
        <v>0</v>
      </c>
      <c r="V137" s="123" t="e">
        <f t="shared" si="2"/>
        <v>#DIV/0!</v>
      </c>
      <c r="X137" s="261"/>
      <c r="Y137" s="261"/>
      <c r="Z137" s="261"/>
      <c r="AA137" s="261"/>
      <c r="AB137" s="261"/>
      <c r="AC137" s="261"/>
      <c r="AD137" s="261"/>
      <c r="AE137" s="261"/>
    </row>
    <row r="138" spans="1:31" ht="18.2" customHeight="1">
      <c r="A138" s="259"/>
      <c r="B138" s="114" t="s">
        <v>147</v>
      </c>
      <c r="C138" s="115"/>
      <c r="D138" s="116"/>
      <c r="E138" s="172">
        <v>0</v>
      </c>
      <c r="F138" s="173"/>
      <c r="G138" s="174">
        <v>0</v>
      </c>
      <c r="H138" s="175"/>
      <c r="I138" s="117">
        <v>0</v>
      </c>
      <c r="J138" s="261">
        <v>13000</v>
      </c>
      <c r="K138" s="261">
        <v>38490</v>
      </c>
      <c r="L138" s="261">
        <v>13341</v>
      </c>
      <c r="M138" s="261">
        <v>3000</v>
      </c>
      <c r="N138" s="261">
        <v>750</v>
      </c>
      <c r="O138" s="261">
        <v>300</v>
      </c>
      <c r="P138" s="261">
        <v>750</v>
      </c>
      <c r="Q138" s="261">
        <v>0</v>
      </c>
      <c r="R138" s="119">
        <f>SUM(J138:Q138)</f>
        <v>69631</v>
      </c>
      <c r="S138" s="120">
        <f>I138-R138</f>
        <v>-69631</v>
      </c>
      <c r="T138" s="121">
        <f>G138-I138</f>
        <v>0</v>
      </c>
      <c r="U138" s="122">
        <v>0</v>
      </c>
      <c r="V138" s="123" t="e">
        <f t="shared" si="2"/>
        <v>#DIV/0!</v>
      </c>
      <c r="X138" s="261"/>
      <c r="Y138" s="261"/>
      <c r="Z138" s="261"/>
      <c r="AA138" s="261"/>
      <c r="AB138" s="261"/>
      <c r="AC138" s="261"/>
      <c r="AD138" s="261"/>
      <c r="AE138" s="261"/>
    </row>
    <row r="139" spans="1:31" ht="18.2" customHeight="1">
      <c r="A139" s="259"/>
      <c r="B139" s="114" t="s">
        <v>63</v>
      </c>
      <c r="C139" s="115"/>
      <c r="D139" s="116"/>
      <c r="E139" s="172">
        <v>0</v>
      </c>
      <c r="F139" s="173"/>
      <c r="G139" s="174">
        <v>0</v>
      </c>
      <c r="H139" s="175"/>
      <c r="I139" s="117">
        <v>0</v>
      </c>
      <c r="J139" s="261">
        <v>0</v>
      </c>
      <c r="K139" s="261">
        <v>986469</v>
      </c>
      <c r="L139" s="261">
        <v>92273</v>
      </c>
      <c r="M139" s="261">
        <v>368121</v>
      </c>
      <c r="N139" s="261">
        <v>10821</v>
      </c>
      <c r="O139" s="261">
        <v>24039</v>
      </c>
      <c r="P139" s="261">
        <v>18928</v>
      </c>
      <c r="Q139" s="261">
        <v>0</v>
      </c>
      <c r="R139" s="119">
        <f>SUM(J139:Q139)</f>
        <v>1500651</v>
      </c>
      <c r="S139" s="120">
        <f>I139-R139</f>
        <v>-1500651</v>
      </c>
      <c r="T139" s="121">
        <f>G139-I139</f>
        <v>0</v>
      </c>
      <c r="U139" s="122">
        <v>0</v>
      </c>
      <c r="V139" s="123" t="e">
        <f t="shared" si="2"/>
        <v>#DIV/0!</v>
      </c>
      <c r="X139" s="261"/>
      <c r="Y139" s="261"/>
      <c r="Z139" s="261"/>
      <c r="AA139" s="261"/>
      <c r="AB139" s="261"/>
      <c r="AC139" s="261"/>
      <c r="AD139" s="261"/>
      <c r="AE139" s="261"/>
    </row>
    <row r="140" spans="1:31" ht="18.2" customHeight="1">
      <c r="A140" s="259"/>
      <c r="B140" s="114" t="s">
        <v>63</v>
      </c>
      <c r="C140" s="115"/>
      <c r="D140" s="116"/>
      <c r="E140" s="172">
        <v>0</v>
      </c>
      <c r="F140" s="173"/>
      <c r="G140" s="174">
        <v>0</v>
      </c>
      <c r="H140" s="175"/>
      <c r="I140" s="117">
        <v>0</v>
      </c>
      <c r="J140" s="261">
        <v>0</v>
      </c>
      <c r="K140" s="261">
        <v>684415</v>
      </c>
      <c r="L140" s="261">
        <v>0</v>
      </c>
      <c r="M140" s="261">
        <v>0</v>
      </c>
      <c r="N140" s="261">
        <v>0</v>
      </c>
      <c r="O140" s="261">
        <v>0</v>
      </c>
      <c r="P140" s="261">
        <v>0</v>
      </c>
      <c r="Q140" s="261">
        <v>0</v>
      </c>
      <c r="R140" s="119">
        <f>SUM(J140:Q140)</f>
        <v>684415</v>
      </c>
      <c r="S140" s="120">
        <f>I140-R140</f>
        <v>-684415</v>
      </c>
      <c r="T140" s="121">
        <f>G140-I140</f>
        <v>0</v>
      </c>
      <c r="U140" s="122">
        <v>0</v>
      </c>
      <c r="V140" s="123" t="e">
        <f t="shared" si="2"/>
        <v>#DIV/0!</v>
      </c>
      <c r="X140" s="261"/>
      <c r="Y140" s="261"/>
      <c r="Z140" s="261"/>
      <c r="AA140" s="261"/>
      <c r="AB140" s="261"/>
      <c r="AC140" s="261"/>
      <c r="AD140" s="261"/>
      <c r="AE140" s="261"/>
    </row>
    <row r="141" spans="1:31" ht="18.2" customHeight="1">
      <c r="A141" s="259"/>
      <c r="B141" s="114" t="s">
        <v>148</v>
      </c>
      <c r="C141" s="115"/>
      <c r="D141" s="116"/>
      <c r="E141" s="172">
        <v>0</v>
      </c>
      <c r="F141" s="173"/>
      <c r="G141" s="174">
        <v>0</v>
      </c>
      <c r="H141" s="175"/>
      <c r="I141" s="117">
        <v>0</v>
      </c>
      <c r="J141" s="261">
        <v>0</v>
      </c>
      <c r="K141" s="261">
        <v>4983</v>
      </c>
      <c r="L141" s="261">
        <v>1391</v>
      </c>
      <c r="M141" s="261">
        <v>0</v>
      </c>
      <c r="N141" s="261">
        <v>364</v>
      </c>
      <c r="O141" s="261">
        <v>182</v>
      </c>
      <c r="P141" s="261">
        <v>1182</v>
      </c>
      <c r="Q141" s="261">
        <v>0</v>
      </c>
      <c r="R141" s="119">
        <f>SUM(J141:Q141)</f>
        <v>8102</v>
      </c>
      <c r="S141" s="120">
        <f>I141-R141</f>
        <v>-8102</v>
      </c>
      <c r="T141" s="121">
        <f>G141-I141</f>
        <v>0</v>
      </c>
      <c r="U141" s="122">
        <v>0</v>
      </c>
      <c r="V141" s="123" t="e">
        <f t="shared" si="2"/>
        <v>#DIV/0!</v>
      </c>
      <c r="X141" s="261"/>
      <c r="Y141" s="261"/>
      <c r="Z141" s="261"/>
      <c r="AA141" s="261"/>
      <c r="AB141" s="261"/>
      <c r="AC141" s="261"/>
      <c r="AD141" s="261"/>
      <c r="AE141" s="261"/>
    </row>
    <row r="142" spans="1:31" ht="18.2" customHeight="1">
      <c r="A142" s="259"/>
      <c r="B142" s="114"/>
      <c r="C142" s="115"/>
      <c r="D142" s="116"/>
      <c r="E142" s="172">
        <v>22480000</v>
      </c>
      <c r="F142" s="173"/>
      <c r="G142" s="174">
        <v>2680000</v>
      </c>
      <c r="H142" s="175"/>
      <c r="I142" s="117">
        <v>2249920</v>
      </c>
      <c r="J142" s="261">
        <v>0</v>
      </c>
      <c r="K142" s="261">
        <v>0</v>
      </c>
      <c r="L142" s="261">
        <v>0</v>
      </c>
      <c r="M142" s="261">
        <v>0</v>
      </c>
      <c r="N142" s="261">
        <v>0</v>
      </c>
      <c r="O142" s="261">
        <v>0</v>
      </c>
      <c r="P142" s="261">
        <v>0</v>
      </c>
      <c r="Q142" s="261">
        <v>0</v>
      </c>
      <c r="R142" s="119">
        <f>SUM(J142:Q142)</f>
        <v>0</v>
      </c>
      <c r="S142" s="120">
        <f>I142-R142</f>
        <v>2249920</v>
      </c>
      <c r="T142" s="121">
        <f>G142-I142</f>
        <v>430080</v>
      </c>
      <c r="U142" s="122">
        <v>0</v>
      </c>
      <c r="V142" s="123" t="e">
        <f t="shared" si="2"/>
        <v>#DIV/0!</v>
      </c>
      <c r="X142" s="261"/>
      <c r="Y142" s="261"/>
      <c r="Z142" s="261"/>
      <c r="AA142" s="261"/>
      <c r="AB142" s="261"/>
      <c r="AC142" s="261"/>
      <c r="AD142" s="261"/>
      <c r="AE142" s="261"/>
    </row>
    <row r="143" spans="1:31" ht="18.2" customHeight="1">
      <c r="A143" s="259"/>
      <c r="B143" s="114"/>
      <c r="C143" s="115"/>
      <c r="D143" s="116"/>
      <c r="E143" s="172">
        <v>0</v>
      </c>
      <c r="F143" s="173"/>
      <c r="G143" s="174">
        <v>0</v>
      </c>
      <c r="H143" s="175"/>
      <c r="I143" s="117">
        <v>0</v>
      </c>
      <c r="J143" s="261">
        <v>0</v>
      </c>
      <c r="K143" s="261">
        <v>0</v>
      </c>
      <c r="L143" s="261">
        <v>0</v>
      </c>
      <c r="M143" s="261">
        <v>0</v>
      </c>
      <c r="N143" s="261">
        <v>0</v>
      </c>
      <c r="O143" s="261">
        <v>0</v>
      </c>
      <c r="P143" s="261">
        <v>0</v>
      </c>
      <c r="Q143" s="261">
        <v>0</v>
      </c>
      <c r="R143" s="119">
        <f>SUM(J143:Q143)</f>
        <v>0</v>
      </c>
      <c r="S143" s="120">
        <f>I143-R143</f>
        <v>0</v>
      </c>
      <c r="T143" s="121">
        <f>G143-I143</f>
        <v>0</v>
      </c>
      <c r="U143" s="122">
        <v>0</v>
      </c>
      <c r="V143" s="123" t="e">
        <f t="shared" si="2"/>
        <v>#DIV/0!</v>
      </c>
      <c r="X143" s="261"/>
      <c r="Y143" s="261"/>
      <c r="Z143" s="261"/>
      <c r="AA143" s="261"/>
      <c r="AB143" s="261"/>
      <c r="AC143" s="261"/>
      <c r="AD143" s="261"/>
      <c r="AE143" s="261"/>
    </row>
    <row r="144" spans="1:31" ht="18.2" customHeight="1">
      <c r="A144" s="260"/>
      <c r="B144" s="124"/>
      <c r="C144" s="125"/>
      <c r="D144" s="126"/>
      <c r="E144" s="163">
        <v>1680000</v>
      </c>
      <c r="F144" s="164"/>
      <c r="G144" s="165">
        <v>1747000</v>
      </c>
      <c r="H144" s="166"/>
      <c r="I144" s="127">
        <v>1747000</v>
      </c>
      <c r="J144" s="262">
        <v>0</v>
      </c>
      <c r="K144" s="262">
        <v>0</v>
      </c>
      <c r="L144" s="262">
        <v>0</v>
      </c>
      <c r="M144" s="262">
        <v>0</v>
      </c>
      <c r="N144" s="262">
        <v>0</v>
      </c>
      <c r="O144" s="262">
        <v>0</v>
      </c>
      <c r="P144" s="262">
        <v>0</v>
      </c>
      <c r="Q144" s="262">
        <v>0</v>
      </c>
      <c r="R144" s="129">
        <f>SUM(J144:Q144)</f>
        <v>0</v>
      </c>
      <c r="S144" s="130">
        <f>I144-R144</f>
        <v>1747000</v>
      </c>
      <c r="T144" s="131">
        <f>G144-I144</f>
        <v>0</v>
      </c>
      <c r="U144" s="132">
        <v>0</v>
      </c>
      <c r="V144" s="133" t="e">
        <f>R144/U144</f>
        <v>#DIV/0!</v>
      </c>
      <c r="X144" s="262"/>
      <c r="Y144" s="262"/>
      <c r="Z144" s="262"/>
      <c r="AA144" s="262"/>
      <c r="AB144" s="262"/>
      <c r="AC144" s="262"/>
      <c r="AD144" s="262"/>
      <c r="AE144" s="262"/>
    </row>
    <row r="145" spans="1:22" ht="18.95" customHeight="1" thickBot="1">
      <c r="A145" s="113"/>
      <c r="B145" s="78" t="s">
        <v>34</v>
      </c>
      <c r="C145" s="79"/>
      <c r="D145" s="151"/>
      <c r="E145" s="180">
        <f>SUM(E133:F144)</f>
        <v>24160000</v>
      </c>
      <c r="F145" s="181"/>
      <c r="G145" s="182">
        <f>SUM(G133:H144)</f>
        <v>8427000</v>
      </c>
      <c r="H145" s="181"/>
      <c r="I145" s="135">
        <f>SUM(I133:I144)</f>
        <v>7996920</v>
      </c>
      <c r="J145" s="30"/>
      <c r="K145" s="30"/>
      <c r="L145" s="30"/>
      <c r="M145" s="30"/>
      <c r="N145" s="30"/>
      <c r="O145" s="30"/>
      <c r="P145" s="30"/>
      <c r="Q145" s="30"/>
      <c r="R145" s="32">
        <f>SUM(R133:R144)</f>
        <v>5158332</v>
      </c>
      <c r="S145" s="32">
        <f>SUM(S133:S144)</f>
        <v>2838588</v>
      </c>
      <c r="T145" s="33">
        <f>SUM(T133:T144)</f>
        <v>430080</v>
      </c>
      <c r="U145" s="136">
        <f>SUM(U133:U144)</f>
        <v>43</v>
      </c>
      <c r="V145" s="34"/>
    </row>
    <row r="146" spans="1:22" ht="18.2" customHeight="1" thickTop="1">
      <c r="A146" s="52"/>
      <c r="B146" s="176" t="s">
        <v>18</v>
      </c>
      <c r="C146" s="177"/>
      <c r="D146" s="134"/>
      <c r="E146" s="178">
        <f>SUM(E123,E128,E145)</f>
        <v>94039585</v>
      </c>
      <c r="F146" s="179"/>
      <c r="G146" s="178">
        <f>SUM(G123,G128,G145)</f>
        <v>80697590</v>
      </c>
      <c r="H146" s="179"/>
      <c r="I146" s="53">
        <f>SUM(I145,I128,I123)</f>
        <v>87722320</v>
      </c>
      <c r="J146" s="54">
        <f>SUM(J7:J144)</f>
        <v>212000</v>
      </c>
      <c r="K146" s="54">
        <f>SUM(K7:K144)</f>
        <v>2426476</v>
      </c>
      <c r="L146" s="54">
        <f>SUM(L7:L144)</f>
        <v>14020616</v>
      </c>
      <c r="M146" s="54">
        <f>SUM(M7:M144)</f>
        <v>15277236</v>
      </c>
      <c r="N146" s="54">
        <f>SUM(N7:N144)</f>
        <v>13689144</v>
      </c>
      <c r="O146" s="54">
        <f>SUM(O7:O144)</f>
        <v>15715616</v>
      </c>
      <c r="P146" s="54">
        <f>SUM(P7:P144)</f>
        <v>-744539</v>
      </c>
      <c r="Q146" s="54">
        <f>SUM(Q7:Q144)</f>
        <v>0</v>
      </c>
      <c r="R146" s="54">
        <f>SUM(J146:Q146)</f>
        <v>60596549</v>
      </c>
      <c r="S146" s="55">
        <f>I146-R146</f>
        <v>27125771</v>
      </c>
      <c r="T146" s="56">
        <f>SUM(T145,T130)</f>
        <v>-7024730</v>
      </c>
      <c r="U146" s="57">
        <f>SUM(U145,U130)</f>
        <v>564</v>
      </c>
      <c r="V146" s="58"/>
    </row>
    <row r="147" spans="1:22" ht="25.5" customHeight="1">
      <c r="A147" s="59"/>
      <c r="B147" s="59"/>
      <c r="C147" s="59"/>
      <c r="D147" s="59"/>
      <c r="E147" s="59"/>
      <c r="F147" s="60"/>
      <c r="G147" s="59"/>
      <c r="H147" s="60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2"/>
      <c r="T147" s="59"/>
      <c r="U147" s="59"/>
    </row>
    <row r="148" spans="1:22" ht="6" customHeight="1"/>
    <row r="149" spans="1:22" ht="18" customHeight="1">
      <c r="A149" s="13" t="s">
        <v>19</v>
      </c>
    </row>
    <row r="150" spans="1:22" ht="18" customHeight="1">
      <c r="A150" s="167" t="s">
        <v>20</v>
      </c>
      <c r="B150" s="167"/>
      <c r="C150" s="167"/>
      <c r="D150" s="167"/>
      <c r="E150" s="167"/>
      <c r="F150" s="167"/>
      <c r="G150" s="167"/>
      <c r="H150" s="167"/>
      <c r="I150" s="167"/>
      <c r="J150" s="167"/>
      <c r="K150" s="167"/>
      <c r="L150" s="167"/>
      <c r="M150" s="167"/>
      <c r="N150" s="167"/>
      <c r="O150" s="167"/>
      <c r="P150" s="167"/>
      <c r="Q150" s="167"/>
    </row>
    <row r="151" spans="1:22" ht="18" customHeight="1">
      <c r="A151" s="167" t="s">
        <v>21</v>
      </c>
      <c r="B151" s="167"/>
      <c r="C151" s="167"/>
      <c r="D151" s="167"/>
      <c r="E151" s="167"/>
      <c r="F151" s="167"/>
    </row>
    <row r="152" spans="1:22" ht="18" customHeight="1">
      <c r="A152" s="167" t="s">
        <v>22</v>
      </c>
      <c r="B152" s="167"/>
      <c r="C152" s="167"/>
      <c r="D152" s="167"/>
      <c r="E152" s="167"/>
      <c r="F152" s="167"/>
    </row>
  </sheetData>
  <mergeCells count="319">
    <mergeCell ref="A115:A117"/>
    <mergeCell ref="A118:A122"/>
    <mergeCell ref="A71:A81"/>
    <mergeCell ref="A82:A84"/>
    <mergeCell ref="A85:A93"/>
    <mergeCell ref="A94:A99"/>
    <mergeCell ref="A100:A102"/>
    <mergeCell ref="A103:A114"/>
    <mergeCell ref="A7:A30"/>
    <mergeCell ref="A31:A37"/>
    <mergeCell ref="A38:A42"/>
    <mergeCell ref="A43:A58"/>
    <mergeCell ref="A59:A63"/>
    <mergeCell ref="A64:A70"/>
    <mergeCell ref="E141:F141"/>
    <mergeCell ref="G141:H141"/>
    <mergeCell ref="E142:F142"/>
    <mergeCell ref="G142:H142"/>
    <mergeCell ref="E143:F143"/>
    <mergeCell ref="G143:H143"/>
    <mergeCell ref="G137:H137"/>
    <mergeCell ref="E138:F138"/>
    <mergeCell ref="G138:H138"/>
    <mergeCell ref="E139:F139"/>
    <mergeCell ref="G139:H139"/>
    <mergeCell ref="E140:F140"/>
    <mergeCell ref="G140:H140"/>
    <mergeCell ref="J1:N1"/>
    <mergeCell ref="J2:N2"/>
    <mergeCell ref="J3:N3"/>
    <mergeCell ref="E134:F134"/>
    <mergeCell ref="G134:H134"/>
    <mergeCell ref="E135:F135"/>
    <mergeCell ref="G135:H135"/>
    <mergeCell ref="E120:F120"/>
    <mergeCell ref="G120:H120"/>
    <mergeCell ref="E121:F121"/>
    <mergeCell ref="G121:H121"/>
    <mergeCell ref="E122:F122"/>
    <mergeCell ref="G122:H122"/>
    <mergeCell ref="E117:F117"/>
    <mergeCell ref="G117:H117"/>
    <mergeCell ref="E118:F118"/>
    <mergeCell ref="G118:H118"/>
    <mergeCell ref="E119:F119"/>
    <mergeCell ref="G119:H119"/>
    <mergeCell ref="E114:F114"/>
    <mergeCell ref="G114:H114"/>
    <mergeCell ref="E115:F115"/>
    <mergeCell ref="G115:H115"/>
    <mergeCell ref="E116:F116"/>
    <mergeCell ref="G116:H116"/>
    <mergeCell ref="E111:F111"/>
    <mergeCell ref="G111:H111"/>
    <mergeCell ref="E112:F112"/>
    <mergeCell ref="G112:H112"/>
    <mergeCell ref="E113:F113"/>
    <mergeCell ref="G113:H113"/>
    <mergeCell ref="E108:F108"/>
    <mergeCell ref="G108:H108"/>
    <mergeCell ref="E109:F109"/>
    <mergeCell ref="G109:H109"/>
    <mergeCell ref="E110:F110"/>
    <mergeCell ref="G110:H110"/>
    <mergeCell ref="E105:F105"/>
    <mergeCell ref="G105:H105"/>
    <mergeCell ref="E106:F106"/>
    <mergeCell ref="G106:H106"/>
    <mergeCell ref="E107:F107"/>
    <mergeCell ref="G107:H107"/>
    <mergeCell ref="E102:F102"/>
    <mergeCell ref="G102:H102"/>
    <mergeCell ref="E103:F103"/>
    <mergeCell ref="G103:H103"/>
    <mergeCell ref="E104:F104"/>
    <mergeCell ref="G104:H104"/>
    <mergeCell ref="E99:F99"/>
    <mergeCell ref="G99:H99"/>
    <mergeCell ref="E100:F100"/>
    <mergeCell ref="G100:H100"/>
    <mergeCell ref="E101:F101"/>
    <mergeCell ref="G101:H101"/>
    <mergeCell ref="E96:F96"/>
    <mergeCell ref="G96:H96"/>
    <mergeCell ref="E97:F97"/>
    <mergeCell ref="G97:H97"/>
    <mergeCell ref="E98:F98"/>
    <mergeCell ref="G98:H98"/>
    <mergeCell ref="E93:F93"/>
    <mergeCell ref="G93:H93"/>
    <mergeCell ref="E94:F94"/>
    <mergeCell ref="G94:H94"/>
    <mergeCell ref="E95:F95"/>
    <mergeCell ref="G95:H95"/>
    <mergeCell ref="E90:F90"/>
    <mergeCell ref="G90:H90"/>
    <mergeCell ref="E91:F91"/>
    <mergeCell ref="G91:H91"/>
    <mergeCell ref="E92:F92"/>
    <mergeCell ref="G92:H92"/>
    <mergeCell ref="E87:F87"/>
    <mergeCell ref="G87:H87"/>
    <mergeCell ref="E88:F88"/>
    <mergeCell ref="G88:H88"/>
    <mergeCell ref="E89:F89"/>
    <mergeCell ref="G89:H89"/>
    <mergeCell ref="E84:F84"/>
    <mergeCell ref="G84:H84"/>
    <mergeCell ref="E85:F85"/>
    <mergeCell ref="G85:H85"/>
    <mergeCell ref="E86:F86"/>
    <mergeCell ref="G86:H86"/>
    <mergeCell ref="E81:F81"/>
    <mergeCell ref="G81:H81"/>
    <mergeCell ref="E82:F82"/>
    <mergeCell ref="G82:H82"/>
    <mergeCell ref="E83:F83"/>
    <mergeCell ref="G83:H83"/>
    <mergeCell ref="E78:F78"/>
    <mergeCell ref="G78:H78"/>
    <mergeCell ref="E79:F79"/>
    <mergeCell ref="G79:H79"/>
    <mergeCell ref="E80:F80"/>
    <mergeCell ref="G80:H80"/>
    <mergeCell ref="E75:F75"/>
    <mergeCell ref="G75:H75"/>
    <mergeCell ref="E76:F76"/>
    <mergeCell ref="G76:H76"/>
    <mergeCell ref="E77:F77"/>
    <mergeCell ref="G77:H77"/>
    <mergeCell ref="E72:F72"/>
    <mergeCell ref="G72:H72"/>
    <mergeCell ref="E73:F73"/>
    <mergeCell ref="G73:H73"/>
    <mergeCell ref="E74:F74"/>
    <mergeCell ref="G74:H74"/>
    <mergeCell ref="E69:F69"/>
    <mergeCell ref="G69:H69"/>
    <mergeCell ref="E70:F70"/>
    <mergeCell ref="G70:H70"/>
    <mergeCell ref="E71:F71"/>
    <mergeCell ref="G71:H71"/>
    <mergeCell ref="E66:F66"/>
    <mergeCell ref="G66:H66"/>
    <mergeCell ref="E67:F67"/>
    <mergeCell ref="G67:H67"/>
    <mergeCell ref="E68:F68"/>
    <mergeCell ref="G68:H68"/>
    <mergeCell ref="E63:F63"/>
    <mergeCell ref="G63:H63"/>
    <mergeCell ref="E64:F64"/>
    <mergeCell ref="G64:H64"/>
    <mergeCell ref="E65:F65"/>
    <mergeCell ref="G65:H65"/>
    <mergeCell ref="E60:F60"/>
    <mergeCell ref="G60:H60"/>
    <mergeCell ref="E61:F61"/>
    <mergeCell ref="G61:H61"/>
    <mergeCell ref="E62:F62"/>
    <mergeCell ref="G62:H62"/>
    <mergeCell ref="E57:F57"/>
    <mergeCell ref="G57:H57"/>
    <mergeCell ref="E58:F58"/>
    <mergeCell ref="G58:H58"/>
    <mergeCell ref="E59:F59"/>
    <mergeCell ref="G59:H59"/>
    <mergeCell ref="E54:F54"/>
    <mergeCell ref="G54:H54"/>
    <mergeCell ref="E55:F55"/>
    <mergeCell ref="G55:H55"/>
    <mergeCell ref="E56:F56"/>
    <mergeCell ref="G56:H56"/>
    <mergeCell ref="E51:F51"/>
    <mergeCell ref="G51:H51"/>
    <mergeCell ref="E52:F52"/>
    <mergeCell ref="G52:H52"/>
    <mergeCell ref="E53:F53"/>
    <mergeCell ref="G53:H53"/>
    <mergeCell ref="E48:F48"/>
    <mergeCell ref="G48:H48"/>
    <mergeCell ref="E49:F49"/>
    <mergeCell ref="G49:H49"/>
    <mergeCell ref="E50:F50"/>
    <mergeCell ref="G50:H50"/>
    <mergeCell ref="E45:F45"/>
    <mergeCell ref="G45:H45"/>
    <mergeCell ref="E46:F46"/>
    <mergeCell ref="G46:H46"/>
    <mergeCell ref="E47:F47"/>
    <mergeCell ref="G47:H47"/>
    <mergeCell ref="E42:F42"/>
    <mergeCell ref="G42:H42"/>
    <mergeCell ref="E43:F43"/>
    <mergeCell ref="G43:H43"/>
    <mergeCell ref="E44:F44"/>
    <mergeCell ref="G44:H44"/>
    <mergeCell ref="E39:F39"/>
    <mergeCell ref="G39:H39"/>
    <mergeCell ref="E40:F40"/>
    <mergeCell ref="G40:H40"/>
    <mergeCell ref="E41:F41"/>
    <mergeCell ref="G41:H41"/>
    <mergeCell ref="E36:F36"/>
    <mergeCell ref="G36:H36"/>
    <mergeCell ref="E37:F37"/>
    <mergeCell ref="G37:H37"/>
    <mergeCell ref="E38:F38"/>
    <mergeCell ref="G38:H38"/>
    <mergeCell ref="E33:F33"/>
    <mergeCell ref="G33:H33"/>
    <mergeCell ref="E34:F34"/>
    <mergeCell ref="G34:H34"/>
    <mergeCell ref="E35:F35"/>
    <mergeCell ref="G35:H35"/>
    <mergeCell ref="E30:F30"/>
    <mergeCell ref="G30:H30"/>
    <mergeCell ref="E31:F31"/>
    <mergeCell ref="G31:H31"/>
    <mergeCell ref="E32:F32"/>
    <mergeCell ref="G32:H32"/>
    <mergeCell ref="E27:F27"/>
    <mergeCell ref="G27:H27"/>
    <mergeCell ref="E28:F28"/>
    <mergeCell ref="G28:H28"/>
    <mergeCell ref="E29:F29"/>
    <mergeCell ref="G29:H29"/>
    <mergeCell ref="E24:F24"/>
    <mergeCell ref="G24:H24"/>
    <mergeCell ref="E25:F25"/>
    <mergeCell ref="G25:H25"/>
    <mergeCell ref="E26:F26"/>
    <mergeCell ref="G26:H26"/>
    <mergeCell ref="E21:F21"/>
    <mergeCell ref="G21:H21"/>
    <mergeCell ref="E22:F22"/>
    <mergeCell ref="G22:H22"/>
    <mergeCell ref="E23:F23"/>
    <mergeCell ref="G23:H23"/>
    <mergeCell ref="E18:F18"/>
    <mergeCell ref="G18:H18"/>
    <mergeCell ref="E19:F19"/>
    <mergeCell ref="G19:H19"/>
    <mergeCell ref="E20:F20"/>
    <mergeCell ref="G20:H20"/>
    <mergeCell ref="E15:F15"/>
    <mergeCell ref="G15:H15"/>
    <mergeCell ref="E16:F16"/>
    <mergeCell ref="G16:H16"/>
    <mergeCell ref="E17:F17"/>
    <mergeCell ref="G17:H17"/>
    <mergeCell ref="E12:F12"/>
    <mergeCell ref="G12:H12"/>
    <mergeCell ref="E13:F13"/>
    <mergeCell ref="G13:H13"/>
    <mergeCell ref="E14:F14"/>
    <mergeCell ref="G14:H14"/>
    <mergeCell ref="A151:F151"/>
    <mergeCell ref="A152:F152"/>
    <mergeCell ref="E8:F8"/>
    <mergeCell ref="G8:H8"/>
    <mergeCell ref="E9:F9"/>
    <mergeCell ref="G9:H9"/>
    <mergeCell ref="E10:F10"/>
    <mergeCell ref="G10:H10"/>
    <mergeCell ref="E11:F11"/>
    <mergeCell ref="G11:H11"/>
    <mergeCell ref="E145:F145"/>
    <mergeCell ref="G145:H145"/>
    <mergeCell ref="B146:C146"/>
    <mergeCell ref="E146:F146"/>
    <mergeCell ref="G146:H146"/>
    <mergeCell ref="A150:Q150"/>
    <mergeCell ref="E130:F130"/>
    <mergeCell ref="G130:H130"/>
    <mergeCell ref="A133:A144"/>
    <mergeCell ref="E133:F133"/>
    <mergeCell ref="G133:H133"/>
    <mergeCell ref="E144:F144"/>
    <mergeCell ref="G144:H144"/>
    <mergeCell ref="E136:F136"/>
    <mergeCell ref="G136:H136"/>
    <mergeCell ref="E137:F137"/>
    <mergeCell ref="E126:F126"/>
    <mergeCell ref="G126:H126"/>
    <mergeCell ref="E127:F127"/>
    <mergeCell ref="G127:H127"/>
    <mergeCell ref="E128:F128"/>
    <mergeCell ref="G128:H128"/>
    <mergeCell ref="E123:F123"/>
    <mergeCell ref="G123:H123"/>
    <mergeCell ref="A124:V124"/>
    <mergeCell ref="E125:F125"/>
    <mergeCell ref="G125:H125"/>
    <mergeCell ref="R5:R6"/>
    <mergeCell ref="S5:S6"/>
    <mergeCell ref="T5:T6"/>
    <mergeCell ref="U5:U6"/>
    <mergeCell ref="V5:V6"/>
    <mergeCell ref="E7:F7"/>
    <mergeCell ref="G7:H7"/>
    <mergeCell ref="A5:B6"/>
    <mergeCell ref="C5:C6"/>
    <mergeCell ref="D5:D6"/>
    <mergeCell ref="E5:F6"/>
    <mergeCell ref="G5:H6"/>
    <mergeCell ref="I5:I6"/>
    <mergeCell ref="A3:B3"/>
    <mergeCell ref="C3:H3"/>
    <mergeCell ref="A4:B4"/>
    <mergeCell ref="C4:F4"/>
    <mergeCell ref="G4:H4"/>
    <mergeCell ref="J4:Q4"/>
    <mergeCell ref="A1:B1"/>
    <mergeCell ref="C1:H1"/>
    <mergeCell ref="R1:S4"/>
    <mergeCell ref="T1:V1"/>
    <mergeCell ref="A2:B2"/>
    <mergeCell ref="C2:H2"/>
    <mergeCell ref="T2:V4"/>
  </mergeCells>
  <phoneticPr fontId="2"/>
  <pageMargins left="0.7" right="0.7" top="0.75" bottom="0.75" header="0.3" footer="0.3"/>
  <pageSetup paperSize="9" scale="43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16719-4AFD-4281-9553-20C9288EC810}">
  <sheetPr codeName="Sheet9"/>
  <dimension ref="A1:AE147"/>
  <sheetViews>
    <sheetView view="pageBreakPreview" zoomScaleNormal="100" zoomScaleSheetLayoutView="100" workbookViewId="0">
      <pane xSplit="2" ySplit="6" topLeftCell="C120" activePane="bottomRight" state="frozen"/>
      <selection pane="topRight" activeCell="C1" sqref="C1"/>
      <selection pane="bottomLeft" activeCell="A9" sqref="A9"/>
      <selection pane="bottomRight" activeCell="B137" sqref="B137:H139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63" customWidth="1"/>
    <col min="7" max="7" width="7.625" style="13" customWidth="1"/>
    <col min="8" max="8" width="7.625" style="63" customWidth="1"/>
    <col min="9" max="9" width="15.375" style="64" customWidth="1"/>
    <col min="10" max="18" width="8.625" style="64" customWidth="1"/>
    <col min="19" max="19" width="8.625" style="65" customWidth="1"/>
    <col min="20" max="20" width="11.125" style="13" customWidth="1"/>
    <col min="21" max="21" width="8.625" style="13" customWidth="1"/>
    <col min="22" max="22" width="8.625" style="7" customWidth="1"/>
    <col min="23" max="260" width="9" style="7"/>
    <col min="261" max="261" width="8.625" style="7" customWidth="1"/>
    <col min="262" max="262" width="19.625" style="7" customWidth="1"/>
    <col min="263" max="263" width="8.625" style="7" customWidth="1"/>
    <col min="264" max="265" width="7.625" style="7" customWidth="1"/>
    <col min="266" max="266" width="11.125" style="7" customWidth="1"/>
    <col min="267" max="275" width="8.625" style="7" customWidth="1"/>
    <col min="276" max="276" width="11.125" style="7" customWidth="1"/>
    <col min="277" max="278" width="8.625" style="7" customWidth="1"/>
    <col min="279" max="516" width="9" style="7"/>
    <col min="517" max="517" width="8.625" style="7" customWidth="1"/>
    <col min="518" max="518" width="19.625" style="7" customWidth="1"/>
    <col min="519" max="519" width="8.625" style="7" customWidth="1"/>
    <col min="520" max="521" width="7.625" style="7" customWidth="1"/>
    <col min="522" max="522" width="11.125" style="7" customWidth="1"/>
    <col min="523" max="531" width="8.625" style="7" customWidth="1"/>
    <col min="532" max="532" width="11.125" style="7" customWidth="1"/>
    <col min="533" max="534" width="8.625" style="7" customWidth="1"/>
    <col min="535" max="772" width="9" style="7"/>
    <col min="773" max="773" width="8.625" style="7" customWidth="1"/>
    <col min="774" max="774" width="19.625" style="7" customWidth="1"/>
    <col min="775" max="775" width="8.625" style="7" customWidth="1"/>
    <col min="776" max="777" width="7.625" style="7" customWidth="1"/>
    <col min="778" max="778" width="11.125" style="7" customWidth="1"/>
    <col min="779" max="787" width="8.625" style="7" customWidth="1"/>
    <col min="788" max="788" width="11.125" style="7" customWidth="1"/>
    <col min="789" max="790" width="8.625" style="7" customWidth="1"/>
    <col min="791" max="1028" width="9" style="7"/>
    <col min="1029" max="1029" width="8.625" style="7" customWidth="1"/>
    <col min="1030" max="1030" width="19.625" style="7" customWidth="1"/>
    <col min="1031" max="1031" width="8.625" style="7" customWidth="1"/>
    <col min="1032" max="1033" width="7.625" style="7" customWidth="1"/>
    <col min="1034" max="1034" width="11.125" style="7" customWidth="1"/>
    <col min="1035" max="1043" width="8.625" style="7" customWidth="1"/>
    <col min="1044" max="1044" width="11.125" style="7" customWidth="1"/>
    <col min="1045" max="1046" width="8.625" style="7" customWidth="1"/>
    <col min="1047" max="1284" width="9" style="7"/>
    <col min="1285" max="1285" width="8.625" style="7" customWidth="1"/>
    <col min="1286" max="1286" width="19.625" style="7" customWidth="1"/>
    <col min="1287" max="1287" width="8.625" style="7" customWidth="1"/>
    <col min="1288" max="1289" width="7.625" style="7" customWidth="1"/>
    <col min="1290" max="1290" width="11.125" style="7" customWidth="1"/>
    <col min="1291" max="1299" width="8.625" style="7" customWidth="1"/>
    <col min="1300" max="1300" width="11.125" style="7" customWidth="1"/>
    <col min="1301" max="1302" width="8.625" style="7" customWidth="1"/>
    <col min="1303" max="1540" width="9" style="7"/>
    <col min="1541" max="1541" width="8.625" style="7" customWidth="1"/>
    <col min="1542" max="1542" width="19.625" style="7" customWidth="1"/>
    <col min="1543" max="1543" width="8.625" style="7" customWidth="1"/>
    <col min="1544" max="1545" width="7.625" style="7" customWidth="1"/>
    <col min="1546" max="1546" width="11.125" style="7" customWidth="1"/>
    <col min="1547" max="1555" width="8.625" style="7" customWidth="1"/>
    <col min="1556" max="1556" width="11.125" style="7" customWidth="1"/>
    <col min="1557" max="1558" width="8.625" style="7" customWidth="1"/>
    <col min="1559" max="1796" width="9" style="7"/>
    <col min="1797" max="1797" width="8.625" style="7" customWidth="1"/>
    <col min="1798" max="1798" width="19.625" style="7" customWidth="1"/>
    <col min="1799" max="1799" width="8.625" style="7" customWidth="1"/>
    <col min="1800" max="1801" width="7.625" style="7" customWidth="1"/>
    <col min="1802" max="1802" width="11.125" style="7" customWidth="1"/>
    <col min="1803" max="1811" width="8.625" style="7" customWidth="1"/>
    <col min="1812" max="1812" width="11.125" style="7" customWidth="1"/>
    <col min="1813" max="1814" width="8.625" style="7" customWidth="1"/>
    <col min="1815" max="2052" width="9" style="7"/>
    <col min="2053" max="2053" width="8.625" style="7" customWidth="1"/>
    <col min="2054" max="2054" width="19.625" style="7" customWidth="1"/>
    <col min="2055" max="2055" width="8.625" style="7" customWidth="1"/>
    <col min="2056" max="2057" width="7.625" style="7" customWidth="1"/>
    <col min="2058" max="2058" width="11.125" style="7" customWidth="1"/>
    <col min="2059" max="2067" width="8.625" style="7" customWidth="1"/>
    <col min="2068" max="2068" width="11.125" style="7" customWidth="1"/>
    <col min="2069" max="2070" width="8.625" style="7" customWidth="1"/>
    <col min="2071" max="2308" width="9" style="7"/>
    <col min="2309" max="2309" width="8.625" style="7" customWidth="1"/>
    <col min="2310" max="2310" width="19.625" style="7" customWidth="1"/>
    <col min="2311" max="2311" width="8.625" style="7" customWidth="1"/>
    <col min="2312" max="2313" width="7.625" style="7" customWidth="1"/>
    <col min="2314" max="2314" width="11.125" style="7" customWidth="1"/>
    <col min="2315" max="2323" width="8.625" style="7" customWidth="1"/>
    <col min="2324" max="2324" width="11.125" style="7" customWidth="1"/>
    <col min="2325" max="2326" width="8.625" style="7" customWidth="1"/>
    <col min="2327" max="2564" width="9" style="7"/>
    <col min="2565" max="2565" width="8.625" style="7" customWidth="1"/>
    <col min="2566" max="2566" width="19.625" style="7" customWidth="1"/>
    <col min="2567" max="2567" width="8.625" style="7" customWidth="1"/>
    <col min="2568" max="2569" width="7.625" style="7" customWidth="1"/>
    <col min="2570" max="2570" width="11.125" style="7" customWidth="1"/>
    <col min="2571" max="2579" width="8.625" style="7" customWidth="1"/>
    <col min="2580" max="2580" width="11.125" style="7" customWidth="1"/>
    <col min="2581" max="2582" width="8.625" style="7" customWidth="1"/>
    <col min="2583" max="2820" width="9" style="7"/>
    <col min="2821" max="2821" width="8.625" style="7" customWidth="1"/>
    <col min="2822" max="2822" width="19.625" style="7" customWidth="1"/>
    <col min="2823" max="2823" width="8.625" style="7" customWidth="1"/>
    <col min="2824" max="2825" width="7.625" style="7" customWidth="1"/>
    <col min="2826" max="2826" width="11.125" style="7" customWidth="1"/>
    <col min="2827" max="2835" width="8.625" style="7" customWidth="1"/>
    <col min="2836" max="2836" width="11.125" style="7" customWidth="1"/>
    <col min="2837" max="2838" width="8.625" style="7" customWidth="1"/>
    <col min="2839" max="3076" width="9" style="7"/>
    <col min="3077" max="3077" width="8.625" style="7" customWidth="1"/>
    <col min="3078" max="3078" width="19.625" style="7" customWidth="1"/>
    <col min="3079" max="3079" width="8.625" style="7" customWidth="1"/>
    <col min="3080" max="3081" width="7.625" style="7" customWidth="1"/>
    <col min="3082" max="3082" width="11.125" style="7" customWidth="1"/>
    <col min="3083" max="3091" width="8.625" style="7" customWidth="1"/>
    <col min="3092" max="3092" width="11.125" style="7" customWidth="1"/>
    <col min="3093" max="3094" width="8.625" style="7" customWidth="1"/>
    <col min="3095" max="3332" width="9" style="7"/>
    <col min="3333" max="3333" width="8.625" style="7" customWidth="1"/>
    <col min="3334" max="3334" width="19.625" style="7" customWidth="1"/>
    <col min="3335" max="3335" width="8.625" style="7" customWidth="1"/>
    <col min="3336" max="3337" width="7.625" style="7" customWidth="1"/>
    <col min="3338" max="3338" width="11.125" style="7" customWidth="1"/>
    <col min="3339" max="3347" width="8.625" style="7" customWidth="1"/>
    <col min="3348" max="3348" width="11.125" style="7" customWidth="1"/>
    <col min="3349" max="3350" width="8.625" style="7" customWidth="1"/>
    <col min="3351" max="3588" width="9" style="7"/>
    <col min="3589" max="3589" width="8.625" style="7" customWidth="1"/>
    <col min="3590" max="3590" width="19.625" style="7" customWidth="1"/>
    <col min="3591" max="3591" width="8.625" style="7" customWidth="1"/>
    <col min="3592" max="3593" width="7.625" style="7" customWidth="1"/>
    <col min="3594" max="3594" width="11.125" style="7" customWidth="1"/>
    <col min="3595" max="3603" width="8.625" style="7" customWidth="1"/>
    <col min="3604" max="3604" width="11.125" style="7" customWidth="1"/>
    <col min="3605" max="3606" width="8.625" style="7" customWidth="1"/>
    <col min="3607" max="3844" width="9" style="7"/>
    <col min="3845" max="3845" width="8.625" style="7" customWidth="1"/>
    <col min="3846" max="3846" width="19.625" style="7" customWidth="1"/>
    <col min="3847" max="3847" width="8.625" style="7" customWidth="1"/>
    <col min="3848" max="3849" width="7.625" style="7" customWidth="1"/>
    <col min="3850" max="3850" width="11.125" style="7" customWidth="1"/>
    <col min="3851" max="3859" width="8.625" style="7" customWidth="1"/>
    <col min="3860" max="3860" width="11.125" style="7" customWidth="1"/>
    <col min="3861" max="3862" width="8.625" style="7" customWidth="1"/>
    <col min="3863" max="4100" width="9" style="7"/>
    <col min="4101" max="4101" width="8.625" style="7" customWidth="1"/>
    <col min="4102" max="4102" width="19.625" style="7" customWidth="1"/>
    <col min="4103" max="4103" width="8.625" style="7" customWidth="1"/>
    <col min="4104" max="4105" width="7.625" style="7" customWidth="1"/>
    <col min="4106" max="4106" width="11.125" style="7" customWidth="1"/>
    <col min="4107" max="4115" width="8.625" style="7" customWidth="1"/>
    <col min="4116" max="4116" width="11.125" style="7" customWidth="1"/>
    <col min="4117" max="4118" width="8.625" style="7" customWidth="1"/>
    <col min="4119" max="4356" width="9" style="7"/>
    <col min="4357" max="4357" width="8.625" style="7" customWidth="1"/>
    <col min="4358" max="4358" width="19.625" style="7" customWidth="1"/>
    <col min="4359" max="4359" width="8.625" style="7" customWidth="1"/>
    <col min="4360" max="4361" width="7.625" style="7" customWidth="1"/>
    <col min="4362" max="4362" width="11.125" style="7" customWidth="1"/>
    <col min="4363" max="4371" width="8.625" style="7" customWidth="1"/>
    <col min="4372" max="4372" width="11.125" style="7" customWidth="1"/>
    <col min="4373" max="4374" width="8.625" style="7" customWidth="1"/>
    <col min="4375" max="4612" width="9" style="7"/>
    <col min="4613" max="4613" width="8.625" style="7" customWidth="1"/>
    <col min="4614" max="4614" width="19.625" style="7" customWidth="1"/>
    <col min="4615" max="4615" width="8.625" style="7" customWidth="1"/>
    <col min="4616" max="4617" width="7.625" style="7" customWidth="1"/>
    <col min="4618" max="4618" width="11.125" style="7" customWidth="1"/>
    <col min="4619" max="4627" width="8.625" style="7" customWidth="1"/>
    <col min="4628" max="4628" width="11.125" style="7" customWidth="1"/>
    <col min="4629" max="4630" width="8.625" style="7" customWidth="1"/>
    <col min="4631" max="4868" width="9" style="7"/>
    <col min="4869" max="4869" width="8.625" style="7" customWidth="1"/>
    <col min="4870" max="4870" width="19.625" style="7" customWidth="1"/>
    <col min="4871" max="4871" width="8.625" style="7" customWidth="1"/>
    <col min="4872" max="4873" width="7.625" style="7" customWidth="1"/>
    <col min="4874" max="4874" width="11.125" style="7" customWidth="1"/>
    <col min="4875" max="4883" width="8.625" style="7" customWidth="1"/>
    <col min="4884" max="4884" width="11.125" style="7" customWidth="1"/>
    <col min="4885" max="4886" width="8.625" style="7" customWidth="1"/>
    <col min="4887" max="5124" width="9" style="7"/>
    <col min="5125" max="5125" width="8.625" style="7" customWidth="1"/>
    <col min="5126" max="5126" width="19.625" style="7" customWidth="1"/>
    <col min="5127" max="5127" width="8.625" style="7" customWidth="1"/>
    <col min="5128" max="5129" width="7.625" style="7" customWidth="1"/>
    <col min="5130" max="5130" width="11.125" style="7" customWidth="1"/>
    <col min="5131" max="5139" width="8.625" style="7" customWidth="1"/>
    <col min="5140" max="5140" width="11.125" style="7" customWidth="1"/>
    <col min="5141" max="5142" width="8.625" style="7" customWidth="1"/>
    <col min="5143" max="5380" width="9" style="7"/>
    <col min="5381" max="5381" width="8.625" style="7" customWidth="1"/>
    <col min="5382" max="5382" width="19.625" style="7" customWidth="1"/>
    <col min="5383" max="5383" width="8.625" style="7" customWidth="1"/>
    <col min="5384" max="5385" width="7.625" style="7" customWidth="1"/>
    <col min="5386" max="5386" width="11.125" style="7" customWidth="1"/>
    <col min="5387" max="5395" width="8.625" style="7" customWidth="1"/>
    <col min="5396" max="5396" width="11.125" style="7" customWidth="1"/>
    <col min="5397" max="5398" width="8.625" style="7" customWidth="1"/>
    <col min="5399" max="5636" width="9" style="7"/>
    <col min="5637" max="5637" width="8.625" style="7" customWidth="1"/>
    <col min="5638" max="5638" width="19.625" style="7" customWidth="1"/>
    <col min="5639" max="5639" width="8.625" style="7" customWidth="1"/>
    <col min="5640" max="5641" width="7.625" style="7" customWidth="1"/>
    <col min="5642" max="5642" width="11.125" style="7" customWidth="1"/>
    <col min="5643" max="5651" width="8.625" style="7" customWidth="1"/>
    <col min="5652" max="5652" width="11.125" style="7" customWidth="1"/>
    <col min="5653" max="5654" width="8.625" style="7" customWidth="1"/>
    <col min="5655" max="5892" width="9" style="7"/>
    <col min="5893" max="5893" width="8.625" style="7" customWidth="1"/>
    <col min="5894" max="5894" width="19.625" style="7" customWidth="1"/>
    <col min="5895" max="5895" width="8.625" style="7" customWidth="1"/>
    <col min="5896" max="5897" width="7.625" style="7" customWidth="1"/>
    <col min="5898" max="5898" width="11.125" style="7" customWidth="1"/>
    <col min="5899" max="5907" width="8.625" style="7" customWidth="1"/>
    <col min="5908" max="5908" width="11.125" style="7" customWidth="1"/>
    <col min="5909" max="5910" width="8.625" style="7" customWidth="1"/>
    <col min="5911" max="6148" width="9" style="7"/>
    <col min="6149" max="6149" width="8.625" style="7" customWidth="1"/>
    <col min="6150" max="6150" width="19.625" style="7" customWidth="1"/>
    <col min="6151" max="6151" width="8.625" style="7" customWidth="1"/>
    <col min="6152" max="6153" width="7.625" style="7" customWidth="1"/>
    <col min="6154" max="6154" width="11.125" style="7" customWidth="1"/>
    <col min="6155" max="6163" width="8.625" style="7" customWidth="1"/>
    <col min="6164" max="6164" width="11.125" style="7" customWidth="1"/>
    <col min="6165" max="6166" width="8.625" style="7" customWidth="1"/>
    <col min="6167" max="6404" width="9" style="7"/>
    <col min="6405" max="6405" width="8.625" style="7" customWidth="1"/>
    <col min="6406" max="6406" width="19.625" style="7" customWidth="1"/>
    <col min="6407" max="6407" width="8.625" style="7" customWidth="1"/>
    <col min="6408" max="6409" width="7.625" style="7" customWidth="1"/>
    <col min="6410" max="6410" width="11.125" style="7" customWidth="1"/>
    <col min="6411" max="6419" width="8.625" style="7" customWidth="1"/>
    <col min="6420" max="6420" width="11.125" style="7" customWidth="1"/>
    <col min="6421" max="6422" width="8.625" style="7" customWidth="1"/>
    <col min="6423" max="6660" width="9" style="7"/>
    <col min="6661" max="6661" width="8.625" style="7" customWidth="1"/>
    <col min="6662" max="6662" width="19.625" style="7" customWidth="1"/>
    <col min="6663" max="6663" width="8.625" style="7" customWidth="1"/>
    <col min="6664" max="6665" width="7.625" style="7" customWidth="1"/>
    <col min="6666" max="6666" width="11.125" style="7" customWidth="1"/>
    <col min="6667" max="6675" width="8.625" style="7" customWidth="1"/>
    <col min="6676" max="6676" width="11.125" style="7" customWidth="1"/>
    <col min="6677" max="6678" width="8.625" style="7" customWidth="1"/>
    <col min="6679" max="6916" width="9" style="7"/>
    <col min="6917" max="6917" width="8.625" style="7" customWidth="1"/>
    <col min="6918" max="6918" width="19.625" style="7" customWidth="1"/>
    <col min="6919" max="6919" width="8.625" style="7" customWidth="1"/>
    <col min="6920" max="6921" width="7.625" style="7" customWidth="1"/>
    <col min="6922" max="6922" width="11.125" style="7" customWidth="1"/>
    <col min="6923" max="6931" width="8.625" style="7" customWidth="1"/>
    <col min="6932" max="6932" width="11.125" style="7" customWidth="1"/>
    <col min="6933" max="6934" width="8.625" style="7" customWidth="1"/>
    <col min="6935" max="7172" width="9" style="7"/>
    <col min="7173" max="7173" width="8.625" style="7" customWidth="1"/>
    <col min="7174" max="7174" width="19.625" style="7" customWidth="1"/>
    <col min="7175" max="7175" width="8.625" style="7" customWidth="1"/>
    <col min="7176" max="7177" width="7.625" style="7" customWidth="1"/>
    <col min="7178" max="7178" width="11.125" style="7" customWidth="1"/>
    <col min="7179" max="7187" width="8.625" style="7" customWidth="1"/>
    <col min="7188" max="7188" width="11.125" style="7" customWidth="1"/>
    <col min="7189" max="7190" width="8.625" style="7" customWidth="1"/>
    <col min="7191" max="7428" width="9" style="7"/>
    <col min="7429" max="7429" width="8.625" style="7" customWidth="1"/>
    <col min="7430" max="7430" width="19.625" style="7" customWidth="1"/>
    <col min="7431" max="7431" width="8.625" style="7" customWidth="1"/>
    <col min="7432" max="7433" width="7.625" style="7" customWidth="1"/>
    <col min="7434" max="7434" width="11.125" style="7" customWidth="1"/>
    <col min="7435" max="7443" width="8.625" style="7" customWidth="1"/>
    <col min="7444" max="7444" width="11.125" style="7" customWidth="1"/>
    <col min="7445" max="7446" width="8.625" style="7" customWidth="1"/>
    <col min="7447" max="7684" width="9" style="7"/>
    <col min="7685" max="7685" width="8.625" style="7" customWidth="1"/>
    <col min="7686" max="7686" width="19.625" style="7" customWidth="1"/>
    <col min="7687" max="7687" width="8.625" style="7" customWidth="1"/>
    <col min="7688" max="7689" width="7.625" style="7" customWidth="1"/>
    <col min="7690" max="7690" width="11.125" style="7" customWidth="1"/>
    <col min="7691" max="7699" width="8.625" style="7" customWidth="1"/>
    <col min="7700" max="7700" width="11.125" style="7" customWidth="1"/>
    <col min="7701" max="7702" width="8.625" style="7" customWidth="1"/>
    <col min="7703" max="7940" width="9" style="7"/>
    <col min="7941" max="7941" width="8.625" style="7" customWidth="1"/>
    <col min="7942" max="7942" width="19.625" style="7" customWidth="1"/>
    <col min="7943" max="7943" width="8.625" style="7" customWidth="1"/>
    <col min="7944" max="7945" width="7.625" style="7" customWidth="1"/>
    <col min="7946" max="7946" width="11.125" style="7" customWidth="1"/>
    <col min="7947" max="7955" width="8.625" style="7" customWidth="1"/>
    <col min="7956" max="7956" width="11.125" style="7" customWidth="1"/>
    <col min="7957" max="7958" width="8.625" style="7" customWidth="1"/>
    <col min="7959" max="8196" width="9" style="7"/>
    <col min="8197" max="8197" width="8.625" style="7" customWidth="1"/>
    <col min="8198" max="8198" width="19.625" style="7" customWidth="1"/>
    <col min="8199" max="8199" width="8.625" style="7" customWidth="1"/>
    <col min="8200" max="8201" width="7.625" style="7" customWidth="1"/>
    <col min="8202" max="8202" width="11.125" style="7" customWidth="1"/>
    <col min="8203" max="8211" width="8.625" style="7" customWidth="1"/>
    <col min="8212" max="8212" width="11.125" style="7" customWidth="1"/>
    <col min="8213" max="8214" width="8.625" style="7" customWidth="1"/>
    <col min="8215" max="8452" width="9" style="7"/>
    <col min="8453" max="8453" width="8.625" style="7" customWidth="1"/>
    <col min="8454" max="8454" width="19.625" style="7" customWidth="1"/>
    <col min="8455" max="8455" width="8.625" style="7" customWidth="1"/>
    <col min="8456" max="8457" width="7.625" style="7" customWidth="1"/>
    <col min="8458" max="8458" width="11.125" style="7" customWidth="1"/>
    <col min="8459" max="8467" width="8.625" style="7" customWidth="1"/>
    <col min="8468" max="8468" width="11.125" style="7" customWidth="1"/>
    <col min="8469" max="8470" width="8.625" style="7" customWidth="1"/>
    <col min="8471" max="8708" width="9" style="7"/>
    <col min="8709" max="8709" width="8.625" style="7" customWidth="1"/>
    <col min="8710" max="8710" width="19.625" style="7" customWidth="1"/>
    <col min="8711" max="8711" width="8.625" style="7" customWidth="1"/>
    <col min="8712" max="8713" width="7.625" style="7" customWidth="1"/>
    <col min="8714" max="8714" width="11.125" style="7" customWidth="1"/>
    <col min="8715" max="8723" width="8.625" style="7" customWidth="1"/>
    <col min="8724" max="8724" width="11.125" style="7" customWidth="1"/>
    <col min="8725" max="8726" width="8.625" style="7" customWidth="1"/>
    <col min="8727" max="8964" width="9" style="7"/>
    <col min="8965" max="8965" width="8.625" style="7" customWidth="1"/>
    <col min="8966" max="8966" width="19.625" style="7" customWidth="1"/>
    <col min="8967" max="8967" width="8.625" style="7" customWidth="1"/>
    <col min="8968" max="8969" width="7.625" style="7" customWidth="1"/>
    <col min="8970" max="8970" width="11.125" style="7" customWidth="1"/>
    <col min="8971" max="8979" width="8.625" style="7" customWidth="1"/>
    <col min="8980" max="8980" width="11.125" style="7" customWidth="1"/>
    <col min="8981" max="8982" width="8.625" style="7" customWidth="1"/>
    <col min="8983" max="9220" width="9" style="7"/>
    <col min="9221" max="9221" width="8.625" style="7" customWidth="1"/>
    <col min="9222" max="9222" width="19.625" style="7" customWidth="1"/>
    <col min="9223" max="9223" width="8.625" style="7" customWidth="1"/>
    <col min="9224" max="9225" width="7.625" style="7" customWidth="1"/>
    <col min="9226" max="9226" width="11.125" style="7" customWidth="1"/>
    <col min="9227" max="9235" width="8.625" style="7" customWidth="1"/>
    <col min="9236" max="9236" width="11.125" style="7" customWidth="1"/>
    <col min="9237" max="9238" width="8.625" style="7" customWidth="1"/>
    <col min="9239" max="9476" width="9" style="7"/>
    <col min="9477" max="9477" width="8.625" style="7" customWidth="1"/>
    <col min="9478" max="9478" width="19.625" style="7" customWidth="1"/>
    <col min="9479" max="9479" width="8.625" style="7" customWidth="1"/>
    <col min="9480" max="9481" width="7.625" style="7" customWidth="1"/>
    <col min="9482" max="9482" width="11.125" style="7" customWidth="1"/>
    <col min="9483" max="9491" width="8.625" style="7" customWidth="1"/>
    <col min="9492" max="9492" width="11.125" style="7" customWidth="1"/>
    <col min="9493" max="9494" width="8.625" style="7" customWidth="1"/>
    <col min="9495" max="9732" width="9" style="7"/>
    <col min="9733" max="9733" width="8.625" style="7" customWidth="1"/>
    <col min="9734" max="9734" width="19.625" style="7" customWidth="1"/>
    <col min="9735" max="9735" width="8.625" style="7" customWidth="1"/>
    <col min="9736" max="9737" width="7.625" style="7" customWidth="1"/>
    <col min="9738" max="9738" width="11.125" style="7" customWidth="1"/>
    <col min="9739" max="9747" width="8.625" style="7" customWidth="1"/>
    <col min="9748" max="9748" width="11.125" style="7" customWidth="1"/>
    <col min="9749" max="9750" width="8.625" style="7" customWidth="1"/>
    <col min="9751" max="9988" width="9" style="7"/>
    <col min="9989" max="9989" width="8.625" style="7" customWidth="1"/>
    <col min="9990" max="9990" width="19.625" style="7" customWidth="1"/>
    <col min="9991" max="9991" width="8.625" style="7" customWidth="1"/>
    <col min="9992" max="9993" width="7.625" style="7" customWidth="1"/>
    <col min="9994" max="9994" width="11.125" style="7" customWidth="1"/>
    <col min="9995" max="10003" width="8.625" style="7" customWidth="1"/>
    <col min="10004" max="10004" width="11.125" style="7" customWidth="1"/>
    <col min="10005" max="10006" width="8.625" style="7" customWidth="1"/>
    <col min="10007" max="10244" width="9" style="7"/>
    <col min="10245" max="10245" width="8.625" style="7" customWidth="1"/>
    <col min="10246" max="10246" width="19.625" style="7" customWidth="1"/>
    <col min="10247" max="10247" width="8.625" style="7" customWidth="1"/>
    <col min="10248" max="10249" width="7.625" style="7" customWidth="1"/>
    <col min="10250" max="10250" width="11.125" style="7" customWidth="1"/>
    <col min="10251" max="10259" width="8.625" style="7" customWidth="1"/>
    <col min="10260" max="10260" width="11.125" style="7" customWidth="1"/>
    <col min="10261" max="10262" width="8.625" style="7" customWidth="1"/>
    <col min="10263" max="10500" width="9" style="7"/>
    <col min="10501" max="10501" width="8.625" style="7" customWidth="1"/>
    <col min="10502" max="10502" width="19.625" style="7" customWidth="1"/>
    <col min="10503" max="10503" width="8.625" style="7" customWidth="1"/>
    <col min="10504" max="10505" width="7.625" style="7" customWidth="1"/>
    <col min="10506" max="10506" width="11.125" style="7" customWidth="1"/>
    <col min="10507" max="10515" width="8.625" style="7" customWidth="1"/>
    <col min="10516" max="10516" width="11.125" style="7" customWidth="1"/>
    <col min="10517" max="10518" width="8.625" style="7" customWidth="1"/>
    <col min="10519" max="10756" width="9" style="7"/>
    <col min="10757" max="10757" width="8.625" style="7" customWidth="1"/>
    <col min="10758" max="10758" width="19.625" style="7" customWidth="1"/>
    <col min="10759" max="10759" width="8.625" style="7" customWidth="1"/>
    <col min="10760" max="10761" width="7.625" style="7" customWidth="1"/>
    <col min="10762" max="10762" width="11.125" style="7" customWidth="1"/>
    <col min="10763" max="10771" width="8.625" style="7" customWidth="1"/>
    <col min="10772" max="10772" width="11.125" style="7" customWidth="1"/>
    <col min="10773" max="10774" width="8.625" style="7" customWidth="1"/>
    <col min="10775" max="11012" width="9" style="7"/>
    <col min="11013" max="11013" width="8.625" style="7" customWidth="1"/>
    <col min="11014" max="11014" width="19.625" style="7" customWidth="1"/>
    <col min="11015" max="11015" width="8.625" style="7" customWidth="1"/>
    <col min="11016" max="11017" width="7.625" style="7" customWidth="1"/>
    <col min="11018" max="11018" width="11.125" style="7" customWidth="1"/>
    <col min="11019" max="11027" width="8.625" style="7" customWidth="1"/>
    <col min="11028" max="11028" width="11.125" style="7" customWidth="1"/>
    <col min="11029" max="11030" width="8.625" style="7" customWidth="1"/>
    <col min="11031" max="11268" width="9" style="7"/>
    <col min="11269" max="11269" width="8.625" style="7" customWidth="1"/>
    <col min="11270" max="11270" width="19.625" style="7" customWidth="1"/>
    <col min="11271" max="11271" width="8.625" style="7" customWidth="1"/>
    <col min="11272" max="11273" width="7.625" style="7" customWidth="1"/>
    <col min="11274" max="11274" width="11.125" style="7" customWidth="1"/>
    <col min="11275" max="11283" width="8.625" style="7" customWidth="1"/>
    <col min="11284" max="11284" width="11.125" style="7" customWidth="1"/>
    <col min="11285" max="11286" width="8.625" style="7" customWidth="1"/>
    <col min="11287" max="11524" width="9" style="7"/>
    <col min="11525" max="11525" width="8.625" style="7" customWidth="1"/>
    <col min="11526" max="11526" width="19.625" style="7" customWidth="1"/>
    <col min="11527" max="11527" width="8.625" style="7" customWidth="1"/>
    <col min="11528" max="11529" width="7.625" style="7" customWidth="1"/>
    <col min="11530" max="11530" width="11.125" style="7" customWidth="1"/>
    <col min="11531" max="11539" width="8.625" style="7" customWidth="1"/>
    <col min="11540" max="11540" width="11.125" style="7" customWidth="1"/>
    <col min="11541" max="11542" width="8.625" style="7" customWidth="1"/>
    <col min="11543" max="11780" width="9" style="7"/>
    <col min="11781" max="11781" width="8.625" style="7" customWidth="1"/>
    <col min="11782" max="11782" width="19.625" style="7" customWidth="1"/>
    <col min="11783" max="11783" width="8.625" style="7" customWidth="1"/>
    <col min="11784" max="11785" width="7.625" style="7" customWidth="1"/>
    <col min="11786" max="11786" width="11.125" style="7" customWidth="1"/>
    <col min="11787" max="11795" width="8.625" style="7" customWidth="1"/>
    <col min="11796" max="11796" width="11.125" style="7" customWidth="1"/>
    <col min="11797" max="11798" width="8.625" style="7" customWidth="1"/>
    <col min="11799" max="12036" width="9" style="7"/>
    <col min="12037" max="12037" width="8.625" style="7" customWidth="1"/>
    <col min="12038" max="12038" width="19.625" style="7" customWidth="1"/>
    <col min="12039" max="12039" width="8.625" style="7" customWidth="1"/>
    <col min="12040" max="12041" width="7.625" style="7" customWidth="1"/>
    <col min="12042" max="12042" width="11.125" style="7" customWidth="1"/>
    <col min="12043" max="12051" width="8.625" style="7" customWidth="1"/>
    <col min="12052" max="12052" width="11.125" style="7" customWidth="1"/>
    <col min="12053" max="12054" width="8.625" style="7" customWidth="1"/>
    <col min="12055" max="12292" width="9" style="7"/>
    <col min="12293" max="12293" width="8.625" style="7" customWidth="1"/>
    <col min="12294" max="12294" width="19.625" style="7" customWidth="1"/>
    <col min="12295" max="12295" width="8.625" style="7" customWidth="1"/>
    <col min="12296" max="12297" width="7.625" style="7" customWidth="1"/>
    <col min="12298" max="12298" width="11.125" style="7" customWidth="1"/>
    <col min="12299" max="12307" width="8.625" style="7" customWidth="1"/>
    <col min="12308" max="12308" width="11.125" style="7" customWidth="1"/>
    <col min="12309" max="12310" width="8.625" style="7" customWidth="1"/>
    <col min="12311" max="12548" width="9" style="7"/>
    <col min="12549" max="12549" width="8.625" style="7" customWidth="1"/>
    <col min="12550" max="12550" width="19.625" style="7" customWidth="1"/>
    <col min="12551" max="12551" width="8.625" style="7" customWidth="1"/>
    <col min="12552" max="12553" width="7.625" style="7" customWidth="1"/>
    <col min="12554" max="12554" width="11.125" style="7" customWidth="1"/>
    <col min="12555" max="12563" width="8.625" style="7" customWidth="1"/>
    <col min="12564" max="12564" width="11.125" style="7" customWidth="1"/>
    <col min="12565" max="12566" width="8.625" style="7" customWidth="1"/>
    <col min="12567" max="12804" width="9" style="7"/>
    <col min="12805" max="12805" width="8.625" style="7" customWidth="1"/>
    <col min="12806" max="12806" width="19.625" style="7" customWidth="1"/>
    <col min="12807" max="12807" width="8.625" style="7" customWidth="1"/>
    <col min="12808" max="12809" width="7.625" style="7" customWidth="1"/>
    <col min="12810" max="12810" width="11.125" style="7" customWidth="1"/>
    <col min="12811" max="12819" width="8.625" style="7" customWidth="1"/>
    <col min="12820" max="12820" width="11.125" style="7" customWidth="1"/>
    <col min="12821" max="12822" width="8.625" style="7" customWidth="1"/>
    <col min="12823" max="13060" width="9" style="7"/>
    <col min="13061" max="13061" width="8.625" style="7" customWidth="1"/>
    <col min="13062" max="13062" width="19.625" style="7" customWidth="1"/>
    <col min="13063" max="13063" width="8.625" style="7" customWidth="1"/>
    <col min="13064" max="13065" width="7.625" style="7" customWidth="1"/>
    <col min="13066" max="13066" width="11.125" style="7" customWidth="1"/>
    <col min="13067" max="13075" width="8.625" style="7" customWidth="1"/>
    <col min="13076" max="13076" width="11.125" style="7" customWidth="1"/>
    <col min="13077" max="13078" width="8.625" style="7" customWidth="1"/>
    <col min="13079" max="13316" width="9" style="7"/>
    <col min="13317" max="13317" width="8.625" style="7" customWidth="1"/>
    <col min="13318" max="13318" width="19.625" style="7" customWidth="1"/>
    <col min="13319" max="13319" width="8.625" style="7" customWidth="1"/>
    <col min="13320" max="13321" width="7.625" style="7" customWidth="1"/>
    <col min="13322" max="13322" width="11.125" style="7" customWidth="1"/>
    <col min="13323" max="13331" width="8.625" style="7" customWidth="1"/>
    <col min="13332" max="13332" width="11.125" style="7" customWidth="1"/>
    <col min="13333" max="13334" width="8.625" style="7" customWidth="1"/>
    <col min="13335" max="13572" width="9" style="7"/>
    <col min="13573" max="13573" width="8.625" style="7" customWidth="1"/>
    <col min="13574" max="13574" width="19.625" style="7" customWidth="1"/>
    <col min="13575" max="13575" width="8.625" style="7" customWidth="1"/>
    <col min="13576" max="13577" width="7.625" style="7" customWidth="1"/>
    <col min="13578" max="13578" width="11.125" style="7" customWidth="1"/>
    <col min="13579" max="13587" width="8.625" style="7" customWidth="1"/>
    <col min="13588" max="13588" width="11.125" style="7" customWidth="1"/>
    <col min="13589" max="13590" width="8.625" style="7" customWidth="1"/>
    <col min="13591" max="13828" width="9" style="7"/>
    <col min="13829" max="13829" width="8.625" style="7" customWidth="1"/>
    <col min="13830" max="13830" width="19.625" style="7" customWidth="1"/>
    <col min="13831" max="13831" width="8.625" style="7" customWidth="1"/>
    <col min="13832" max="13833" width="7.625" style="7" customWidth="1"/>
    <col min="13834" max="13834" width="11.125" style="7" customWidth="1"/>
    <col min="13835" max="13843" width="8.625" style="7" customWidth="1"/>
    <col min="13844" max="13844" width="11.125" style="7" customWidth="1"/>
    <col min="13845" max="13846" width="8.625" style="7" customWidth="1"/>
    <col min="13847" max="14084" width="9" style="7"/>
    <col min="14085" max="14085" width="8.625" style="7" customWidth="1"/>
    <col min="14086" max="14086" width="19.625" style="7" customWidth="1"/>
    <col min="14087" max="14087" width="8.625" style="7" customWidth="1"/>
    <col min="14088" max="14089" width="7.625" style="7" customWidth="1"/>
    <col min="14090" max="14090" width="11.125" style="7" customWidth="1"/>
    <col min="14091" max="14099" width="8.625" style="7" customWidth="1"/>
    <col min="14100" max="14100" width="11.125" style="7" customWidth="1"/>
    <col min="14101" max="14102" width="8.625" style="7" customWidth="1"/>
    <col min="14103" max="14340" width="9" style="7"/>
    <col min="14341" max="14341" width="8.625" style="7" customWidth="1"/>
    <col min="14342" max="14342" width="19.625" style="7" customWidth="1"/>
    <col min="14343" max="14343" width="8.625" style="7" customWidth="1"/>
    <col min="14344" max="14345" width="7.625" style="7" customWidth="1"/>
    <col min="14346" max="14346" width="11.125" style="7" customWidth="1"/>
    <col min="14347" max="14355" width="8.625" style="7" customWidth="1"/>
    <col min="14356" max="14356" width="11.125" style="7" customWidth="1"/>
    <col min="14357" max="14358" width="8.625" style="7" customWidth="1"/>
    <col min="14359" max="14596" width="9" style="7"/>
    <col min="14597" max="14597" width="8.625" style="7" customWidth="1"/>
    <col min="14598" max="14598" width="19.625" style="7" customWidth="1"/>
    <col min="14599" max="14599" width="8.625" style="7" customWidth="1"/>
    <col min="14600" max="14601" width="7.625" style="7" customWidth="1"/>
    <col min="14602" max="14602" width="11.125" style="7" customWidth="1"/>
    <col min="14603" max="14611" width="8.625" style="7" customWidth="1"/>
    <col min="14612" max="14612" width="11.125" style="7" customWidth="1"/>
    <col min="14613" max="14614" width="8.625" style="7" customWidth="1"/>
    <col min="14615" max="14852" width="9" style="7"/>
    <col min="14853" max="14853" width="8.625" style="7" customWidth="1"/>
    <col min="14854" max="14854" width="19.625" style="7" customWidth="1"/>
    <col min="14855" max="14855" width="8.625" style="7" customWidth="1"/>
    <col min="14856" max="14857" width="7.625" style="7" customWidth="1"/>
    <col min="14858" max="14858" width="11.125" style="7" customWidth="1"/>
    <col min="14859" max="14867" width="8.625" style="7" customWidth="1"/>
    <col min="14868" max="14868" width="11.125" style="7" customWidth="1"/>
    <col min="14869" max="14870" width="8.625" style="7" customWidth="1"/>
    <col min="14871" max="15108" width="9" style="7"/>
    <col min="15109" max="15109" width="8.625" style="7" customWidth="1"/>
    <col min="15110" max="15110" width="19.625" style="7" customWidth="1"/>
    <col min="15111" max="15111" width="8.625" style="7" customWidth="1"/>
    <col min="15112" max="15113" width="7.625" style="7" customWidth="1"/>
    <col min="15114" max="15114" width="11.125" style="7" customWidth="1"/>
    <col min="15115" max="15123" width="8.625" style="7" customWidth="1"/>
    <col min="15124" max="15124" width="11.125" style="7" customWidth="1"/>
    <col min="15125" max="15126" width="8.625" style="7" customWidth="1"/>
    <col min="15127" max="15364" width="9" style="7"/>
    <col min="15365" max="15365" width="8.625" style="7" customWidth="1"/>
    <col min="15366" max="15366" width="19.625" style="7" customWidth="1"/>
    <col min="15367" max="15367" width="8.625" style="7" customWidth="1"/>
    <col min="15368" max="15369" width="7.625" style="7" customWidth="1"/>
    <col min="15370" max="15370" width="11.125" style="7" customWidth="1"/>
    <col min="15371" max="15379" width="8.625" style="7" customWidth="1"/>
    <col min="15380" max="15380" width="11.125" style="7" customWidth="1"/>
    <col min="15381" max="15382" width="8.625" style="7" customWidth="1"/>
    <col min="15383" max="15620" width="9" style="7"/>
    <col min="15621" max="15621" width="8.625" style="7" customWidth="1"/>
    <col min="15622" max="15622" width="19.625" style="7" customWidth="1"/>
    <col min="15623" max="15623" width="8.625" style="7" customWidth="1"/>
    <col min="15624" max="15625" width="7.625" style="7" customWidth="1"/>
    <col min="15626" max="15626" width="11.125" style="7" customWidth="1"/>
    <col min="15627" max="15635" width="8.625" style="7" customWidth="1"/>
    <col min="15636" max="15636" width="11.125" style="7" customWidth="1"/>
    <col min="15637" max="15638" width="8.625" style="7" customWidth="1"/>
    <col min="15639" max="15876" width="9" style="7"/>
    <col min="15877" max="15877" width="8.625" style="7" customWidth="1"/>
    <col min="15878" max="15878" width="19.625" style="7" customWidth="1"/>
    <col min="15879" max="15879" width="8.625" style="7" customWidth="1"/>
    <col min="15880" max="15881" width="7.625" style="7" customWidth="1"/>
    <col min="15882" max="15882" width="11.125" style="7" customWidth="1"/>
    <col min="15883" max="15891" width="8.625" style="7" customWidth="1"/>
    <col min="15892" max="15892" width="11.125" style="7" customWidth="1"/>
    <col min="15893" max="15894" width="8.625" style="7" customWidth="1"/>
    <col min="15895" max="16132" width="9" style="7"/>
    <col min="16133" max="16133" width="8.625" style="7" customWidth="1"/>
    <col min="16134" max="16134" width="19.625" style="7" customWidth="1"/>
    <col min="16135" max="16135" width="8.625" style="7" customWidth="1"/>
    <col min="16136" max="16137" width="7.625" style="7" customWidth="1"/>
    <col min="16138" max="16138" width="11.125" style="7" customWidth="1"/>
    <col min="16139" max="16147" width="8.625" style="7" customWidth="1"/>
    <col min="16148" max="16148" width="11.125" style="7" customWidth="1"/>
    <col min="16149" max="16150" width="8.625" style="7" customWidth="1"/>
    <col min="16151" max="16384" width="9" style="7"/>
  </cols>
  <sheetData>
    <row r="1" spans="1:31" s="13" customFormat="1" ht="23.1" customHeight="1">
      <c r="A1" s="219" t="s">
        <v>0</v>
      </c>
      <c r="B1" s="220"/>
      <c r="C1" s="221" t="s">
        <v>35</v>
      </c>
      <c r="D1" s="222"/>
      <c r="E1" s="222"/>
      <c r="F1" s="222"/>
      <c r="G1" s="222"/>
      <c r="H1" s="223"/>
      <c r="I1" s="12" t="s">
        <v>25</v>
      </c>
      <c r="J1" s="224">
        <v>82000000</v>
      </c>
      <c r="K1" s="225"/>
      <c r="L1" s="225"/>
      <c r="M1" s="225"/>
      <c r="N1" s="225"/>
      <c r="O1" s="152"/>
      <c r="P1" s="152"/>
      <c r="Q1" s="321"/>
      <c r="R1" s="226"/>
      <c r="S1" s="227"/>
      <c r="T1" s="231" t="s">
        <v>1</v>
      </c>
      <c r="U1" s="231"/>
      <c r="V1" s="231"/>
    </row>
    <row r="2" spans="1:31" s="13" customFormat="1" ht="23.1" customHeight="1">
      <c r="A2" s="232" t="s">
        <v>26</v>
      </c>
      <c r="B2" s="233"/>
      <c r="C2" s="234" t="s">
        <v>36</v>
      </c>
      <c r="D2" s="235"/>
      <c r="E2" s="235"/>
      <c r="F2" s="235"/>
      <c r="G2" s="235"/>
      <c r="H2" s="236"/>
      <c r="I2" s="14" t="s">
        <v>27</v>
      </c>
      <c r="J2" s="237">
        <v>5634000</v>
      </c>
      <c r="K2" s="238"/>
      <c r="L2" s="238"/>
      <c r="M2" s="238"/>
      <c r="N2" s="238"/>
      <c r="O2" s="153"/>
      <c r="P2" s="153"/>
      <c r="Q2" s="322"/>
      <c r="R2" s="210"/>
      <c r="S2" s="228"/>
      <c r="T2" s="252">
        <v>45903</v>
      </c>
      <c r="U2" s="253"/>
      <c r="V2" s="254"/>
    </row>
    <row r="3" spans="1:31" s="13" customFormat="1" ht="23.1" customHeight="1" thickBot="1">
      <c r="A3" s="241" t="s">
        <v>2</v>
      </c>
      <c r="B3" s="242"/>
      <c r="C3" s="243">
        <f>J1-G141</f>
        <v>7049410</v>
      </c>
      <c r="D3" s="244"/>
      <c r="E3" s="244"/>
      <c r="F3" s="244"/>
      <c r="G3" s="244"/>
      <c r="H3" s="245"/>
      <c r="I3" s="15" t="s">
        <v>3</v>
      </c>
      <c r="J3" s="246">
        <f>SUM(J1:Q2)</f>
        <v>87634000</v>
      </c>
      <c r="K3" s="247"/>
      <c r="L3" s="247"/>
      <c r="M3" s="247"/>
      <c r="N3" s="247"/>
      <c r="O3" s="154"/>
      <c r="P3" s="154"/>
      <c r="Q3" s="323"/>
      <c r="R3" s="210"/>
      <c r="S3" s="228"/>
      <c r="T3" s="255"/>
      <c r="U3" s="256"/>
      <c r="V3" s="257"/>
    </row>
    <row r="4" spans="1:31" s="13" customFormat="1" ht="23.1" customHeight="1" thickBot="1">
      <c r="A4" s="248" t="s">
        <v>4</v>
      </c>
      <c r="B4" s="248"/>
      <c r="C4" s="249">
        <v>8.5999999999999993E-2</v>
      </c>
      <c r="D4" s="249"/>
      <c r="E4" s="250"/>
      <c r="F4" s="250"/>
      <c r="G4" s="250" t="s">
        <v>5</v>
      </c>
      <c r="H4" s="250"/>
      <c r="I4" s="16">
        <f>J3-I141</f>
        <v>5658680</v>
      </c>
      <c r="J4" s="209"/>
      <c r="K4" s="251"/>
      <c r="L4" s="251"/>
      <c r="M4" s="251"/>
      <c r="N4" s="251"/>
      <c r="O4" s="251"/>
      <c r="P4" s="251"/>
      <c r="Q4" s="251"/>
      <c r="R4" s="332"/>
      <c r="S4" s="334"/>
      <c r="T4" s="335"/>
      <c r="U4" s="336"/>
      <c r="V4" s="337"/>
    </row>
    <row r="5" spans="1:31" s="13" customFormat="1" ht="18" customHeight="1" thickBot="1">
      <c r="A5" s="199" t="s">
        <v>6</v>
      </c>
      <c r="B5" s="199"/>
      <c r="C5" s="201" t="s">
        <v>28</v>
      </c>
      <c r="D5" s="203" t="s">
        <v>29</v>
      </c>
      <c r="E5" s="205" t="s">
        <v>23</v>
      </c>
      <c r="F5" s="206"/>
      <c r="G5" s="205" t="s">
        <v>30</v>
      </c>
      <c r="H5" s="206"/>
      <c r="I5" s="216" t="s">
        <v>31</v>
      </c>
      <c r="J5" s="316">
        <v>2025</v>
      </c>
      <c r="K5" s="17"/>
      <c r="L5" s="17"/>
      <c r="M5" s="17"/>
      <c r="N5" s="17"/>
      <c r="O5" s="17"/>
      <c r="P5" s="17"/>
      <c r="Q5" s="318"/>
      <c r="R5" s="331" t="s">
        <v>7</v>
      </c>
      <c r="S5" s="333" t="s">
        <v>8</v>
      </c>
      <c r="T5" s="197" t="s">
        <v>9</v>
      </c>
      <c r="U5" s="212" t="s">
        <v>10</v>
      </c>
      <c r="V5" s="213" t="s">
        <v>11</v>
      </c>
      <c r="X5" s="326">
        <v>2025</v>
      </c>
      <c r="Y5" s="17"/>
      <c r="Z5" s="17"/>
      <c r="AA5" s="17"/>
      <c r="AB5" s="17"/>
      <c r="AC5" s="17"/>
      <c r="AD5" s="17"/>
      <c r="AE5" s="318"/>
    </row>
    <row r="6" spans="1:31" s="13" customFormat="1" ht="44.25" customHeight="1" thickBot="1">
      <c r="A6" s="263"/>
      <c r="B6" s="263"/>
      <c r="C6" s="264"/>
      <c r="D6" s="265"/>
      <c r="E6" s="266"/>
      <c r="F6" s="267"/>
      <c r="G6" s="266"/>
      <c r="H6" s="267"/>
      <c r="I6" s="268"/>
      <c r="J6" s="317" t="s">
        <v>136</v>
      </c>
      <c r="K6" s="317" t="s">
        <v>137</v>
      </c>
      <c r="L6" s="317" t="s">
        <v>138</v>
      </c>
      <c r="M6" s="317" t="s">
        <v>139</v>
      </c>
      <c r="N6" s="317" t="s">
        <v>140</v>
      </c>
      <c r="O6" s="317" t="s">
        <v>141</v>
      </c>
      <c r="P6" s="317" t="s">
        <v>142</v>
      </c>
      <c r="Q6" s="317" t="s">
        <v>143</v>
      </c>
      <c r="R6" s="319"/>
      <c r="S6" s="320"/>
      <c r="T6" s="198"/>
      <c r="U6" s="212"/>
      <c r="V6" s="213"/>
      <c r="X6" s="327" t="s">
        <v>136</v>
      </c>
      <c r="Y6" s="325" t="s">
        <v>137</v>
      </c>
      <c r="Z6" s="317" t="s">
        <v>138</v>
      </c>
      <c r="AA6" s="317" t="s">
        <v>139</v>
      </c>
      <c r="AB6" s="317" t="s">
        <v>140</v>
      </c>
      <c r="AC6" s="317" t="s">
        <v>141</v>
      </c>
      <c r="AD6" s="317" t="s">
        <v>142</v>
      </c>
      <c r="AE6" s="317" t="s">
        <v>143</v>
      </c>
    </row>
    <row r="7" spans="1:31" ht="18.95" customHeight="1" thickTop="1">
      <c r="A7" s="311" t="s">
        <v>37</v>
      </c>
      <c r="B7" s="269" t="s">
        <v>38</v>
      </c>
      <c r="C7" s="155" t="s">
        <v>39</v>
      </c>
      <c r="D7" s="270" t="s">
        <v>40</v>
      </c>
      <c r="E7" s="271">
        <v>450000</v>
      </c>
      <c r="F7" s="192"/>
      <c r="G7" s="271">
        <v>800000</v>
      </c>
      <c r="H7" s="192"/>
      <c r="I7" s="272">
        <v>800000</v>
      </c>
      <c r="J7" s="273">
        <v>0</v>
      </c>
      <c r="K7" s="273">
        <v>0</v>
      </c>
      <c r="L7" s="273">
        <v>300000</v>
      </c>
      <c r="M7" s="273">
        <v>210000</v>
      </c>
      <c r="N7" s="273">
        <v>0</v>
      </c>
      <c r="O7" s="273">
        <v>0</v>
      </c>
      <c r="P7" s="273">
        <v>0</v>
      </c>
      <c r="Q7" s="273">
        <v>0</v>
      </c>
      <c r="R7" s="274">
        <f>SUM(J7:Q7)</f>
        <v>510000</v>
      </c>
      <c r="S7" s="275">
        <f>I7-R7</f>
        <v>290000</v>
      </c>
      <c r="T7" s="276">
        <f>G7-I7</f>
        <v>0</v>
      </c>
      <c r="U7" s="277">
        <v>0</v>
      </c>
      <c r="V7" s="278" t="e">
        <f>R7/U7</f>
        <v>#DIV/0!</v>
      </c>
      <c r="X7" s="328"/>
      <c r="Y7" s="273"/>
      <c r="Z7" s="273"/>
      <c r="AA7" s="273"/>
      <c r="AB7" s="273"/>
      <c r="AC7" s="273"/>
      <c r="AD7" s="273"/>
      <c r="AE7" s="273"/>
    </row>
    <row r="8" spans="1:31" ht="18.95" customHeight="1">
      <c r="A8" s="312"/>
      <c r="B8" s="279" t="s">
        <v>41</v>
      </c>
      <c r="C8" s="280" t="s">
        <v>42</v>
      </c>
      <c r="D8" s="281" t="s">
        <v>43</v>
      </c>
      <c r="E8" s="282">
        <v>0</v>
      </c>
      <c r="F8" s="283"/>
      <c r="G8" s="282">
        <v>1925000</v>
      </c>
      <c r="H8" s="283"/>
      <c r="I8" s="284">
        <v>1137500</v>
      </c>
      <c r="J8" s="285">
        <v>0</v>
      </c>
      <c r="K8" s="285">
        <v>0</v>
      </c>
      <c r="L8" s="285">
        <v>0</v>
      </c>
      <c r="M8" s="285">
        <v>0</v>
      </c>
      <c r="N8" s="285">
        <v>0</v>
      </c>
      <c r="O8" s="285">
        <v>0</v>
      </c>
      <c r="P8" s="285">
        <v>0</v>
      </c>
      <c r="Q8" s="285">
        <v>0</v>
      </c>
      <c r="R8" s="286">
        <f>SUM(J8:Q8)</f>
        <v>0</v>
      </c>
      <c r="S8" s="287">
        <f>I8-R8</f>
        <v>1137500</v>
      </c>
      <c r="T8" s="288">
        <f>G8-I8</f>
        <v>787500</v>
      </c>
      <c r="U8" s="289">
        <v>0</v>
      </c>
      <c r="V8" s="290" t="e">
        <f t="shared" ref="V8:V71" si="0">R8/U8</f>
        <v>#DIV/0!</v>
      </c>
      <c r="X8" s="329"/>
      <c r="Y8" s="285"/>
      <c r="Z8" s="285"/>
      <c r="AA8" s="285"/>
      <c r="AB8" s="285"/>
      <c r="AC8" s="285"/>
      <c r="AD8" s="285"/>
      <c r="AE8" s="285"/>
    </row>
    <row r="9" spans="1:31" ht="18.95" customHeight="1">
      <c r="A9" s="312"/>
      <c r="B9" s="279" t="s">
        <v>44</v>
      </c>
      <c r="C9" s="280" t="s">
        <v>45</v>
      </c>
      <c r="D9" s="281" t="s">
        <v>43</v>
      </c>
      <c r="E9" s="282">
        <v>0</v>
      </c>
      <c r="F9" s="283"/>
      <c r="G9" s="282">
        <v>0</v>
      </c>
      <c r="H9" s="283"/>
      <c r="I9" s="284">
        <v>0</v>
      </c>
      <c r="J9" s="285">
        <v>0</v>
      </c>
      <c r="K9" s="285">
        <v>18400</v>
      </c>
      <c r="L9" s="285">
        <v>0</v>
      </c>
      <c r="M9" s="285">
        <v>0</v>
      </c>
      <c r="N9" s="285">
        <v>0</v>
      </c>
      <c r="O9" s="285">
        <v>0</v>
      </c>
      <c r="P9" s="285">
        <v>0</v>
      </c>
      <c r="Q9" s="285">
        <v>0</v>
      </c>
      <c r="R9" s="286">
        <f>SUM(J9:Q9)</f>
        <v>18400</v>
      </c>
      <c r="S9" s="287">
        <f>I9-R9</f>
        <v>-18400</v>
      </c>
      <c r="T9" s="288">
        <f>G9-I9</f>
        <v>0</v>
      </c>
      <c r="U9" s="289">
        <v>0</v>
      </c>
      <c r="V9" s="290" t="e">
        <f t="shared" si="0"/>
        <v>#DIV/0!</v>
      </c>
      <c r="X9" s="329"/>
      <c r="Y9" s="285"/>
      <c r="Z9" s="285"/>
      <c r="AA9" s="285"/>
      <c r="AB9" s="285"/>
      <c r="AC9" s="285"/>
      <c r="AD9" s="285"/>
      <c r="AE9" s="285"/>
    </row>
    <row r="10" spans="1:31" ht="18.95" customHeight="1">
      <c r="A10" s="312"/>
      <c r="B10" s="279" t="s">
        <v>46</v>
      </c>
      <c r="C10" s="280" t="s">
        <v>47</v>
      </c>
      <c r="D10" s="281" t="s">
        <v>48</v>
      </c>
      <c r="E10" s="282">
        <v>400000</v>
      </c>
      <c r="F10" s="283"/>
      <c r="G10" s="282">
        <v>400000</v>
      </c>
      <c r="H10" s="283"/>
      <c r="I10" s="284">
        <v>400000</v>
      </c>
      <c r="J10" s="285">
        <v>0</v>
      </c>
      <c r="K10" s="285">
        <v>0</v>
      </c>
      <c r="L10" s="285">
        <v>0</v>
      </c>
      <c r="M10" s="285">
        <v>216000</v>
      </c>
      <c r="N10" s="285">
        <v>0</v>
      </c>
      <c r="O10" s="285">
        <v>0</v>
      </c>
      <c r="P10" s="285">
        <v>0</v>
      </c>
      <c r="Q10" s="285">
        <v>0</v>
      </c>
      <c r="R10" s="286">
        <f>SUM(J10:Q10)</f>
        <v>216000</v>
      </c>
      <c r="S10" s="287">
        <f>I10-R10</f>
        <v>184000</v>
      </c>
      <c r="T10" s="288">
        <f>G10-I10</f>
        <v>0</v>
      </c>
      <c r="U10" s="289">
        <v>0</v>
      </c>
      <c r="V10" s="290" t="e">
        <f t="shared" si="0"/>
        <v>#DIV/0!</v>
      </c>
      <c r="X10" s="329"/>
      <c r="Y10" s="285"/>
      <c r="Z10" s="285"/>
      <c r="AA10" s="285"/>
      <c r="AB10" s="285"/>
      <c r="AC10" s="285"/>
      <c r="AD10" s="285"/>
      <c r="AE10" s="285"/>
    </row>
    <row r="11" spans="1:31" ht="18.95" customHeight="1">
      <c r="A11" s="312"/>
      <c r="B11" s="279" t="s">
        <v>49</v>
      </c>
      <c r="C11" s="280" t="s">
        <v>50</v>
      </c>
      <c r="D11" s="281" t="s">
        <v>43</v>
      </c>
      <c r="E11" s="282">
        <v>0</v>
      </c>
      <c r="F11" s="283"/>
      <c r="G11" s="282">
        <v>0</v>
      </c>
      <c r="H11" s="283"/>
      <c r="I11" s="284">
        <v>0</v>
      </c>
      <c r="J11" s="285">
        <v>0</v>
      </c>
      <c r="K11" s="285">
        <v>0</v>
      </c>
      <c r="L11" s="285">
        <v>0</v>
      </c>
      <c r="M11" s="285">
        <v>105000</v>
      </c>
      <c r="N11" s="285">
        <v>174500</v>
      </c>
      <c r="O11" s="285">
        <v>45000</v>
      </c>
      <c r="P11" s="285">
        <v>0</v>
      </c>
      <c r="Q11" s="285">
        <v>0</v>
      </c>
      <c r="R11" s="286">
        <f>SUM(J11:Q11)</f>
        <v>324500</v>
      </c>
      <c r="S11" s="287">
        <f>I11-R11</f>
        <v>-324500</v>
      </c>
      <c r="T11" s="288">
        <f>G11-I11</f>
        <v>0</v>
      </c>
      <c r="U11" s="289">
        <v>0</v>
      </c>
      <c r="V11" s="290" t="e">
        <f t="shared" si="0"/>
        <v>#DIV/0!</v>
      </c>
      <c r="X11" s="329"/>
      <c r="Y11" s="285"/>
      <c r="Z11" s="285"/>
      <c r="AA11" s="285"/>
      <c r="AB11" s="285"/>
      <c r="AC11" s="285"/>
      <c r="AD11" s="285"/>
      <c r="AE11" s="285"/>
    </row>
    <row r="12" spans="1:31" ht="18.95" customHeight="1">
      <c r="A12" s="312"/>
      <c r="B12" s="279" t="s">
        <v>51</v>
      </c>
      <c r="C12" s="280" t="s">
        <v>45</v>
      </c>
      <c r="D12" s="281" t="s">
        <v>43</v>
      </c>
      <c r="E12" s="282">
        <v>0</v>
      </c>
      <c r="F12" s="283"/>
      <c r="G12" s="282">
        <v>0</v>
      </c>
      <c r="H12" s="283"/>
      <c r="I12" s="284">
        <v>0</v>
      </c>
      <c r="J12" s="285">
        <v>0</v>
      </c>
      <c r="K12" s="285">
        <v>0</v>
      </c>
      <c r="L12" s="285">
        <v>29200</v>
      </c>
      <c r="M12" s="285">
        <v>0</v>
      </c>
      <c r="N12" s="285">
        <v>0</v>
      </c>
      <c r="O12" s="285">
        <v>0</v>
      </c>
      <c r="P12" s="285">
        <v>0</v>
      </c>
      <c r="Q12" s="285">
        <v>0</v>
      </c>
      <c r="R12" s="286">
        <f>SUM(J12:Q12)</f>
        <v>29200</v>
      </c>
      <c r="S12" s="287">
        <f>I12-R12</f>
        <v>-29200</v>
      </c>
      <c r="T12" s="288">
        <f>G12-I12</f>
        <v>0</v>
      </c>
      <c r="U12" s="289">
        <v>0</v>
      </c>
      <c r="V12" s="290" t="e">
        <f t="shared" si="0"/>
        <v>#DIV/0!</v>
      </c>
      <c r="X12" s="329"/>
      <c r="Y12" s="285"/>
      <c r="Z12" s="285"/>
      <c r="AA12" s="285"/>
      <c r="AB12" s="285"/>
      <c r="AC12" s="285"/>
      <c r="AD12" s="285"/>
      <c r="AE12" s="285"/>
    </row>
    <row r="13" spans="1:31" ht="18.95" customHeight="1">
      <c r="A13" s="312"/>
      <c r="B13" s="279" t="s">
        <v>52</v>
      </c>
      <c r="C13" s="280" t="s">
        <v>50</v>
      </c>
      <c r="D13" s="281" t="s">
        <v>43</v>
      </c>
      <c r="E13" s="282">
        <v>0</v>
      </c>
      <c r="F13" s="283"/>
      <c r="G13" s="282">
        <v>0</v>
      </c>
      <c r="H13" s="283"/>
      <c r="I13" s="284">
        <v>0</v>
      </c>
      <c r="J13" s="285">
        <v>0</v>
      </c>
      <c r="K13" s="285">
        <v>0</v>
      </c>
      <c r="L13" s="285">
        <v>0</v>
      </c>
      <c r="M13" s="285">
        <v>0</v>
      </c>
      <c r="N13" s="285">
        <v>1325</v>
      </c>
      <c r="O13" s="285">
        <v>0</v>
      </c>
      <c r="P13" s="285">
        <v>0</v>
      </c>
      <c r="Q13" s="285">
        <v>0</v>
      </c>
      <c r="R13" s="286">
        <f>SUM(J13:Q13)</f>
        <v>1325</v>
      </c>
      <c r="S13" s="287">
        <f>I13-R13</f>
        <v>-1325</v>
      </c>
      <c r="T13" s="288">
        <f>G13-I13</f>
        <v>0</v>
      </c>
      <c r="U13" s="289">
        <v>0</v>
      </c>
      <c r="V13" s="290" t="e">
        <f t="shared" si="0"/>
        <v>#DIV/0!</v>
      </c>
      <c r="X13" s="329"/>
      <c r="Y13" s="285"/>
      <c r="Z13" s="285"/>
      <c r="AA13" s="285"/>
      <c r="AB13" s="285"/>
      <c r="AC13" s="285"/>
      <c r="AD13" s="285"/>
      <c r="AE13" s="285"/>
    </row>
    <row r="14" spans="1:31" ht="18.95" customHeight="1">
      <c r="A14" s="312"/>
      <c r="B14" s="279" t="s">
        <v>53</v>
      </c>
      <c r="C14" s="280" t="s">
        <v>45</v>
      </c>
      <c r="D14" s="281" t="s">
        <v>43</v>
      </c>
      <c r="E14" s="282">
        <v>0</v>
      </c>
      <c r="F14" s="283"/>
      <c r="G14" s="282">
        <v>0</v>
      </c>
      <c r="H14" s="283"/>
      <c r="I14" s="284">
        <v>0</v>
      </c>
      <c r="J14" s="285">
        <v>0</v>
      </c>
      <c r="K14" s="285">
        <v>0</v>
      </c>
      <c r="L14" s="285">
        <v>32465</v>
      </c>
      <c r="M14" s="285">
        <v>0</v>
      </c>
      <c r="N14" s="285">
        <v>0</v>
      </c>
      <c r="O14" s="285">
        <v>0</v>
      </c>
      <c r="P14" s="285">
        <v>0</v>
      </c>
      <c r="Q14" s="285">
        <v>0</v>
      </c>
      <c r="R14" s="286">
        <f>SUM(J14:Q14)</f>
        <v>32465</v>
      </c>
      <c r="S14" s="287">
        <f>I14-R14</f>
        <v>-32465</v>
      </c>
      <c r="T14" s="288">
        <f>G14-I14</f>
        <v>0</v>
      </c>
      <c r="U14" s="289">
        <v>0</v>
      </c>
      <c r="V14" s="290" t="e">
        <f t="shared" si="0"/>
        <v>#DIV/0!</v>
      </c>
      <c r="X14" s="329"/>
      <c r="Y14" s="285"/>
      <c r="Z14" s="285"/>
      <c r="AA14" s="285"/>
      <c r="AB14" s="285"/>
      <c r="AC14" s="285"/>
      <c r="AD14" s="285"/>
      <c r="AE14" s="285"/>
    </row>
    <row r="15" spans="1:31" ht="18.95" customHeight="1">
      <c r="A15" s="312"/>
      <c r="B15" s="279" t="s">
        <v>54</v>
      </c>
      <c r="C15" s="280" t="s">
        <v>42</v>
      </c>
      <c r="D15" s="281" t="s">
        <v>43</v>
      </c>
      <c r="E15" s="282">
        <v>250000</v>
      </c>
      <c r="F15" s="283"/>
      <c r="G15" s="282">
        <v>250000</v>
      </c>
      <c r="H15" s="283"/>
      <c r="I15" s="284">
        <v>250000</v>
      </c>
      <c r="J15" s="285">
        <v>0</v>
      </c>
      <c r="K15" s="285">
        <v>0</v>
      </c>
      <c r="L15" s="285">
        <v>143000</v>
      </c>
      <c r="M15" s="285">
        <v>0</v>
      </c>
      <c r="N15" s="285">
        <v>0</v>
      </c>
      <c r="O15" s="285">
        <v>0</v>
      </c>
      <c r="P15" s="285">
        <v>0</v>
      </c>
      <c r="Q15" s="285">
        <v>0</v>
      </c>
      <c r="R15" s="286">
        <f>SUM(J15:Q15)</f>
        <v>143000</v>
      </c>
      <c r="S15" s="287">
        <f>I15-R15</f>
        <v>107000</v>
      </c>
      <c r="T15" s="288">
        <f>G15-I15</f>
        <v>0</v>
      </c>
      <c r="U15" s="289">
        <v>0</v>
      </c>
      <c r="V15" s="290" t="e">
        <f t="shared" si="0"/>
        <v>#DIV/0!</v>
      </c>
      <c r="X15" s="329"/>
      <c r="Y15" s="285"/>
      <c r="Z15" s="285"/>
      <c r="AA15" s="285"/>
      <c r="AB15" s="285"/>
      <c r="AC15" s="285"/>
      <c r="AD15" s="285"/>
      <c r="AE15" s="285"/>
    </row>
    <row r="16" spans="1:31" ht="18.95" customHeight="1">
      <c r="A16" s="312"/>
      <c r="B16" s="279" t="s">
        <v>55</v>
      </c>
      <c r="C16" s="280" t="s">
        <v>45</v>
      </c>
      <c r="D16" s="281" t="s">
        <v>43</v>
      </c>
      <c r="E16" s="282">
        <v>0</v>
      </c>
      <c r="F16" s="283"/>
      <c r="G16" s="282">
        <v>0</v>
      </c>
      <c r="H16" s="283"/>
      <c r="I16" s="284">
        <v>0</v>
      </c>
      <c r="J16" s="285">
        <v>0</v>
      </c>
      <c r="K16" s="285">
        <v>0</v>
      </c>
      <c r="L16" s="285">
        <v>37200</v>
      </c>
      <c r="M16" s="285">
        <v>58270</v>
      </c>
      <c r="N16" s="285">
        <v>0</v>
      </c>
      <c r="O16" s="285">
        <v>0</v>
      </c>
      <c r="P16" s="285">
        <v>0</v>
      </c>
      <c r="Q16" s="285">
        <v>0</v>
      </c>
      <c r="R16" s="286">
        <f>SUM(J16:Q16)</f>
        <v>95470</v>
      </c>
      <c r="S16" s="287">
        <f>I16-R16</f>
        <v>-95470</v>
      </c>
      <c r="T16" s="288">
        <f>G16-I16</f>
        <v>0</v>
      </c>
      <c r="U16" s="289">
        <v>0</v>
      </c>
      <c r="V16" s="290" t="e">
        <f t="shared" si="0"/>
        <v>#DIV/0!</v>
      </c>
      <c r="X16" s="329"/>
      <c r="Y16" s="285"/>
      <c r="Z16" s="285"/>
      <c r="AA16" s="285"/>
      <c r="AB16" s="285"/>
      <c r="AC16" s="285"/>
      <c r="AD16" s="285"/>
      <c r="AE16" s="285"/>
    </row>
    <row r="17" spans="1:31" ht="18.95" customHeight="1">
      <c r="A17" s="312"/>
      <c r="B17" s="279" t="s">
        <v>56</v>
      </c>
      <c r="C17" s="280" t="s">
        <v>57</v>
      </c>
      <c r="D17" s="281" t="s">
        <v>43</v>
      </c>
      <c r="E17" s="282">
        <v>0</v>
      </c>
      <c r="F17" s="283"/>
      <c r="G17" s="282">
        <v>0</v>
      </c>
      <c r="H17" s="283"/>
      <c r="I17" s="284">
        <v>0</v>
      </c>
      <c r="J17" s="285">
        <v>199000</v>
      </c>
      <c r="K17" s="285">
        <v>8000</v>
      </c>
      <c r="L17" s="285">
        <v>0</v>
      </c>
      <c r="M17" s="285">
        <v>0</v>
      </c>
      <c r="N17" s="285">
        <v>0</v>
      </c>
      <c r="O17" s="285">
        <v>0</v>
      </c>
      <c r="P17" s="285">
        <v>0</v>
      </c>
      <c r="Q17" s="285">
        <v>0</v>
      </c>
      <c r="R17" s="286">
        <f>SUM(J17:Q17)</f>
        <v>207000</v>
      </c>
      <c r="S17" s="287">
        <f>I17-R17</f>
        <v>-207000</v>
      </c>
      <c r="T17" s="288">
        <f>G17-I17</f>
        <v>0</v>
      </c>
      <c r="U17" s="289">
        <v>0</v>
      </c>
      <c r="V17" s="290" t="e">
        <f t="shared" si="0"/>
        <v>#DIV/0!</v>
      </c>
      <c r="X17" s="329"/>
      <c r="Y17" s="285"/>
      <c r="Z17" s="285"/>
      <c r="AA17" s="285"/>
      <c r="AB17" s="285"/>
      <c r="AC17" s="285"/>
      <c r="AD17" s="285"/>
      <c r="AE17" s="285"/>
    </row>
    <row r="18" spans="1:31" ht="18.95" customHeight="1">
      <c r="A18" s="312"/>
      <c r="B18" s="279" t="s">
        <v>58</v>
      </c>
      <c r="C18" s="280" t="s">
        <v>57</v>
      </c>
      <c r="D18" s="281" t="s">
        <v>43</v>
      </c>
      <c r="E18" s="282">
        <v>0</v>
      </c>
      <c r="F18" s="283"/>
      <c r="G18" s="282">
        <v>100000</v>
      </c>
      <c r="H18" s="283"/>
      <c r="I18" s="284">
        <v>195800</v>
      </c>
      <c r="J18" s="285">
        <v>0</v>
      </c>
      <c r="K18" s="285">
        <v>0</v>
      </c>
      <c r="L18" s="285">
        <v>103800</v>
      </c>
      <c r="M18" s="285">
        <v>32000</v>
      </c>
      <c r="N18" s="285">
        <v>20000</v>
      </c>
      <c r="O18" s="285">
        <v>20000</v>
      </c>
      <c r="P18" s="285">
        <v>0</v>
      </c>
      <c r="Q18" s="285">
        <v>0</v>
      </c>
      <c r="R18" s="286">
        <f>SUM(J18:Q18)</f>
        <v>175800</v>
      </c>
      <c r="S18" s="287">
        <f>I18-R18</f>
        <v>20000</v>
      </c>
      <c r="T18" s="288">
        <f>G18-I18</f>
        <v>-95800</v>
      </c>
      <c r="U18" s="289">
        <v>0</v>
      </c>
      <c r="V18" s="290" t="e">
        <f t="shared" si="0"/>
        <v>#DIV/0!</v>
      </c>
      <c r="X18" s="329"/>
      <c r="Y18" s="285"/>
      <c r="Z18" s="285"/>
      <c r="AA18" s="285"/>
      <c r="AB18" s="285"/>
      <c r="AC18" s="285"/>
      <c r="AD18" s="285"/>
      <c r="AE18" s="285"/>
    </row>
    <row r="19" spans="1:31" ht="18.95" customHeight="1">
      <c r="A19" s="312"/>
      <c r="B19" s="279" t="s">
        <v>59</v>
      </c>
      <c r="C19" s="280" t="s">
        <v>42</v>
      </c>
      <c r="D19" s="281" t="s">
        <v>43</v>
      </c>
      <c r="E19" s="282">
        <v>0</v>
      </c>
      <c r="F19" s="283"/>
      <c r="G19" s="282">
        <v>0</v>
      </c>
      <c r="H19" s="283"/>
      <c r="I19" s="284">
        <v>0</v>
      </c>
      <c r="J19" s="285">
        <v>0</v>
      </c>
      <c r="K19" s="285">
        <v>0</v>
      </c>
      <c r="L19" s="285">
        <v>558700</v>
      </c>
      <c r="M19" s="285">
        <v>409250</v>
      </c>
      <c r="N19" s="285">
        <v>130200</v>
      </c>
      <c r="O19" s="285">
        <v>105000</v>
      </c>
      <c r="P19" s="285">
        <v>0</v>
      </c>
      <c r="Q19" s="285">
        <v>0</v>
      </c>
      <c r="R19" s="286">
        <f>SUM(J19:Q19)</f>
        <v>1203150</v>
      </c>
      <c r="S19" s="287">
        <f>I19-R19</f>
        <v>-1203150</v>
      </c>
      <c r="T19" s="288">
        <f>G19-I19</f>
        <v>0</v>
      </c>
      <c r="U19" s="289">
        <v>0</v>
      </c>
      <c r="V19" s="290" t="e">
        <f t="shared" si="0"/>
        <v>#DIV/0!</v>
      </c>
      <c r="X19" s="329"/>
      <c r="Y19" s="285"/>
      <c r="Z19" s="285"/>
      <c r="AA19" s="285"/>
      <c r="AB19" s="285"/>
      <c r="AC19" s="285"/>
      <c r="AD19" s="285"/>
      <c r="AE19" s="285"/>
    </row>
    <row r="20" spans="1:31" ht="18.95" customHeight="1">
      <c r="A20" s="312"/>
      <c r="B20" s="279" t="s">
        <v>60</v>
      </c>
      <c r="C20" s="280" t="s">
        <v>39</v>
      </c>
      <c r="D20" s="281" t="s">
        <v>43</v>
      </c>
      <c r="E20" s="282">
        <v>0</v>
      </c>
      <c r="F20" s="283"/>
      <c r="G20" s="282">
        <v>0</v>
      </c>
      <c r="H20" s="283"/>
      <c r="I20" s="284">
        <v>0</v>
      </c>
      <c r="J20" s="285">
        <v>0</v>
      </c>
      <c r="K20" s="285">
        <v>0</v>
      </c>
      <c r="L20" s="285">
        <v>22000</v>
      </c>
      <c r="M20" s="285">
        <v>0</v>
      </c>
      <c r="N20" s="285">
        <v>0</v>
      </c>
      <c r="O20" s="285">
        <v>0</v>
      </c>
      <c r="P20" s="285">
        <v>0</v>
      </c>
      <c r="Q20" s="285">
        <v>0</v>
      </c>
      <c r="R20" s="286">
        <f>SUM(J20:Q20)</f>
        <v>22000</v>
      </c>
      <c r="S20" s="287">
        <f>I20-R20</f>
        <v>-22000</v>
      </c>
      <c r="T20" s="288">
        <f>G20-I20</f>
        <v>0</v>
      </c>
      <c r="U20" s="289">
        <v>0</v>
      </c>
      <c r="V20" s="290" t="e">
        <f t="shared" si="0"/>
        <v>#DIV/0!</v>
      </c>
      <c r="X20" s="329"/>
      <c r="Y20" s="285"/>
      <c r="Z20" s="285"/>
      <c r="AA20" s="285"/>
      <c r="AB20" s="285"/>
      <c r="AC20" s="285"/>
      <c r="AD20" s="285"/>
      <c r="AE20" s="285"/>
    </row>
    <row r="21" spans="1:31" ht="18.95" customHeight="1">
      <c r="A21" s="312"/>
      <c r="B21" s="279" t="s">
        <v>61</v>
      </c>
      <c r="C21" s="280" t="s">
        <v>57</v>
      </c>
      <c r="D21" s="281" t="s">
        <v>62</v>
      </c>
      <c r="E21" s="282">
        <v>530000</v>
      </c>
      <c r="F21" s="283"/>
      <c r="G21" s="282">
        <v>650000</v>
      </c>
      <c r="H21" s="283"/>
      <c r="I21" s="284">
        <v>650000</v>
      </c>
      <c r="J21" s="285">
        <v>0</v>
      </c>
      <c r="K21" s="285">
        <v>0</v>
      </c>
      <c r="L21" s="285">
        <v>351000</v>
      </c>
      <c r="M21" s="285">
        <v>0</v>
      </c>
      <c r="N21" s="285">
        <v>0</v>
      </c>
      <c r="O21" s="285">
        <v>0</v>
      </c>
      <c r="P21" s="285">
        <v>0</v>
      </c>
      <c r="Q21" s="285">
        <v>0</v>
      </c>
      <c r="R21" s="286">
        <f>SUM(J21:Q21)</f>
        <v>351000</v>
      </c>
      <c r="S21" s="287">
        <f>I21-R21</f>
        <v>299000</v>
      </c>
      <c r="T21" s="288">
        <f>G21-I21</f>
        <v>0</v>
      </c>
      <c r="U21" s="289">
        <v>1</v>
      </c>
      <c r="V21" s="290">
        <f t="shared" si="0"/>
        <v>351000</v>
      </c>
      <c r="X21" s="329"/>
      <c r="Y21" s="285"/>
      <c r="Z21" s="285"/>
      <c r="AA21" s="285"/>
      <c r="AB21" s="285"/>
      <c r="AC21" s="285"/>
      <c r="AD21" s="285"/>
      <c r="AE21" s="285"/>
    </row>
    <row r="22" spans="1:31" ht="18.95" customHeight="1">
      <c r="A22" s="312"/>
      <c r="B22" s="279" t="s">
        <v>61</v>
      </c>
      <c r="C22" s="280" t="s">
        <v>57</v>
      </c>
      <c r="D22" s="281" t="s">
        <v>43</v>
      </c>
      <c r="E22" s="282">
        <v>0</v>
      </c>
      <c r="F22" s="283"/>
      <c r="G22" s="282">
        <v>0</v>
      </c>
      <c r="H22" s="283"/>
      <c r="I22" s="284">
        <v>0</v>
      </c>
      <c r="J22" s="285">
        <v>0</v>
      </c>
      <c r="K22" s="285">
        <v>0</v>
      </c>
      <c r="L22" s="285">
        <v>0</v>
      </c>
      <c r="M22" s="285">
        <v>78392</v>
      </c>
      <c r="N22" s="285">
        <v>33674</v>
      </c>
      <c r="O22" s="285">
        <v>54816</v>
      </c>
      <c r="P22" s="285">
        <v>0</v>
      </c>
      <c r="Q22" s="285">
        <v>0</v>
      </c>
      <c r="R22" s="286">
        <f>SUM(J22:Q22)</f>
        <v>166882</v>
      </c>
      <c r="S22" s="287">
        <f>I22-R22</f>
        <v>-166882</v>
      </c>
      <c r="T22" s="288">
        <f>G22-I22</f>
        <v>0</v>
      </c>
      <c r="U22" s="289">
        <v>0</v>
      </c>
      <c r="V22" s="290" t="e">
        <f t="shared" si="0"/>
        <v>#DIV/0!</v>
      </c>
      <c r="X22" s="329"/>
      <c r="Y22" s="285"/>
      <c r="Z22" s="285"/>
      <c r="AA22" s="285"/>
      <c r="AB22" s="285"/>
      <c r="AC22" s="285"/>
      <c r="AD22" s="285"/>
      <c r="AE22" s="285"/>
    </row>
    <row r="23" spans="1:31" ht="18.95" customHeight="1">
      <c r="A23" s="312"/>
      <c r="B23" s="279" t="s">
        <v>63</v>
      </c>
      <c r="C23" s="280" t="s">
        <v>57</v>
      </c>
      <c r="D23" s="281" t="s">
        <v>43</v>
      </c>
      <c r="E23" s="282">
        <v>0</v>
      </c>
      <c r="F23" s="283"/>
      <c r="G23" s="282">
        <v>0</v>
      </c>
      <c r="H23" s="283"/>
      <c r="I23" s="284">
        <v>0</v>
      </c>
      <c r="J23" s="285">
        <v>0</v>
      </c>
      <c r="K23" s="285">
        <v>0</v>
      </c>
      <c r="L23" s="285">
        <v>128190</v>
      </c>
      <c r="M23" s="285">
        <v>0</v>
      </c>
      <c r="N23" s="285">
        <v>0</v>
      </c>
      <c r="O23" s="285">
        <v>0</v>
      </c>
      <c r="P23" s="285">
        <v>0</v>
      </c>
      <c r="Q23" s="285">
        <v>0</v>
      </c>
      <c r="R23" s="286">
        <f>SUM(J23:Q23)</f>
        <v>128190</v>
      </c>
      <c r="S23" s="287">
        <f>I23-R23</f>
        <v>-128190</v>
      </c>
      <c r="T23" s="288">
        <f>G23-I23</f>
        <v>0</v>
      </c>
      <c r="U23" s="289">
        <v>0</v>
      </c>
      <c r="V23" s="290" t="e">
        <f t="shared" si="0"/>
        <v>#DIV/0!</v>
      </c>
      <c r="X23" s="329"/>
      <c r="Y23" s="285"/>
      <c r="Z23" s="285"/>
      <c r="AA23" s="285"/>
      <c r="AB23" s="285"/>
      <c r="AC23" s="285"/>
      <c r="AD23" s="285"/>
      <c r="AE23" s="285"/>
    </row>
    <row r="24" spans="1:31" ht="18.95" customHeight="1">
      <c r="A24" s="312"/>
      <c r="B24" s="279"/>
      <c r="C24" s="280" t="s">
        <v>57</v>
      </c>
      <c r="D24" s="281" t="s">
        <v>43</v>
      </c>
      <c r="E24" s="282">
        <v>0</v>
      </c>
      <c r="F24" s="283"/>
      <c r="G24" s="282">
        <v>0</v>
      </c>
      <c r="H24" s="283"/>
      <c r="I24" s="284">
        <v>0</v>
      </c>
      <c r="J24" s="285">
        <v>0</v>
      </c>
      <c r="K24" s="285">
        <v>0</v>
      </c>
      <c r="L24" s="285">
        <v>0</v>
      </c>
      <c r="M24" s="285">
        <v>0</v>
      </c>
      <c r="N24" s="285">
        <v>0</v>
      </c>
      <c r="O24" s="285">
        <v>0</v>
      </c>
      <c r="P24" s="285">
        <v>0</v>
      </c>
      <c r="Q24" s="285">
        <v>0</v>
      </c>
      <c r="R24" s="286">
        <f>SUM(J24:Q24)</f>
        <v>0</v>
      </c>
      <c r="S24" s="287">
        <f>I24-R24</f>
        <v>0</v>
      </c>
      <c r="T24" s="288">
        <f>G24-I24</f>
        <v>0</v>
      </c>
      <c r="U24" s="289">
        <v>0</v>
      </c>
      <c r="V24" s="290" t="e">
        <f t="shared" si="0"/>
        <v>#DIV/0!</v>
      </c>
      <c r="X24" s="329"/>
      <c r="Y24" s="285"/>
      <c r="Z24" s="285"/>
      <c r="AA24" s="285"/>
      <c r="AB24" s="285"/>
      <c r="AC24" s="285"/>
      <c r="AD24" s="285"/>
      <c r="AE24" s="285"/>
    </row>
    <row r="25" spans="1:31" ht="18.95" customHeight="1">
      <c r="A25" s="312"/>
      <c r="B25" s="279"/>
      <c r="C25" s="280" t="s">
        <v>47</v>
      </c>
      <c r="D25" s="281" t="s">
        <v>43</v>
      </c>
      <c r="E25" s="282">
        <v>0</v>
      </c>
      <c r="F25" s="283"/>
      <c r="G25" s="282">
        <v>0</v>
      </c>
      <c r="H25" s="283"/>
      <c r="I25" s="284">
        <v>0</v>
      </c>
      <c r="J25" s="285">
        <v>0</v>
      </c>
      <c r="K25" s="285">
        <v>0</v>
      </c>
      <c r="L25" s="285">
        <v>0</v>
      </c>
      <c r="M25" s="285">
        <v>0</v>
      </c>
      <c r="N25" s="285">
        <v>0</v>
      </c>
      <c r="O25" s="285">
        <v>0</v>
      </c>
      <c r="P25" s="285">
        <v>0</v>
      </c>
      <c r="Q25" s="285">
        <v>0</v>
      </c>
      <c r="R25" s="286">
        <f>SUM(J25:Q25)</f>
        <v>0</v>
      </c>
      <c r="S25" s="287">
        <f>I25-R25</f>
        <v>0</v>
      </c>
      <c r="T25" s="288">
        <f>G25-I25</f>
        <v>0</v>
      </c>
      <c r="U25" s="289">
        <v>0</v>
      </c>
      <c r="V25" s="290" t="e">
        <f t="shared" si="0"/>
        <v>#DIV/0!</v>
      </c>
      <c r="X25" s="329"/>
      <c r="Y25" s="285"/>
      <c r="Z25" s="285"/>
      <c r="AA25" s="285"/>
      <c r="AB25" s="285"/>
      <c r="AC25" s="285"/>
      <c r="AD25" s="285"/>
      <c r="AE25" s="285"/>
    </row>
    <row r="26" spans="1:31" ht="18.95" customHeight="1">
      <c r="A26" s="312"/>
      <c r="B26" s="279"/>
      <c r="C26" s="280" t="s">
        <v>39</v>
      </c>
      <c r="D26" s="281" t="s">
        <v>43</v>
      </c>
      <c r="E26" s="282">
        <v>0</v>
      </c>
      <c r="F26" s="283"/>
      <c r="G26" s="282">
        <v>0</v>
      </c>
      <c r="H26" s="283"/>
      <c r="I26" s="284">
        <v>0</v>
      </c>
      <c r="J26" s="285">
        <v>0</v>
      </c>
      <c r="K26" s="285">
        <v>0</v>
      </c>
      <c r="L26" s="285">
        <v>0</v>
      </c>
      <c r="M26" s="285">
        <v>0</v>
      </c>
      <c r="N26" s="285">
        <v>0</v>
      </c>
      <c r="O26" s="285">
        <v>0</v>
      </c>
      <c r="P26" s="285">
        <v>0</v>
      </c>
      <c r="Q26" s="285">
        <v>0</v>
      </c>
      <c r="R26" s="286">
        <f>SUM(J26:Q26)</f>
        <v>0</v>
      </c>
      <c r="S26" s="287">
        <f>I26-R26</f>
        <v>0</v>
      </c>
      <c r="T26" s="288">
        <f>G26-I26</f>
        <v>0</v>
      </c>
      <c r="U26" s="289">
        <v>0</v>
      </c>
      <c r="V26" s="290" t="e">
        <f t="shared" si="0"/>
        <v>#DIV/0!</v>
      </c>
      <c r="X26" s="329"/>
      <c r="Y26" s="285"/>
      <c r="Z26" s="285"/>
      <c r="AA26" s="285"/>
      <c r="AB26" s="285"/>
      <c r="AC26" s="285"/>
      <c r="AD26" s="285"/>
      <c r="AE26" s="285"/>
    </row>
    <row r="27" spans="1:31" ht="18.95" customHeight="1">
      <c r="A27" s="312"/>
      <c r="B27" s="279"/>
      <c r="C27" s="280" t="s">
        <v>45</v>
      </c>
      <c r="D27" s="281" t="s">
        <v>43</v>
      </c>
      <c r="E27" s="282">
        <v>0</v>
      </c>
      <c r="F27" s="283"/>
      <c r="G27" s="282">
        <v>0</v>
      </c>
      <c r="H27" s="283"/>
      <c r="I27" s="284">
        <v>200000</v>
      </c>
      <c r="J27" s="285">
        <v>0</v>
      </c>
      <c r="K27" s="285">
        <v>0</v>
      </c>
      <c r="L27" s="285">
        <v>0</v>
      </c>
      <c r="M27" s="285">
        <v>0</v>
      </c>
      <c r="N27" s="285">
        <v>0</v>
      </c>
      <c r="O27" s="285">
        <v>0</v>
      </c>
      <c r="P27" s="285">
        <v>0</v>
      </c>
      <c r="Q27" s="285">
        <v>0</v>
      </c>
      <c r="R27" s="286">
        <f>SUM(J27:Q27)</f>
        <v>0</v>
      </c>
      <c r="S27" s="287">
        <f>I27-R27</f>
        <v>200000</v>
      </c>
      <c r="T27" s="288">
        <f>G27-I27</f>
        <v>-200000</v>
      </c>
      <c r="U27" s="289">
        <v>0</v>
      </c>
      <c r="V27" s="290" t="e">
        <f t="shared" si="0"/>
        <v>#DIV/0!</v>
      </c>
      <c r="X27" s="329"/>
      <c r="Y27" s="285"/>
      <c r="Z27" s="285"/>
      <c r="AA27" s="285"/>
      <c r="AB27" s="285"/>
      <c r="AC27" s="285"/>
      <c r="AD27" s="285"/>
      <c r="AE27" s="285"/>
    </row>
    <row r="28" spans="1:31" ht="18.95" customHeight="1">
      <c r="A28" s="312"/>
      <c r="B28" s="279"/>
      <c r="C28" s="280" t="s">
        <v>42</v>
      </c>
      <c r="D28" s="281" t="s">
        <v>43</v>
      </c>
      <c r="E28" s="282">
        <v>1609000</v>
      </c>
      <c r="F28" s="283"/>
      <c r="G28" s="282">
        <v>0</v>
      </c>
      <c r="H28" s="283"/>
      <c r="I28" s="284">
        <v>0</v>
      </c>
      <c r="J28" s="285">
        <v>0</v>
      </c>
      <c r="K28" s="285">
        <v>0</v>
      </c>
      <c r="L28" s="285">
        <v>0</v>
      </c>
      <c r="M28" s="285">
        <v>0</v>
      </c>
      <c r="N28" s="285">
        <v>0</v>
      </c>
      <c r="O28" s="285">
        <v>0</v>
      </c>
      <c r="P28" s="285">
        <v>0</v>
      </c>
      <c r="Q28" s="285">
        <v>0</v>
      </c>
      <c r="R28" s="286">
        <f>SUM(J28:Q28)</f>
        <v>0</v>
      </c>
      <c r="S28" s="287">
        <f>I28-R28</f>
        <v>0</v>
      </c>
      <c r="T28" s="288">
        <f>G28-I28</f>
        <v>0</v>
      </c>
      <c r="U28" s="289">
        <v>0</v>
      </c>
      <c r="V28" s="290" t="e">
        <f t="shared" si="0"/>
        <v>#DIV/0!</v>
      </c>
      <c r="X28" s="329"/>
      <c r="Y28" s="285"/>
      <c r="Z28" s="285"/>
      <c r="AA28" s="285"/>
      <c r="AB28" s="285"/>
      <c r="AC28" s="285"/>
      <c r="AD28" s="285"/>
      <c r="AE28" s="285"/>
    </row>
    <row r="29" spans="1:31" ht="18.95" customHeight="1">
      <c r="A29" s="312"/>
      <c r="B29" s="279"/>
      <c r="C29" s="280" t="s">
        <v>64</v>
      </c>
      <c r="D29" s="281" t="s">
        <v>43</v>
      </c>
      <c r="E29" s="282">
        <v>0</v>
      </c>
      <c r="F29" s="283"/>
      <c r="G29" s="282">
        <v>0</v>
      </c>
      <c r="H29" s="283"/>
      <c r="I29" s="284">
        <v>0</v>
      </c>
      <c r="J29" s="285">
        <v>0</v>
      </c>
      <c r="K29" s="285">
        <v>0</v>
      </c>
      <c r="L29" s="285">
        <v>0</v>
      </c>
      <c r="M29" s="285">
        <v>0</v>
      </c>
      <c r="N29" s="285">
        <v>0</v>
      </c>
      <c r="O29" s="285">
        <v>0</v>
      </c>
      <c r="P29" s="285">
        <v>0</v>
      </c>
      <c r="Q29" s="285">
        <v>0</v>
      </c>
      <c r="R29" s="286">
        <f>SUM(J29:Q29)</f>
        <v>0</v>
      </c>
      <c r="S29" s="287">
        <f>I29-R29</f>
        <v>0</v>
      </c>
      <c r="T29" s="288">
        <f>G29-I29</f>
        <v>0</v>
      </c>
      <c r="U29" s="289">
        <v>0</v>
      </c>
      <c r="V29" s="290" t="e">
        <f t="shared" si="0"/>
        <v>#DIV/0!</v>
      </c>
      <c r="X29" s="329"/>
      <c r="Y29" s="285"/>
      <c r="Z29" s="285"/>
      <c r="AA29" s="285"/>
      <c r="AB29" s="285"/>
      <c r="AC29" s="285"/>
      <c r="AD29" s="285"/>
      <c r="AE29" s="285"/>
    </row>
    <row r="30" spans="1:31" ht="18.95" customHeight="1">
      <c r="A30" s="313"/>
      <c r="B30" s="279"/>
      <c r="C30" s="280" t="s">
        <v>50</v>
      </c>
      <c r="D30" s="281" t="s">
        <v>43</v>
      </c>
      <c r="E30" s="282">
        <v>970000</v>
      </c>
      <c r="F30" s="283"/>
      <c r="G30" s="282">
        <v>900000</v>
      </c>
      <c r="H30" s="283"/>
      <c r="I30" s="284">
        <v>700000</v>
      </c>
      <c r="J30" s="285">
        <v>0</v>
      </c>
      <c r="K30" s="285">
        <v>0</v>
      </c>
      <c r="L30" s="285">
        <v>0</v>
      </c>
      <c r="M30" s="285">
        <v>0</v>
      </c>
      <c r="N30" s="285">
        <v>0</v>
      </c>
      <c r="O30" s="285">
        <v>0</v>
      </c>
      <c r="P30" s="285">
        <v>0</v>
      </c>
      <c r="Q30" s="285">
        <v>0</v>
      </c>
      <c r="R30" s="286">
        <f>SUM(J30:Q30)</f>
        <v>0</v>
      </c>
      <c r="S30" s="287">
        <f>I30-R30</f>
        <v>700000</v>
      </c>
      <c r="T30" s="288">
        <f>G30-I30</f>
        <v>200000</v>
      </c>
      <c r="U30" s="289">
        <v>0</v>
      </c>
      <c r="V30" s="290" t="e">
        <f t="shared" si="0"/>
        <v>#DIV/0!</v>
      </c>
      <c r="X30" s="329"/>
      <c r="Y30" s="285"/>
      <c r="Z30" s="285"/>
      <c r="AA30" s="285"/>
      <c r="AB30" s="285"/>
      <c r="AC30" s="285"/>
      <c r="AD30" s="285"/>
      <c r="AE30" s="285"/>
    </row>
    <row r="31" spans="1:31" ht="18.95" customHeight="1">
      <c r="A31" s="314" t="s">
        <v>65</v>
      </c>
      <c r="B31" s="291" t="s">
        <v>66</v>
      </c>
      <c r="C31" s="292" t="s">
        <v>67</v>
      </c>
      <c r="D31" s="293" t="s">
        <v>68</v>
      </c>
      <c r="E31" s="294">
        <v>10752500</v>
      </c>
      <c r="F31" s="295"/>
      <c r="G31" s="294">
        <v>10700000</v>
      </c>
      <c r="H31" s="295"/>
      <c r="I31" s="296">
        <v>10700000</v>
      </c>
      <c r="J31" s="273">
        <v>0</v>
      </c>
      <c r="K31" s="273">
        <v>0</v>
      </c>
      <c r="L31" s="273">
        <v>4333500</v>
      </c>
      <c r="M31" s="273">
        <v>1444500</v>
      </c>
      <c r="N31" s="273">
        <v>0</v>
      </c>
      <c r="O31" s="273">
        <v>0</v>
      </c>
      <c r="P31" s="273">
        <v>0</v>
      </c>
      <c r="Q31" s="273">
        <v>0</v>
      </c>
      <c r="R31" s="274">
        <f>SUM(J31:Q31)</f>
        <v>5778000</v>
      </c>
      <c r="S31" s="275">
        <f>I31-R31</f>
        <v>4922000</v>
      </c>
      <c r="T31" s="276">
        <f>G31-I31</f>
        <v>0</v>
      </c>
      <c r="U31" s="297">
        <v>106</v>
      </c>
      <c r="V31" s="278">
        <f t="shared" si="0"/>
        <v>54509.433962264149</v>
      </c>
      <c r="X31" s="328"/>
      <c r="Y31" s="273"/>
      <c r="Z31" s="273"/>
      <c r="AA31" s="273"/>
      <c r="AB31" s="273"/>
      <c r="AC31" s="273"/>
      <c r="AD31" s="273"/>
      <c r="AE31" s="273"/>
    </row>
    <row r="32" spans="1:31" ht="18.95" customHeight="1">
      <c r="A32" s="312"/>
      <c r="B32" s="279"/>
      <c r="C32" s="280" t="s">
        <v>67</v>
      </c>
      <c r="D32" s="281" t="s">
        <v>43</v>
      </c>
      <c r="E32" s="282">
        <v>0</v>
      </c>
      <c r="F32" s="283"/>
      <c r="G32" s="282">
        <v>0</v>
      </c>
      <c r="H32" s="283"/>
      <c r="I32" s="284">
        <v>0</v>
      </c>
      <c r="J32" s="285">
        <v>0</v>
      </c>
      <c r="K32" s="285">
        <v>0</v>
      </c>
      <c r="L32" s="285">
        <v>0</v>
      </c>
      <c r="M32" s="285">
        <v>0</v>
      </c>
      <c r="N32" s="285">
        <v>0</v>
      </c>
      <c r="O32" s="285">
        <v>0</v>
      </c>
      <c r="P32" s="285">
        <v>0</v>
      </c>
      <c r="Q32" s="285">
        <v>0</v>
      </c>
      <c r="R32" s="286">
        <f>SUM(J32:Q32)</f>
        <v>0</v>
      </c>
      <c r="S32" s="287">
        <f>I32-R32</f>
        <v>0</v>
      </c>
      <c r="T32" s="288">
        <f>G32-I32</f>
        <v>0</v>
      </c>
      <c r="U32" s="289">
        <v>0</v>
      </c>
      <c r="V32" s="290" t="e">
        <f t="shared" si="0"/>
        <v>#DIV/0!</v>
      </c>
      <c r="X32" s="329"/>
      <c r="Y32" s="285"/>
      <c r="Z32" s="285"/>
      <c r="AA32" s="285"/>
      <c r="AB32" s="285"/>
      <c r="AC32" s="285"/>
      <c r="AD32" s="285"/>
      <c r="AE32" s="285"/>
    </row>
    <row r="33" spans="1:31" ht="18.95" customHeight="1">
      <c r="A33" s="312"/>
      <c r="B33" s="279"/>
      <c r="C33" s="280" t="s">
        <v>69</v>
      </c>
      <c r="D33" s="281" t="s">
        <v>43</v>
      </c>
      <c r="E33" s="282">
        <v>0</v>
      </c>
      <c r="F33" s="283"/>
      <c r="G33" s="282">
        <v>0</v>
      </c>
      <c r="H33" s="283"/>
      <c r="I33" s="284">
        <v>0</v>
      </c>
      <c r="J33" s="285">
        <v>0</v>
      </c>
      <c r="K33" s="285">
        <v>0</v>
      </c>
      <c r="L33" s="285">
        <v>0</v>
      </c>
      <c r="M33" s="285">
        <v>0</v>
      </c>
      <c r="N33" s="285">
        <v>0</v>
      </c>
      <c r="O33" s="285">
        <v>0</v>
      </c>
      <c r="P33" s="285">
        <v>0</v>
      </c>
      <c r="Q33" s="285">
        <v>0</v>
      </c>
      <c r="R33" s="286">
        <f>SUM(J33:Q33)</f>
        <v>0</v>
      </c>
      <c r="S33" s="287">
        <f>I33-R33</f>
        <v>0</v>
      </c>
      <c r="T33" s="288">
        <f>G33-I33</f>
        <v>0</v>
      </c>
      <c r="U33" s="289">
        <v>0</v>
      </c>
      <c r="V33" s="290" t="e">
        <f t="shared" si="0"/>
        <v>#DIV/0!</v>
      </c>
      <c r="X33" s="329"/>
      <c r="Y33" s="285"/>
      <c r="Z33" s="285"/>
      <c r="AA33" s="285"/>
      <c r="AB33" s="285"/>
      <c r="AC33" s="285"/>
      <c r="AD33" s="285"/>
      <c r="AE33" s="285"/>
    </row>
    <row r="34" spans="1:31" ht="18.95" customHeight="1">
      <c r="A34" s="312"/>
      <c r="B34" s="279"/>
      <c r="C34" s="280" t="s">
        <v>70</v>
      </c>
      <c r="D34" s="281" t="s">
        <v>43</v>
      </c>
      <c r="E34" s="282">
        <v>126000</v>
      </c>
      <c r="F34" s="283"/>
      <c r="G34" s="282">
        <v>0</v>
      </c>
      <c r="H34" s="283"/>
      <c r="I34" s="284">
        <v>0</v>
      </c>
      <c r="J34" s="285">
        <v>0</v>
      </c>
      <c r="K34" s="285">
        <v>0</v>
      </c>
      <c r="L34" s="285">
        <v>0</v>
      </c>
      <c r="M34" s="285">
        <v>0</v>
      </c>
      <c r="N34" s="285">
        <v>0</v>
      </c>
      <c r="O34" s="285">
        <v>0</v>
      </c>
      <c r="P34" s="285">
        <v>0</v>
      </c>
      <c r="Q34" s="285">
        <v>0</v>
      </c>
      <c r="R34" s="286">
        <f>SUM(J34:Q34)</f>
        <v>0</v>
      </c>
      <c r="S34" s="287">
        <f>I34-R34</f>
        <v>0</v>
      </c>
      <c r="T34" s="288">
        <f>G34-I34</f>
        <v>0</v>
      </c>
      <c r="U34" s="289">
        <v>0</v>
      </c>
      <c r="V34" s="290" t="e">
        <f t="shared" si="0"/>
        <v>#DIV/0!</v>
      </c>
      <c r="X34" s="329"/>
      <c r="Y34" s="285"/>
      <c r="Z34" s="285"/>
      <c r="AA34" s="285"/>
      <c r="AB34" s="285"/>
      <c r="AC34" s="285"/>
      <c r="AD34" s="285"/>
      <c r="AE34" s="285"/>
    </row>
    <row r="35" spans="1:31" ht="18.95" customHeight="1">
      <c r="A35" s="312"/>
      <c r="B35" s="279"/>
      <c r="C35" s="280" t="s">
        <v>71</v>
      </c>
      <c r="D35" s="281" t="s">
        <v>43</v>
      </c>
      <c r="E35" s="282">
        <v>0</v>
      </c>
      <c r="F35" s="283"/>
      <c r="G35" s="282">
        <v>0</v>
      </c>
      <c r="H35" s="283"/>
      <c r="I35" s="284">
        <v>0</v>
      </c>
      <c r="J35" s="285">
        <v>0</v>
      </c>
      <c r="K35" s="285">
        <v>0</v>
      </c>
      <c r="L35" s="285">
        <v>0</v>
      </c>
      <c r="M35" s="285">
        <v>0</v>
      </c>
      <c r="N35" s="285">
        <v>0</v>
      </c>
      <c r="O35" s="285">
        <v>0</v>
      </c>
      <c r="P35" s="285">
        <v>0</v>
      </c>
      <c r="Q35" s="285">
        <v>0</v>
      </c>
      <c r="R35" s="286">
        <f>SUM(J35:Q35)</f>
        <v>0</v>
      </c>
      <c r="S35" s="287">
        <f>I35-R35</f>
        <v>0</v>
      </c>
      <c r="T35" s="288">
        <f>G35-I35</f>
        <v>0</v>
      </c>
      <c r="U35" s="289">
        <v>0</v>
      </c>
      <c r="V35" s="290" t="e">
        <f t="shared" si="0"/>
        <v>#DIV/0!</v>
      </c>
      <c r="X35" s="329"/>
      <c r="Y35" s="285"/>
      <c r="Z35" s="285"/>
      <c r="AA35" s="285"/>
      <c r="AB35" s="285"/>
      <c r="AC35" s="285"/>
      <c r="AD35" s="285"/>
      <c r="AE35" s="285"/>
    </row>
    <row r="36" spans="1:31" ht="18.95" customHeight="1">
      <c r="A36" s="312"/>
      <c r="B36" s="279"/>
      <c r="C36" s="280" t="s">
        <v>72</v>
      </c>
      <c r="D36" s="281" t="s">
        <v>43</v>
      </c>
      <c r="E36" s="282">
        <v>3750000</v>
      </c>
      <c r="F36" s="283"/>
      <c r="G36" s="282">
        <v>625000</v>
      </c>
      <c r="H36" s="283"/>
      <c r="I36" s="284">
        <v>375000</v>
      </c>
      <c r="J36" s="285">
        <v>0</v>
      </c>
      <c r="K36" s="285">
        <v>0</v>
      </c>
      <c r="L36" s="285">
        <v>0</v>
      </c>
      <c r="M36" s="285">
        <v>0</v>
      </c>
      <c r="N36" s="285">
        <v>0</v>
      </c>
      <c r="O36" s="285">
        <v>0</v>
      </c>
      <c r="P36" s="285">
        <v>0</v>
      </c>
      <c r="Q36" s="285">
        <v>0</v>
      </c>
      <c r="R36" s="286">
        <f>SUM(J36:Q36)</f>
        <v>0</v>
      </c>
      <c r="S36" s="287">
        <f>I36-R36</f>
        <v>375000</v>
      </c>
      <c r="T36" s="288">
        <f>G36-I36</f>
        <v>250000</v>
      </c>
      <c r="U36" s="289">
        <v>0</v>
      </c>
      <c r="V36" s="290" t="e">
        <f t="shared" si="0"/>
        <v>#DIV/0!</v>
      </c>
      <c r="X36" s="329"/>
      <c r="Y36" s="285"/>
      <c r="Z36" s="285"/>
      <c r="AA36" s="285"/>
      <c r="AB36" s="285"/>
      <c r="AC36" s="285"/>
      <c r="AD36" s="285"/>
      <c r="AE36" s="285"/>
    </row>
    <row r="37" spans="1:31" ht="18.95" customHeight="1">
      <c r="A37" s="313"/>
      <c r="B37" s="279"/>
      <c r="C37" s="280" t="s">
        <v>73</v>
      </c>
      <c r="D37" s="281" t="s">
        <v>43</v>
      </c>
      <c r="E37" s="282">
        <v>0</v>
      </c>
      <c r="F37" s="283"/>
      <c r="G37" s="282">
        <v>0</v>
      </c>
      <c r="H37" s="283"/>
      <c r="I37" s="284">
        <v>0</v>
      </c>
      <c r="J37" s="285">
        <v>0</v>
      </c>
      <c r="K37" s="285">
        <v>0</v>
      </c>
      <c r="L37" s="285">
        <v>0</v>
      </c>
      <c r="M37" s="285">
        <v>0</v>
      </c>
      <c r="N37" s="285">
        <v>0</v>
      </c>
      <c r="O37" s="285">
        <v>0</v>
      </c>
      <c r="P37" s="285">
        <v>0</v>
      </c>
      <c r="Q37" s="285">
        <v>0</v>
      </c>
      <c r="R37" s="286">
        <f>SUM(J37:Q37)</f>
        <v>0</v>
      </c>
      <c r="S37" s="287">
        <f>I37-R37</f>
        <v>0</v>
      </c>
      <c r="T37" s="288">
        <f>G37-I37</f>
        <v>0</v>
      </c>
      <c r="U37" s="289">
        <v>0</v>
      </c>
      <c r="V37" s="290" t="e">
        <f t="shared" si="0"/>
        <v>#DIV/0!</v>
      </c>
      <c r="X37" s="329"/>
      <c r="Y37" s="285"/>
      <c r="Z37" s="285"/>
      <c r="AA37" s="285"/>
      <c r="AB37" s="285"/>
      <c r="AC37" s="285"/>
      <c r="AD37" s="285"/>
      <c r="AE37" s="285"/>
    </row>
    <row r="38" spans="1:31" ht="18.95" customHeight="1">
      <c r="A38" s="314" t="s">
        <v>74</v>
      </c>
      <c r="B38" s="291" t="s">
        <v>38</v>
      </c>
      <c r="C38" s="292" t="s">
        <v>75</v>
      </c>
      <c r="D38" s="293" t="s">
        <v>40</v>
      </c>
      <c r="E38" s="294">
        <v>8049475</v>
      </c>
      <c r="F38" s="295"/>
      <c r="G38" s="294">
        <v>8583000</v>
      </c>
      <c r="H38" s="295"/>
      <c r="I38" s="296">
        <v>8583000</v>
      </c>
      <c r="J38" s="273">
        <v>0</v>
      </c>
      <c r="K38" s="273">
        <v>0</v>
      </c>
      <c r="L38" s="273">
        <v>1900000</v>
      </c>
      <c r="M38" s="273">
        <v>4270000</v>
      </c>
      <c r="N38" s="273">
        <v>1470000</v>
      </c>
      <c r="O38" s="273">
        <v>0</v>
      </c>
      <c r="P38" s="273">
        <v>0</v>
      </c>
      <c r="Q38" s="273">
        <v>0</v>
      </c>
      <c r="R38" s="274">
        <f>SUM(J38:Q38)</f>
        <v>7640000</v>
      </c>
      <c r="S38" s="275">
        <f>I38-R38</f>
        <v>943000</v>
      </c>
      <c r="T38" s="276">
        <f>G38-I38</f>
        <v>0</v>
      </c>
      <c r="U38" s="297">
        <v>128</v>
      </c>
      <c r="V38" s="278">
        <f t="shared" si="0"/>
        <v>59687.5</v>
      </c>
      <c r="X38" s="328"/>
      <c r="Y38" s="273"/>
      <c r="Z38" s="273"/>
      <c r="AA38" s="273"/>
      <c r="AB38" s="273"/>
      <c r="AC38" s="273"/>
      <c r="AD38" s="273"/>
      <c r="AE38" s="273"/>
    </row>
    <row r="39" spans="1:31" ht="18.95" customHeight="1">
      <c r="A39" s="312"/>
      <c r="B39" s="279" t="s">
        <v>38</v>
      </c>
      <c r="C39" s="280" t="s">
        <v>75</v>
      </c>
      <c r="D39" s="281" t="s">
        <v>43</v>
      </c>
      <c r="E39" s="282">
        <v>0</v>
      </c>
      <c r="F39" s="283"/>
      <c r="G39" s="282">
        <v>0</v>
      </c>
      <c r="H39" s="283"/>
      <c r="I39" s="284">
        <v>0</v>
      </c>
      <c r="J39" s="285">
        <v>0</v>
      </c>
      <c r="K39" s="285">
        <v>0</v>
      </c>
      <c r="L39" s="285">
        <v>0</v>
      </c>
      <c r="M39" s="285">
        <v>-235800</v>
      </c>
      <c r="N39" s="285">
        <v>-527600</v>
      </c>
      <c r="O39" s="285">
        <v>-399200</v>
      </c>
      <c r="P39" s="285">
        <v>0</v>
      </c>
      <c r="Q39" s="285">
        <v>0</v>
      </c>
      <c r="R39" s="286">
        <f>SUM(J39:Q39)</f>
        <v>-1162600</v>
      </c>
      <c r="S39" s="287">
        <f>I39-R39</f>
        <v>1162600</v>
      </c>
      <c r="T39" s="288">
        <f>G39-I39</f>
        <v>0</v>
      </c>
      <c r="U39" s="289">
        <v>0</v>
      </c>
      <c r="V39" s="290" t="e">
        <f t="shared" si="0"/>
        <v>#DIV/0!</v>
      </c>
      <c r="X39" s="329"/>
      <c r="Y39" s="285"/>
      <c r="Z39" s="285"/>
      <c r="AA39" s="285"/>
      <c r="AB39" s="285"/>
      <c r="AC39" s="285"/>
      <c r="AD39" s="285"/>
      <c r="AE39" s="285"/>
    </row>
    <row r="40" spans="1:31" ht="18.95" customHeight="1">
      <c r="A40" s="312"/>
      <c r="B40" s="279" t="s">
        <v>53</v>
      </c>
      <c r="C40" s="280" t="s">
        <v>76</v>
      </c>
      <c r="D40" s="281" t="s">
        <v>43</v>
      </c>
      <c r="E40" s="282">
        <v>0</v>
      </c>
      <c r="F40" s="283"/>
      <c r="G40" s="282">
        <v>0</v>
      </c>
      <c r="H40" s="283"/>
      <c r="I40" s="284">
        <v>0</v>
      </c>
      <c r="J40" s="285">
        <v>0</v>
      </c>
      <c r="K40" s="285">
        <v>0</v>
      </c>
      <c r="L40" s="285">
        <v>221600</v>
      </c>
      <c r="M40" s="285">
        <v>495200</v>
      </c>
      <c r="N40" s="285">
        <v>376200</v>
      </c>
      <c r="O40" s="285">
        <v>0</v>
      </c>
      <c r="P40" s="285">
        <v>0</v>
      </c>
      <c r="Q40" s="285">
        <v>0</v>
      </c>
      <c r="R40" s="286">
        <f>SUM(J40:Q40)</f>
        <v>1093000</v>
      </c>
      <c r="S40" s="287">
        <f>I40-R40</f>
        <v>-1093000</v>
      </c>
      <c r="T40" s="288">
        <f>G40-I40</f>
        <v>0</v>
      </c>
      <c r="U40" s="289">
        <v>0</v>
      </c>
      <c r="V40" s="290" t="e">
        <f t="shared" si="0"/>
        <v>#DIV/0!</v>
      </c>
      <c r="X40" s="329"/>
      <c r="Y40" s="285"/>
      <c r="Z40" s="285"/>
      <c r="AA40" s="285"/>
      <c r="AB40" s="285"/>
      <c r="AC40" s="285"/>
      <c r="AD40" s="285"/>
      <c r="AE40" s="285"/>
    </row>
    <row r="41" spans="1:31" ht="18.95" customHeight="1">
      <c r="A41" s="312"/>
      <c r="B41" s="279"/>
      <c r="C41" s="280" t="s">
        <v>75</v>
      </c>
      <c r="D41" s="281" t="s">
        <v>43</v>
      </c>
      <c r="E41" s="282">
        <v>0</v>
      </c>
      <c r="F41" s="283"/>
      <c r="G41" s="282">
        <v>0</v>
      </c>
      <c r="H41" s="283"/>
      <c r="I41" s="284">
        <v>0</v>
      </c>
      <c r="J41" s="285">
        <v>0</v>
      </c>
      <c r="K41" s="285">
        <v>0</v>
      </c>
      <c r="L41" s="285">
        <v>0</v>
      </c>
      <c r="M41" s="285">
        <v>0</v>
      </c>
      <c r="N41" s="285">
        <v>0</v>
      </c>
      <c r="O41" s="285">
        <v>0</v>
      </c>
      <c r="P41" s="285">
        <v>0</v>
      </c>
      <c r="Q41" s="285">
        <v>0</v>
      </c>
      <c r="R41" s="286">
        <f>SUM(J41:Q41)</f>
        <v>0</v>
      </c>
      <c r="S41" s="287">
        <f>I41-R41</f>
        <v>0</v>
      </c>
      <c r="T41" s="288">
        <f>G41-I41</f>
        <v>0</v>
      </c>
      <c r="U41" s="289">
        <v>0</v>
      </c>
      <c r="V41" s="290" t="e">
        <f t="shared" si="0"/>
        <v>#DIV/0!</v>
      </c>
      <c r="X41" s="329"/>
      <c r="Y41" s="285"/>
      <c r="Z41" s="285"/>
      <c r="AA41" s="285"/>
      <c r="AB41" s="285"/>
      <c r="AC41" s="285"/>
      <c r="AD41" s="285"/>
      <c r="AE41" s="285"/>
    </row>
    <row r="42" spans="1:31" ht="18.95" customHeight="1">
      <c r="A42" s="313"/>
      <c r="B42" s="279"/>
      <c r="C42" s="280" t="s">
        <v>76</v>
      </c>
      <c r="D42" s="281" t="s">
        <v>43</v>
      </c>
      <c r="E42" s="282">
        <v>0</v>
      </c>
      <c r="F42" s="283"/>
      <c r="G42" s="282">
        <v>0</v>
      </c>
      <c r="H42" s="283"/>
      <c r="I42" s="284">
        <v>0</v>
      </c>
      <c r="J42" s="285">
        <v>0</v>
      </c>
      <c r="K42" s="285">
        <v>0</v>
      </c>
      <c r="L42" s="285">
        <v>0</v>
      </c>
      <c r="M42" s="285">
        <v>0</v>
      </c>
      <c r="N42" s="285">
        <v>0</v>
      </c>
      <c r="O42" s="285">
        <v>0</v>
      </c>
      <c r="P42" s="285">
        <v>0</v>
      </c>
      <c r="Q42" s="285">
        <v>0</v>
      </c>
      <c r="R42" s="286">
        <f>SUM(J42:Q42)</f>
        <v>0</v>
      </c>
      <c r="S42" s="287">
        <f>I42-R42</f>
        <v>0</v>
      </c>
      <c r="T42" s="288">
        <f>G42-I42</f>
        <v>0</v>
      </c>
      <c r="U42" s="289">
        <v>0</v>
      </c>
      <c r="V42" s="290" t="e">
        <f t="shared" si="0"/>
        <v>#DIV/0!</v>
      </c>
      <c r="X42" s="329"/>
      <c r="Y42" s="285"/>
      <c r="Z42" s="285"/>
      <c r="AA42" s="285"/>
      <c r="AB42" s="285"/>
      <c r="AC42" s="285"/>
      <c r="AD42" s="285"/>
      <c r="AE42" s="285"/>
    </row>
    <row r="43" spans="1:31" ht="18.95" customHeight="1">
      <c r="A43" s="314" t="s">
        <v>77</v>
      </c>
      <c r="B43" s="291" t="s">
        <v>38</v>
      </c>
      <c r="C43" s="292" t="s">
        <v>78</v>
      </c>
      <c r="D43" s="293" t="s">
        <v>40</v>
      </c>
      <c r="E43" s="294">
        <v>822100</v>
      </c>
      <c r="F43" s="295"/>
      <c r="G43" s="294">
        <v>679200</v>
      </c>
      <c r="H43" s="295"/>
      <c r="I43" s="296">
        <v>679200</v>
      </c>
      <c r="J43" s="273">
        <v>0</v>
      </c>
      <c r="K43" s="273">
        <v>0</v>
      </c>
      <c r="L43" s="273">
        <v>0</v>
      </c>
      <c r="M43" s="273">
        <v>679200</v>
      </c>
      <c r="N43" s="273">
        <v>0</v>
      </c>
      <c r="O43" s="273">
        <v>0</v>
      </c>
      <c r="P43" s="273">
        <v>0</v>
      </c>
      <c r="Q43" s="273">
        <v>0</v>
      </c>
      <c r="R43" s="274">
        <f>SUM(J43:Q43)</f>
        <v>679200</v>
      </c>
      <c r="S43" s="275">
        <f>I43-R43</f>
        <v>0</v>
      </c>
      <c r="T43" s="276">
        <f>G43-I43</f>
        <v>0</v>
      </c>
      <c r="U43" s="297">
        <v>35</v>
      </c>
      <c r="V43" s="278">
        <f t="shared" si="0"/>
        <v>19405.714285714286</v>
      </c>
      <c r="X43" s="328"/>
      <c r="Y43" s="273"/>
      <c r="Z43" s="273"/>
      <c r="AA43" s="273"/>
      <c r="AB43" s="273"/>
      <c r="AC43" s="273"/>
      <c r="AD43" s="273"/>
      <c r="AE43" s="273"/>
    </row>
    <row r="44" spans="1:31" ht="18.95" customHeight="1">
      <c r="A44" s="312"/>
      <c r="B44" s="279" t="s">
        <v>38</v>
      </c>
      <c r="C44" s="280" t="s">
        <v>78</v>
      </c>
      <c r="D44" s="281" t="s">
        <v>43</v>
      </c>
      <c r="E44" s="282">
        <v>0</v>
      </c>
      <c r="F44" s="283"/>
      <c r="G44" s="282">
        <v>0</v>
      </c>
      <c r="H44" s="283"/>
      <c r="I44" s="284">
        <v>0</v>
      </c>
      <c r="J44" s="285">
        <v>0</v>
      </c>
      <c r="K44" s="285">
        <v>0</v>
      </c>
      <c r="L44" s="285">
        <v>325000</v>
      </c>
      <c r="M44" s="285">
        <v>0</v>
      </c>
      <c r="N44" s="285">
        <v>-54300</v>
      </c>
      <c r="O44" s="285">
        <v>0</v>
      </c>
      <c r="P44" s="285">
        <v>0</v>
      </c>
      <c r="Q44" s="285">
        <v>0</v>
      </c>
      <c r="R44" s="286">
        <f>SUM(J44:Q44)</f>
        <v>270700</v>
      </c>
      <c r="S44" s="287">
        <f>I44-R44</f>
        <v>-270700</v>
      </c>
      <c r="T44" s="288">
        <f>G44-I44</f>
        <v>0</v>
      </c>
      <c r="U44" s="289">
        <v>0</v>
      </c>
      <c r="V44" s="290" t="e">
        <f t="shared" si="0"/>
        <v>#DIV/0!</v>
      </c>
      <c r="X44" s="329"/>
      <c r="Y44" s="285"/>
      <c r="Z44" s="285"/>
      <c r="AA44" s="285"/>
      <c r="AB44" s="285"/>
      <c r="AC44" s="285"/>
      <c r="AD44" s="285"/>
      <c r="AE44" s="285"/>
    </row>
    <row r="45" spans="1:31" ht="18.95" customHeight="1">
      <c r="A45" s="312"/>
      <c r="B45" s="279" t="s">
        <v>38</v>
      </c>
      <c r="C45" s="280" t="s">
        <v>79</v>
      </c>
      <c r="D45" s="281" t="s">
        <v>40</v>
      </c>
      <c r="E45" s="282">
        <v>3684600</v>
      </c>
      <c r="F45" s="283"/>
      <c r="G45" s="282">
        <v>3756250</v>
      </c>
      <c r="H45" s="283"/>
      <c r="I45" s="284">
        <v>3756250</v>
      </c>
      <c r="J45" s="285">
        <v>0</v>
      </c>
      <c r="K45" s="285">
        <v>0</v>
      </c>
      <c r="L45" s="285">
        <v>0</v>
      </c>
      <c r="M45" s="285">
        <v>1280800</v>
      </c>
      <c r="N45" s="285">
        <v>1680000</v>
      </c>
      <c r="O45" s="285">
        <v>0</v>
      </c>
      <c r="P45" s="285">
        <v>0</v>
      </c>
      <c r="Q45" s="285">
        <v>0</v>
      </c>
      <c r="R45" s="286">
        <f>SUM(J45:Q45)</f>
        <v>2960800</v>
      </c>
      <c r="S45" s="287">
        <f>I45-R45</f>
        <v>795450</v>
      </c>
      <c r="T45" s="288">
        <f>G45-I45</f>
        <v>0</v>
      </c>
      <c r="U45" s="289">
        <v>30</v>
      </c>
      <c r="V45" s="290">
        <f t="shared" si="0"/>
        <v>98693.333333333328</v>
      </c>
      <c r="X45" s="329"/>
      <c r="Y45" s="285"/>
      <c r="Z45" s="285"/>
      <c r="AA45" s="285"/>
      <c r="AB45" s="285"/>
      <c r="AC45" s="285"/>
      <c r="AD45" s="285"/>
      <c r="AE45" s="285"/>
    </row>
    <row r="46" spans="1:31" ht="18.95" customHeight="1">
      <c r="A46" s="312"/>
      <c r="B46" s="279" t="s">
        <v>38</v>
      </c>
      <c r="C46" s="280" t="s">
        <v>79</v>
      </c>
      <c r="D46" s="281" t="s">
        <v>43</v>
      </c>
      <c r="E46" s="282">
        <v>0</v>
      </c>
      <c r="F46" s="283"/>
      <c r="G46" s="282">
        <v>0</v>
      </c>
      <c r="H46" s="283"/>
      <c r="I46" s="284">
        <v>0</v>
      </c>
      <c r="J46" s="285">
        <v>0</v>
      </c>
      <c r="K46" s="285">
        <v>0</v>
      </c>
      <c r="L46" s="285">
        <v>0</v>
      </c>
      <c r="M46" s="285">
        <v>259400</v>
      </c>
      <c r="N46" s="285">
        <v>0</v>
      </c>
      <c r="O46" s="285">
        <v>0</v>
      </c>
      <c r="P46" s="285">
        <v>0</v>
      </c>
      <c r="Q46" s="285">
        <v>0</v>
      </c>
      <c r="R46" s="286">
        <f>SUM(J46:Q46)</f>
        <v>259400</v>
      </c>
      <c r="S46" s="287">
        <f>I46-R46</f>
        <v>-259400</v>
      </c>
      <c r="T46" s="288">
        <f>G46-I46</f>
        <v>0</v>
      </c>
      <c r="U46" s="289">
        <v>0</v>
      </c>
      <c r="V46" s="290" t="e">
        <f t="shared" si="0"/>
        <v>#DIV/0!</v>
      </c>
      <c r="X46" s="329"/>
      <c r="Y46" s="285"/>
      <c r="Z46" s="285"/>
      <c r="AA46" s="285"/>
      <c r="AB46" s="285"/>
      <c r="AC46" s="285"/>
      <c r="AD46" s="285"/>
      <c r="AE46" s="285"/>
    </row>
    <row r="47" spans="1:31" ht="18.95" customHeight="1">
      <c r="A47" s="312"/>
      <c r="B47" s="279" t="s">
        <v>38</v>
      </c>
      <c r="C47" s="280" t="s">
        <v>80</v>
      </c>
      <c r="D47" s="281" t="s">
        <v>40</v>
      </c>
      <c r="E47" s="282">
        <v>1771450</v>
      </c>
      <c r="F47" s="283"/>
      <c r="G47" s="282">
        <v>1879290</v>
      </c>
      <c r="H47" s="283"/>
      <c r="I47" s="284">
        <v>1879290</v>
      </c>
      <c r="J47" s="285">
        <v>0</v>
      </c>
      <c r="K47" s="285">
        <v>0</v>
      </c>
      <c r="L47" s="285">
        <v>0</v>
      </c>
      <c r="M47" s="285">
        <v>0</v>
      </c>
      <c r="N47" s="285">
        <v>0</v>
      </c>
      <c r="O47" s="285">
        <v>0</v>
      </c>
      <c r="P47" s="285">
        <v>0</v>
      </c>
      <c r="Q47" s="285">
        <v>0</v>
      </c>
      <c r="R47" s="286">
        <f>SUM(J47:Q47)</f>
        <v>0</v>
      </c>
      <c r="S47" s="287">
        <f>I47-R47</f>
        <v>1879290</v>
      </c>
      <c r="T47" s="288">
        <f>G47-I47</f>
        <v>0</v>
      </c>
      <c r="U47" s="289">
        <v>10</v>
      </c>
      <c r="V47" s="290">
        <f t="shared" si="0"/>
        <v>0</v>
      </c>
      <c r="X47" s="329"/>
      <c r="Y47" s="285"/>
      <c r="Z47" s="285"/>
      <c r="AA47" s="285"/>
      <c r="AB47" s="285"/>
      <c r="AC47" s="285"/>
      <c r="AD47" s="285"/>
      <c r="AE47" s="285"/>
    </row>
    <row r="48" spans="1:31" ht="18.95" customHeight="1">
      <c r="A48" s="312"/>
      <c r="B48" s="279" t="s">
        <v>53</v>
      </c>
      <c r="C48" s="280" t="s">
        <v>81</v>
      </c>
      <c r="D48" s="281" t="s">
        <v>43</v>
      </c>
      <c r="E48" s="282">
        <v>0</v>
      </c>
      <c r="F48" s="283"/>
      <c r="G48" s="282">
        <v>0</v>
      </c>
      <c r="H48" s="283"/>
      <c r="I48" s="284">
        <v>0</v>
      </c>
      <c r="J48" s="285">
        <v>0</v>
      </c>
      <c r="K48" s="285">
        <v>0</v>
      </c>
      <c r="L48" s="285">
        <v>0</v>
      </c>
      <c r="M48" s="285">
        <v>48280</v>
      </c>
      <c r="N48" s="285">
        <v>0</v>
      </c>
      <c r="O48" s="285">
        <v>0</v>
      </c>
      <c r="P48" s="285">
        <v>0</v>
      </c>
      <c r="Q48" s="285">
        <v>0</v>
      </c>
      <c r="R48" s="286">
        <f>SUM(J48:Q48)</f>
        <v>48280</v>
      </c>
      <c r="S48" s="287">
        <f>I48-R48</f>
        <v>-48280</v>
      </c>
      <c r="T48" s="288">
        <f>G48-I48</f>
        <v>0</v>
      </c>
      <c r="U48" s="289">
        <v>0</v>
      </c>
      <c r="V48" s="290" t="e">
        <f t="shared" si="0"/>
        <v>#DIV/0!</v>
      </c>
      <c r="X48" s="329"/>
      <c r="Y48" s="285"/>
      <c r="Z48" s="285"/>
      <c r="AA48" s="285"/>
      <c r="AB48" s="285"/>
      <c r="AC48" s="285"/>
      <c r="AD48" s="285"/>
      <c r="AE48" s="285"/>
    </row>
    <row r="49" spans="1:31" ht="18.95" customHeight="1">
      <c r="A49" s="312"/>
      <c r="B49" s="279" t="s">
        <v>53</v>
      </c>
      <c r="C49" s="280" t="s">
        <v>82</v>
      </c>
      <c r="D49" s="281" t="s">
        <v>43</v>
      </c>
      <c r="E49" s="282">
        <v>0</v>
      </c>
      <c r="F49" s="283"/>
      <c r="G49" s="282">
        <v>0</v>
      </c>
      <c r="H49" s="283"/>
      <c r="I49" s="284">
        <v>0</v>
      </c>
      <c r="J49" s="285">
        <v>0</v>
      </c>
      <c r="K49" s="285">
        <v>0</v>
      </c>
      <c r="L49" s="285">
        <v>14700</v>
      </c>
      <c r="M49" s="285">
        <v>33880</v>
      </c>
      <c r="N49" s="285">
        <v>0</v>
      </c>
      <c r="O49" s="285">
        <v>0</v>
      </c>
      <c r="P49" s="285">
        <v>0</v>
      </c>
      <c r="Q49" s="285">
        <v>0</v>
      </c>
      <c r="R49" s="286">
        <f>SUM(J49:Q49)</f>
        <v>48580</v>
      </c>
      <c r="S49" s="287">
        <f>I49-R49</f>
        <v>-48580</v>
      </c>
      <c r="T49" s="288">
        <f>G49-I49</f>
        <v>0</v>
      </c>
      <c r="U49" s="289">
        <v>0</v>
      </c>
      <c r="V49" s="290" t="e">
        <f t="shared" si="0"/>
        <v>#DIV/0!</v>
      </c>
      <c r="X49" s="329"/>
      <c r="Y49" s="285"/>
      <c r="Z49" s="285"/>
      <c r="AA49" s="285"/>
      <c r="AB49" s="285"/>
      <c r="AC49" s="285"/>
      <c r="AD49" s="285"/>
      <c r="AE49" s="285"/>
    </row>
    <row r="50" spans="1:31" ht="18.95" customHeight="1">
      <c r="A50" s="312"/>
      <c r="B50" s="279" t="s">
        <v>83</v>
      </c>
      <c r="C50" s="280" t="s">
        <v>82</v>
      </c>
      <c r="D50" s="281" t="s">
        <v>43</v>
      </c>
      <c r="E50" s="282">
        <v>0</v>
      </c>
      <c r="F50" s="283"/>
      <c r="G50" s="282">
        <v>0</v>
      </c>
      <c r="H50" s="283"/>
      <c r="I50" s="284">
        <v>0</v>
      </c>
      <c r="J50" s="285">
        <v>0</v>
      </c>
      <c r="K50" s="285">
        <v>0</v>
      </c>
      <c r="L50" s="285">
        <v>0</v>
      </c>
      <c r="M50" s="285">
        <v>510900</v>
      </c>
      <c r="N50" s="285">
        <v>0</v>
      </c>
      <c r="O50" s="285">
        <v>0</v>
      </c>
      <c r="P50" s="285">
        <v>0</v>
      </c>
      <c r="Q50" s="285">
        <v>0</v>
      </c>
      <c r="R50" s="286">
        <f>SUM(J50:Q50)</f>
        <v>510900</v>
      </c>
      <c r="S50" s="287">
        <f>I50-R50</f>
        <v>-510900</v>
      </c>
      <c r="T50" s="288">
        <f>G50-I50</f>
        <v>0</v>
      </c>
      <c r="U50" s="289">
        <v>0</v>
      </c>
      <c r="V50" s="290" t="e">
        <f t="shared" si="0"/>
        <v>#DIV/0!</v>
      </c>
      <c r="X50" s="329"/>
      <c r="Y50" s="285"/>
      <c r="Z50" s="285"/>
      <c r="AA50" s="285"/>
      <c r="AB50" s="285"/>
      <c r="AC50" s="285"/>
      <c r="AD50" s="285"/>
      <c r="AE50" s="285"/>
    </row>
    <row r="51" spans="1:31" ht="18.95" customHeight="1">
      <c r="A51" s="312"/>
      <c r="B51" s="279" t="s">
        <v>55</v>
      </c>
      <c r="C51" s="280" t="s">
        <v>82</v>
      </c>
      <c r="D51" s="281" t="s">
        <v>43</v>
      </c>
      <c r="E51" s="282">
        <v>0</v>
      </c>
      <c r="F51" s="283"/>
      <c r="G51" s="282">
        <v>0</v>
      </c>
      <c r="H51" s="283"/>
      <c r="I51" s="284">
        <v>0</v>
      </c>
      <c r="J51" s="285">
        <v>0</v>
      </c>
      <c r="K51" s="285">
        <v>0</v>
      </c>
      <c r="L51" s="285">
        <v>0</v>
      </c>
      <c r="M51" s="285">
        <v>0</v>
      </c>
      <c r="N51" s="285">
        <v>17420</v>
      </c>
      <c r="O51" s="285">
        <v>0</v>
      </c>
      <c r="P51" s="285">
        <v>0</v>
      </c>
      <c r="Q51" s="285">
        <v>0</v>
      </c>
      <c r="R51" s="286">
        <f>SUM(J51:Q51)</f>
        <v>17420</v>
      </c>
      <c r="S51" s="287">
        <f>I51-R51</f>
        <v>-17420</v>
      </c>
      <c r="T51" s="288">
        <f>G51-I51</f>
        <v>0</v>
      </c>
      <c r="U51" s="289">
        <v>0</v>
      </c>
      <c r="V51" s="290" t="e">
        <f t="shared" si="0"/>
        <v>#DIV/0!</v>
      </c>
      <c r="X51" s="329"/>
      <c r="Y51" s="285"/>
      <c r="Z51" s="285"/>
      <c r="AA51" s="285"/>
      <c r="AB51" s="285"/>
      <c r="AC51" s="285"/>
      <c r="AD51" s="285"/>
      <c r="AE51" s="285"/>
    </row>
    <row r="52" spans="1:31" ht="18.95" customHeight="1">
      <c r="A52" s="312"/>
      <c r="B52" s="279" t="s">
        <v>84</v>
      </c>
      <c r="C52" s="280" t="s">
        <v>79</v>
      </c>
      <c r="D52" s="281" t="s">
        <v>43</v>
      </c>
      <c r="E52" s="282">
        <v>0</v>
      </c>
      <c r="F52" s="283"/>
      <c r="G52" s="282">
        <v>0</v>
      </c>
      <c r="H52" s="283"/>
      <c r="I52" s="284">
        <v>220000</v>
      </c>
      <c r="J52" s="285">
        <v>0</v>
      </c>
      <c r="K52" s="285">
        <v>0</v>
      </c>
      <c r="L52" s="285">
        <v>0</v>
      </c>
      <c r="M52" s="285">
        <v>0</v>
      </c>
      <c r="N52" s="285">
        <v>0</v>
      </c>
      <c r="O52" s="285">
        <v>220000</v>
      </c>
      <c r="P52" s="285">
        <v>0</v>
      </c>
      <c r="Q52" s="285">
        <v>0</v>
      </c>
      <c r="R52" s="286">
        <f>SUM(J52:Q52)</f>
        <v>220000</v>
      </c>
      <c r="S52" s="287">
        <f>I52-R52</f>
        <v>0</v>
      </c>
      <c r="T52" s="288">
        <f>G52-I52</f>
        <v>-220000</v>
      </c>
      <c r="U52" s="289">
        <v>0</v>
      </c>
      <c r="V52" s="290" t="e">
        <f t="shared" si="0"/>
        <v>#DIV/0!</v>
      </c>
      <c r="X52" s="329"/>
      <c r="Y52" s="285"/>
      <c r="Z52" s="285"/>
      <c r="AA52" s="285"/>
      <c r="AB52" s="285"/>
      <c r="AC52" s="285"/>
      <c r="AD52" s="285"/>
      <c r="AE52" s="285"/>
    </row>
    <row r="53" spans="1:31" ht="18.95" customHeight="1">
      <c r="A53" s="312"/>
      <c r="B53" s="279"/>
      <c r="C53" s="280" t="s">
        <v>78</v>
      </c>
      <c r="D53" s="281" t="s">
        <v>43</v>
      </c>
      <c r="E53" s="282">
        <v>0</v>
      </c>
      <c r="F53" s="283"/>
      <c r="G53" s="282">
        <v>250000</v>
      </c>
      <c r="H53" s="283"/>
      <c r="I53" s="284">
        <v>325000</v>
      </c>
      <c r="J53" s="285">
        <v>0</v>
      </c>
      <c r="K53" s="285">
        <v>0</v>
      </c>
      <c r="L53" s="285">
        <v>0</v>
      </c>
      <c r="M53" s="285">
        <v>0</v>
      </c>
      <c r="N53" s="285">
        <v>0</v>
      </c>
      <c r="O53" s="285">
        <v>0</v>
      </c>
      <c r="P53" s="285">
        <v>0</v>
      </c>
      <c r="Q53" s="285">
        <v>0</v>
      </c>
      <c r="R53" s="286">
        <f>SUM(J53:Q53)</f>
        <v>0</v>
      </c>
      <c r="S53" s="287">
        <f>I53-R53</f>
        <v>325000</v>
      </c>
      <c r="T53" s="288">
        <f>G53-I53</f>
        <v>-75000</v>
      </c>
      <c r="U53" s="289">
        <v>0</v>
      </c>
      <c r="V53" s="290" t="e">
        <f t="shared" si="0"/>
        <v>#DIV/0!</v>
      </c>
      <c r="X53" s="329"/>
      <c r="Y53" s="285"/>
      <c r="Z53" s="285"/>
      <c r="AA53" s="285"/>
      <c r="AB53" s="285"/>
      <c r="AC53" s="285"/>
      <c r="AD53" s="285"/>
      <c r="AE53" s="285"/>
    </row>
    <row r="54" spans="1:31" ht="18.95" customHeight="1">
      <c r="A54" s="312"/>
      <c r="B54" s="279"/>
      <c r="C54" s="280" t="s">
        <v>81</v>
      </c>
      <c r="D54" s="281" t="s">
        <v>43</v>
      </c>
      <c r="E54" s="282">
        <v>0</v>
      </c>
      <c r="F54" s="283"/>
      <c r="G54" s="282">
        <v>0</v>
      </c>
      <c r="H54" s="283"/>
      <c r="I54" s="284">
        <v>0</v>
      </c>
      <c r="J54" s="285">
        <v>0</v>
      </c>
      <c r="K54" s="285">
        <v>0</v>
      </c>
      <c r="L54" s="285">
        <v>0</v>
      </c>
      <c r="M54" s="285">
        <v>0</v>
      </c>
      <c r="N54" s="285">
        <v>0</v>
      </c>
      <c r="O54" s="285">
        <v>0</v>
      </c>
      <c r="P54" s="285">
        <v>0</v>
      </c>
      <c r="Q54" s="285">
        <v>0</v>
      </c>
      <c r="R54" s="286">
        <f>SUM(J54:Q54)</f>
        <v>0</v>
      </c>
      <c r="S54" s="287">
        <f>I54-R54</f>
        <v>0</v>
      </c>
      <c r="T54" s="288">
        <f>G54-I54</f>
        <v>0</v>
      </c>
      <c r="U54" s="289">
        <v>0</v>
      </c>
      <c r="V54" s="290" t="e">
        <f t="shared" si="0"/>
        <v>#DIV/0!</v>
      </c>
      <c r="X54" s="329"/>
      <c r="Y54" s="285"/>
      <c r="Z54" s="285"/>
      <c r="AA54" s="285"/>
      <c r="AB54" s="285"/>
      <c r="AC54" s="285"/>
      <c r="AD54" s="285"/>
      <c r="AE54" s="285"/>
    </row>
    <row r="55" spans="1:31" ht="18.95" customHeight="1">
      <c r="A55" s="312"/>
      <c r="B55" s="279"/>
      <c r="C55" s="280" t="s">
        <v>79</v>
      </c>
      <c r="D55" s="281" t="s">
        <v>43</v>
      </c>
      <c r="E55" s="282">
        <v>911360</v>
      </c>
      <c r="F55" s="283"/>
      <c r="G55" s="282">
        <v>945000</v>
      </c>
      <c r="H55" s="283"/>
      <c r="I55" s="284">
        <v>945000</v>
      </c>
      <c r="J55" s="285">
        <v>0</v>
      </c>
      <c r="K55" s="285">
        <v>0</v>
      </c>
      <c r="L55" s="285">
        <v>0</v>
      </c>
      <c r="M55" s="285">
        <v>0</v>
      </c>
      <c r="N55" s="285">
        <v>0</v>
      </c>
      <c r="O55" s="285">
        <v>0</v>
      </c>
      <c r="P55" s="285">
        <v>0</v>
      </c>
      <c r="Q55" s="285">
        <v>0</v>
      </c>
      <c r="R55" s="286">
        <f>SUM(J55:Q55)</f>
        <v>0</v>
      </c>
      <c r="S55" s="287">
        <f>I55-R55</f>
        <v>945000</v>
      </c>
      <c r="T55" s="288">
        <f>G55-I55</f>
        <v>0</v>
      </c>
      <c r="U55" s="289">
        <v>0</v>
      </c>
      <c r="V55" s="290" t="e">
        <f t="shared" si="0"/>
        <v>#DIV/0!</v>
      </c>
      <c r="X55" s="329"/>
      <c r="Y55" s="285"/>
      <c r="Z55" s="285"/>
      <c r="AA55" s="285"/>
      <c r="AB55" s="285"/>
      <c r="AC55" s="285"/>
      <c r="AD55" s="285"/>
      <c r="AE55" s="285"/>
    </row>
    <row r="56" spans="1:31" ht="18.95" customHeight="1">
      <c r="A56" s="312"/>
      <c r="B56" s="279"/>
      <c r="C56" s="280" t="s">
        <v>82</v>
      </c>
      <c r="D56" s="281" t="s">
        <v>43</v>
      </c>
      <c r="E56" s="282">
        <v>0</v>
      </c>
      <c r="F56" s="283"/>
      <c r="G56" s="282">
        <v>0</v>
      </c>
      <c r="H56" s="283"/>
      <c r="I56" s="284">
        <v>60000</v>
      </c>
      <c r="J56" s="285">
        <v>0</v>
      </c>
      <c r="K56" s="285">
        <v>0</v>
      </c>
      <c r="L56" s="285">
        <v>0</v>
      </c>
      <c r="M56" s="285">
        <v>0</v>
      </c>
      <c r="N56" s="285">
        <v>0</v>
      </c>
      <c r="O56" s="285">
        <v>0</v>
      </c>
      <c r="P56" s="285">
        <v>0</v>
      </c>
      <c r="Q56" s="285">
        <v>0</v>
      </c>
      <c r="R56" s="286">
        <f>SUM(J56:Q56)</f>
        <v>0</v>
      </c>
      <c r="S56" s="287">
        <f>I56-R56</f>
        <v>60000</v>
      </c>
      <c r="T56" s="288">
        <f>G56-I56</f>
        <v>-60000</v>
      </c>
      <c r="U56" s="289">
        <v>0</v>
      </c>
      <c r="V56" s="290" t="e">
        <f t="shared" si="0"/>
        <v>#DIV/0!</v>
      </c>
      <c r="X56" s="329"/>
      <c r="Y56" s="285"/>
      <c r="Z56" s="285"/>
      <c r="AA56" s="285"/>
      <c r="AB56" s="285"/>
      <c r="AC56" s="285"/>
      <c r="AD56" s="285"/>
      <c r="AE56" s="285"/>
    </row>
    <row r="57" spans="1:31" ht="18.95" customHeight="1">
      <c r="A57" s="312"/>
      <c r="B57" s="279"/>
      <c r="C57" s="280" t="s">
        <v>80</v>
      </c>
      <c r="D57" s="281" t="s">
        <v>43</v>
      </c>
      <c r="E57" s="282">
        <v>0</v>
      </c>
      <c r="F57" s="283"/>
      <c r="G57" s="282">
        <v>0</v>
      </c>
      <c r="H57" s="283"/>
      <c r="I57" s="284">
        <v>0</v>
      </c>
      <c r="J57" s="285">
        <v>0</v>
      </c>
      <c r="K57" s="285">
        <v>0</v>
      </c>
      <c r="L57" s="285">
        <v>0</v>
      </c>
      <c r="M57" s="285">
        <v>0</v>
      </c>
      <c r="N57" s="285">
        <v>0</v>
      </c>
      <c r="O57" s="285">
        <v>0</v>
      </c>
      <c r="P57" s="285">
        <v>0</v>
      </c>
      <c r="Q57" s="285">
        <v>0</v>
      </c>
      <c r="R57" s="286">
        <f>SUM(J57:Q57)</f>
        <v>0</v>
      </c>
      <c r="S57" s="287">
        <f>I57-R57</f>
        <v>0</v>
      </c>
      <c r="T57" s="288">
        <f>G57-I57</f>
        <v>0</v>
      </c>
      <c r="U57" s="289">
        <v>0</v>
      </c>
      <c r="V57" s="290" t="e">
        <f t="shared" si="0"/>
        <v>#DIV/0!</v>
      </c>
      <c r="X57" s="329"/>
      <c r="Y57" s="285"/>
      <c r="Z57" s="285"/>
      <c r="AA57" s="285"/>
      <c r="AB57" s="285"/>
      <c r="AC57" s="285"/>
      <c r="AD57" s="285"/>
      <c r="AE57" s="285"/>
    </row>
    <row r="58" spans="1:31" ht="18.95" customHeight="1">
      <c r="A58" s="313"/>
      <c r="B58" s="279"/>
      <c r="C58" s="280" t="s">
        <v>85</v>
      </c>
      <c r="D58" s="281" t="s">
        <v>43</v>
      </c>
      <c r="E58" s="282">
        <v>0</v>
      </c>
      <c r="F58" s="283"/>
      <c r="G58" s="282">
        <v>0</v>
      </c>
      <c r="H58" s="283"/>
      <c r="I58" s="284">
        <v>0</v>
      </c>
      <c r="J58" s="285">
        <v>0</v>
      </c>
      <c r="K58" s="285">
        <v>0</v>
      </c>
      <c r="L58" s="285">
        <v>0</v>
      </c>
      <c r="M58" s="285">
        <v>0</v>
      </c>
      <c r="N58" s="285">
        <v>0</v>
      </c>
      <c r="O58" s="285">
        <v>0</v>
      </c>
      <c r="P58" s="285">
        <v>0</v>
      </c>
      <c r="Q58" s="285">
        <v>0</v>
      </c>
      <c r="R58" s="286">
        <f>SUM(J58:Q58)</f>
        <v>0</v>
      </c>
      <c r="S58" s="287">
        <f>I58-R58</f>
        <v>0</v>
      </c>
      <c r="T58" s="288">
        <f>G58-I58</f>
        <v>0</v>
      </c>
      <c r="U58" s="289">
        <v>0</v>
      </c>
      <c r="V58" s="290" t="e">
        <f t="shared" si="0"/>
        <v>#DIV/0!</v>
      </c>
      <c r="X58" s="329"/>
      <c r="Y58" s="285"/>
      <c r="Z58" s="285"/>
      <c r="AA58" s="285"/>
      <c r="AB58" s="285"/>
      <c r="AC58" s="285"/>
      <c r="AD58" s="285"/>
      <c r="AE58" s="285"/>
    </row>
    <row r="59" spans="1:31" ht="18.95" customHeight="1">
      <c r="A59" s="314" t="s">
        <v>86</v>
      </c>
      <c r="B59" s="291" t="s">
        <v>38</v>
      </c>
      <c r="C59" s="292" t="s">
        <v>87</v>
      </c>
      <c r="D59" s="293" t="s">
        <v>40</v>
      </c>
      <c r="E59" s="294">
        <v>2752050</v>
      </c>
      <c r="F59" s="295"/>
      <c r="G59" s="294">
        <v>2659000</v>
      </c>
      <c r="H59" s="295"/>
      <c r="I59" s="296">
        <v>2659000</v>
      </c>
      <c r="J59" s="273">
        <v>0</v>
      </c>
      <c r="K59" s="273">
        <v>0</v>
      </c>
      <c r="L59" s="273">
        <v>0</v>
      </c>
      <c r="M59" s="273">
        <v>0</v>
      </c>
      <c r="N59" s="273">
        <v>710000</v>
      </c>
      <c r="O59" s="273">
        <v>1910000</v>
      </c>
      <c r="P59" s="273">
        <v>0</v>
      </c>
      <c r="Q59" s="273">
        <v>0</v>
      </c>
      <c r="R59" s="274">
        <f>SUM(J59:Q59)</f>
        <v>2620000</v>
      </c>
      <c r="S59" s="275">
        <f>I59-R59</f>
        <v>39000</v>
      </c>
      <c r="T59" s="276">
        <f>G59-I59</f>
        <v>0</v>
      </c>
      <c r="U59" s="297">
        <v>0</v>
      </c>
      <c r="V59" s="278" t="e">
        <f t="shared" si="0"/>
        <v>#DIV/0!</v>
      </c>
      <c r="X59" s="328"/>
      <c r="Y59" s="273"/>
      <c r="Z59" s="273"/>
      <c r="AA59" s="273"/>
      <c r="AB59" s="273"/>
      <c r="AC59" s="273"/>
      <c r="AD59" s="273"/>
      <c r="AE59" s="273"/>
    </row>
    <row r="60" spans="1:31" ht="18.95" customHeight="1">
      <c r="A60" s="312"/>
      <c r="B60" s="279" t="s">
        <v>53</v>
      </c>
      <c r="C60" s="280" t="s">
        <v>88</v>
      </c>
      <c r="D60" s="281" t="s">
        <v>43</v>
      </c>
      <c r="E60" s="282">
        <v>0</v>
      </c>
      <c r="F60" s="283"/>
      <c r="G60" s="282">
        <v>0</v>
      </c>
      <c r="H60" s="283"/>
      <c r="I60" s="284">
        <v>0</v>
      </c>
      <c r="J60" s="285">
        <v>0</v>
      </c>
      <c r="K60" s="285">
        <v>0</v>
      </c>
      <c r="L60" s="285">
        <v>0</v>
      </c>
      <c r="M60" s="285">
        <v>0</v>
      </c>
      <c r="N60" s="285">
        <v>0</v>
      </c>
      <c r="O60" s="285">
        <v>1260</v>
      </c>
      <c r="P60" s="285">
        <v>0</v>
      </c>
      <c r="Q60" s="285">
        <v>0</v>
      </c>
      <c r="R60" s="286">
        <f>SUM(J60:Q60)</f>
        <v>1260</v>
      </c>
      <c r="S60" s="287">
        <f>I60-R60</f>
        <v>-1260</v>
      </c>
      <c r="T60" s="288">
        <f>G60-I60</f>
        <v>0</v>
      </c>
      <c r="U60" s="289">
        <v>0</v>
      </c>
      <c r="V60" s="290" t="e">
        <f t="shared" si="0"/>
        <v>#DIV/0!</v>
      </c>
      <c r="X60" s="329"/>
      <c r="Y60" s="285"/>
      <c r="Z60" s="285"/>
      <c r="AA60" s="285"/>
      <c r="AB60" s="285"/>
      <c r="AC60" s="285"/>
      <c r="AD60" s="285"/>
      <c r="AE60" s="285"/>
    </row>
    <row r="61" spans="1:31" ht="18.95" customHeight="1">
      <c r="A61" s="312"/>
      <c r="B61" s="279" t="s">
        <v>89</v>
      </c>
      <c r="C61" s="280" t="s">
        <v>88</v>
      </c>
      <c r="D61" s="281" t="s">
        <v>43</v>
      </c>
      <c r="E61" s="282">
        <v>0</v>
      </c>
      <c r="F61" s="283"/>
      <c r="G61" s="282">
        <v>0</v>
      </c>
      <c r="H61" s="283"/>
      <c r="I61" s="284">
        <v>0</v>
      </c>
      <c r="J61" s="285">
        <v>0</v>
      </c>
      <c r="K61" s="285">
        <v>0</v>
      </c>
      <c r="L61" s="285">
        <v>19900</v>
      </c>
      <c r="M61" s="285">
        <v>0</v>
      </c>
      <c r="N61" s="285">
        <v>474400</v>
      </c>
      <c r="O61" s="285">
        <v>217600</v>
      </c>
      <c r="P61" s="285">
        <v>0</v>
      </c>
      <c r="Q61" s="285">
        <v>0</v>
      </c>
      <c r="R61" s="286">
        <f>SUM(J61:Q61)</f>
        <v>711900</v>
      </c>
      <c r="S61" s="287">
        <f>I61-R61</f>
        <v>-711900</v>
      </c>
      <c r="T61" s="288">
        <f>G61-I61</f>
        <v>0</v>
      </c>
      <c r="U61" s="289">
        <v>0</v>
      </c>
      <c r="V61" s="290" t="e">
        <f t="shared" si="0"/>
        <v>#DIV/0!</v>
      </c>
      <c r="X61" s="329"/>
      <c r="Y61" s="285"/>
      <c r="Z61" s="285"/>
      <c r="AA61" s="285"/>
      <c r="AB61" s="285"/>
      <c r="AC61" s="285"/>
      <c r="AD61" s="285"/>
      <c r="AE61" s="285"/>
    </row>
    <row r="62" spans="1:31" ht="18.95" customHeight="1">
      <c r="A62" s="312"/>
      <c r="B62" s="279"/>
      <c r="C62" s="280" t="s">
        <v>87</v>
      </c>
      <c r="D62" s="281" t="s">
        <v>43</v>
      </c>
      <c r="E62" s="282">
        <v>0</v>
      </c>
      <c r="F62" s="283"/>
      <c r="G62" s="282">
        <v>50000</v>
      </c>
      <c r="H62" s="283"/>
      <c r="I62" s="284">
        <v>50000</v>
      </c>
      <c r="J62" s="285">
        <v>0</v>
      </c>
      <c r="K62" s="285">
        <v>0</v>
      </c>
      <c r="L62" s="285">
        <v>0</v>
      </c>
      <c r="M62" s="285">
        <v>0</v>
      </c>
      <c r="N62" s="285">
        <v>0</v>
      </c>
      <c r="O62" s="285">
        <v>0</v>
      </c>
      <c r="P62" s="285">
        <v>0</v>
      </c>
      <c r="Q62" s="285">
        <v>0</v>
      </c>
      <c r="R62" s="286">
        <f>SUM(J62:Q62)</f>
        <v>0</v>
      </c>
      <c r="S62" s="287">
        <f>I62-R62</f>
        <v>50000</v>
      </c>
      <c r="T62" s="288">
        <f>G62-I62</f>
        <v>0</v>
      </c>
      <c r="U62" s="289">
        <v>0</v>
      </c>
      <c r="V62" s="290" t="e">
        <f t="shared" si="0"/>
        <v>#DIV/0!</v>
      </c>
      <c r="X62" s="329"/>
      <c r="Y62" s="285"/>
      <c r="Z62" s="285"/>
      <c r="AA62" s="285"/>
      <c r="AB62" s="285"/>
      <c r="AC62" s="285"/>
      <c r="AD62" s="285"/>
      <c r="AE62" s="285"/>
    </row>
    <row r="63" spans="1:31" ht="18.95" customHeight="1">
      <c r="A63" s="313"/>
      <c r="B63" s="279"/>
      <c r="C63" s="280" t="s">
        <v>88</v>
      </c>
      <c r="D63" s="281" t="s">
        <v>43</v>
      </c>
      <c r="E63" s="282">
        <v>715800</v>
      </c>
      <c r="F63" s="283"/>
      <c r="G63" s="282">
        <v>715800</v>
      </c>
      <c r="H63" s="283"/>
      <c r="I63" s="284">
        <v>815800</v>
      </c>
      <c r="J63" s="285">
        <v>0</v>
      </c>
      <c r="K63" s="285">
        <v>0</v>
      </c>
      <c r="L63" s="285">
        <v>0</v>
      </c>
      <c r="M63" s="285">
        <v>0</v>
      </c>
      <c r="N63" s="285">
        <v>0</v>
      </c>
      <c r="O63" s="285">
        <v>0</v>
      </c>
      <c r="P63" s="285">
        <v>0</v>
      </c>
      <c r="Q63" s="285">
        <v>0</v>
      </c>
      <c r="R63" s="286">
        <f>SUM(J63:Q63)</f>
        <v>0</v>
      </c>
      <c r="S63" s="287">
        <f>I63-R63</f>
        <v>815800</v>
      </c>
      <c r="T63" s="288">
        <f>G63-I63</f>
        <v>-100000</v>
      </c>
      <c r="U63" s="289">
        <v>0</v>
      </c>
      <c r="V63" s="290" t="e">
        <f t="shared" si="0"/>
        <v>#DIV/0!</v>
      </c>
      <c r="X63" s="329"/>
      <c r="Y63" s="285"/>
      <c r="Z63" s="285"/>
      <c r="AA63" s="285"/>
      <c r="AB63" s="285"/>
      <c r="AC63" s="285"/>
      <c r="AD63" s="285"/>
      <c r="AE63" s="285"/>
    </row>
    <row r="64" spans="1:31" ht="18.95" customHeight="1">
      <c r="A64" s="314" t="s">
        <v>90</v>
      </c>
      <c r="B64" s="291" t="s">
        <v>38</v>
      </c>
      <c r="C64" s="292" t="s">
        <v>91</v>
      </c>
      <c r="D64" s="293" t="s">
        <v>40</v>
      </c>
      <c r="E64" s="294">
        <v>2083500</v>
      </c>
      <c r="F64" s="295"/>
      <c r="G64" s="294">
        <v>2152500</v>
      </c>
      <c r="H64" s="295"/>
      <c r="I64" s="296">
        <v>2152500</v>
      </c>
      <c r="J64" s="273">
        <v>0</v>
      </c>
      <c r="K64" s="273">
        <v>0</v>
      </c>
      <c r="L64" s="273">
        <v>500000</v>
      </c>
      <c r="M64" s="273">
        <v>1080000</v>
      </c>
      <c r="N64" s="273">
        <v>100000</v>
      </c>
      <c r="O64" s="273">
        <v>120000</v>
      </c>
      <c r="P64" s="273">
        <v>0</v>
      </c>
      <c r="Q64" s="273">
        <v>0</v>
      </c>
      <c r="R64" s="274">
        <f>SUM(J64:Q64)</f>
        <v>1800000</v>
      </c>
      <c r="S64" s="275">
        <f>I64-R64</f>
        <v>352500</v>
      </c>
      <c r="T64" s="276">
        <f>G64-I64</f>
        <v>0</v>
      </c>
      <c r="U64" s="297">
        <v>86</v>
      </c>
      <c r="V64" s="278">
        <f t="shared" si="0"/>
        <v>20930.232558139534</v>
      </c>
      <c r="X64" s="328"/>
      <c r="Y64" s="273"/>
      <c r="Z64" s="273"/>
      <c r="AA64" s="273"/>
      <c r="AB64" s="273"/>
      <c r="AC64" s="273"/>
      <c r="AD64" s="273"/>
      <c r="AE64" s="273"/>
    </row>
    <row r="65" spans="1:31" ht="18.95" customHeight="1">
      <c r="A65" s="312"/>
      <c r="B65" s="279" t="s">
        <v>38</v>
      </c>
      <c r="C65" s="280" t="s">
        <v>92</v>
      </c>
      <c r="D65" s="281" t="s">
        <v>40</v>
      </c>
      <c r="E65" s="282">
        <v>60000</v>
      </c>
      <c r="F65" s="283"/>
      <c r="G65" s="282">
        <v>52500</v>
      </c>
      <c r="H65" s="283"/>
      <c r="I65" s="284">
        <v>52500</v>
      </c>
      <c r="J65" s="285">
        <v>0</v>
      </c>
      <c r="K65" s="285">
        <v>0</v>
      </c>
      <c r="L65" s="285">
        <v>0</v>
      </c>
      <c r="M65" s="285">
        <v>0</v>
      </c>
      <c r="N65" s="285">
        <v>0</v>
      </c>
      <c r="O65" s="285">
        <v>0</v>
      </c>
      <c r="P65" s="285">
        <v>0</v>
      </c>
      <c r="Q65" s="285">
        <v>0</v>
      </c>
      <c r="R65" s="286">
        <f>SUM(J65:Q65)</f>
        <v>0</v>
      </c>
      <c r="S65" s="287">
        <f>I65-R65</f>
        <v>52500</v>
      </c>
      <c r="T65" s="288">
        <f>G65-I65</f>
        <v>0</v>
      </c>
      <c r="U65" s="289">
        <v>0</v>
      </c>
      <c r="V65" s="290" t="e">
        <f t="shared" si="0"/>
        <v>#DIV/0!</v>
      </c>
      <c r="X65" s="329"/>
      <c r="Y65" s="285"/>
      <c r="Z65" s="285"/>
      <c r="AA65" s="285"/>
      <c r="AB65" s="285"/>
      <c r="AC65" s="285"/>
      <c r="AD65" s="285"/>
      <c r="AE65" s="285"/>
    </row>
    <row r="66" spans="1:31" ht="18.95" customHeight="1">
      <c r="A66" s="312"/>
      <c r="B66" s="279" t="s">
        <v>89</v>
      </c>
      <c r="C66" s="280" t="s">
        <v>93</v>
      </c>
      <c r="D66" s="281" t="s">
        <v>43</v>
      </c>
      <c r="E66" s="282">
        <v>0</v>
      </c>
      <c r="F66" s="283"/>
      <c r="G66" s="282">
        <v>0</v>
      </c>
      <c r="H66" s="283"/>
      <c r="I66" s="284">
        <v>0</v>
      </c>
      <c r="J66" s="285">
        <v>0</v>
      </c>
      <c r="K66" s="285">
        <v>0</v>
      </c>
      <c r="L66" s="285">
        <v>123300</v>
      </c>
      <c r="M66" s="285">
        <v>185400</v>
      </c>
      <c r="N66" s="285">
        <v>0</v>
      </c>
      <c r="O66" s="285">
        <v>0</v>
      </c>
      <c r="P66" s="285">
        <v>0</v>
      </c>
      <c r="Q66" s="285">
        <v>0</v>
      </c>
      <c r="R66" s="286">
        <f>SUM(J66:Q66)</f>
        <v>308700</v>
      </c>
      <c r="S66" s="287">
        <f>I66-R66</f>
        <v>-308700</v>
      </c>
      <c r="T66" s="288">
        <f>G66-I66</f>
        <v>0</v>
      </c>
      <c r="U66" s="289">
        <v>0</v>
      </c>
      <c r="V66" s="290" t="e">
        <f t="shared" si="0"/>
        <v>#DIV/0!</v>
      </c>
      <c r="X66" s="329"/>
      <c r="Y66" s="285"/>
      <c r="Z66" s="285"/>
      <c r="AA66" s="285"/>
      <c r="AB66" s="285"/>
      <c r="AC66" s="285"/>
      <c r="AD66" s="285"/>
      <c r="AE66" s="285"/>
    </row>
    <row r="67" spans="1:31" ht="18.95" customHeight="1">
      <c r="A67" s="312"/>
      <c r="B67" s="279"/>
      <c r="C67" s="280" t="s">
        <v>91</v>
      </c>
      <c r="D67" s="281" t="s">
        <v>43</v>
      </c>
      <c r="E67" s="282">
        <v>0</v>
      </c>
      <c r="F67" s="283"/>
      <c r="G67" s="282">
        <v>0</v>
      </c>
      <c r="H67" s="283"/>
      <c r="I67" s="284">
        <v>0</v>
      </c>
      <c r="J67" s="285">
        <v>0</v>
      </c>
      <c r="K67" s="285">
        <v>0</v>
      </c>
      <c r="L67" s="285">
        <v>0</v>
      </c>
      <c r="M67" s="285">
        <v>0</v>
      </c>
      <c r="N67" s="285">
        <v>0</v>
      </c>
      <c r="O67" s="285">
        <v>0</v>
      </c>
      <c r="P67" s="285">
        <v>0</v>
      </c>
      <c r="Q67" s="285">
        <v>0</v>
      </c>
      <c r="R67" s="286">
        <f>SUM(J67:Q67)</f>
        <v>0</v>
      </c>
      <c r="S67" s="287">
        <f>I67-R67</f>
        <v>0</v>
      </c>
      <c r="T67" s="288">
        <f>G67-I67</f>
        <v>0</v>
      </c>
      <c r="U67" s="289">
        <v>0</v>
      </c>
      <c r="V67" s="290" t="e">
        <f t="shared" si="0"/>
        <v>#DIV/0!</v>
      </c>
      <c r="X67" s="329"/>
      <c r="Y67" s="285"/>
      <c r="Z67" s="285"/>
      <c r="AA67" s="285"/>
      <c r="AB67" s="285"/>
      <c r="AC67" s="285"/>
      <c r="AD67" s="285"/>
      <c r="AE67" s="285"/>
    </row>
    <row r="68" spans="1:31" ht="18.95" customHeight="1">
      <c r="A68" s="312"/>
      <c r="B68" s="279"/>
      <c r="C68" s="280" t="s">
        <v>93</v>
      </c>
      <c r="D68" s="281" t="s">
        <v>43</v>
      </c>
      <c r="E68" s="282">
        <v>118300</v>
      </c>
      <c r="F68" s="283"/>
      <c r="G68" s="282">
        <v>539300</v>
      </c>
      <c r="H68" s="283"/>
      <c r="I68" s="284">
        <v>439300</v>
      </c>
      <c r="J68" s="285">
        <v>0</v>
      </c>
      <c r="K68" s="285">
        <v>0</v>
      </c>
      <c r="L68" s="285">
        <v>0</v>
      </c>
      <c r="M68" s="285">
        <v>0</v>
      </c>
      <c r="N68" s="285">
        <v>0</v>
      </c>
      <c r="O68" s="285">
        <v>0</v>
      </c>
      <c r="P68" s="285">
        <v>0</v>
      </c>
      <c r="Q68" s="285">
        <v>0</v>
      </c>
      <c r="R68" s="286">
        <f>SUM(J68:Q68)</f>
        <v>0</v>
      </c>
      <c r="S68" s="287">
        <f>I68-R68</f>
        <v>439300</v>
      </c>
      <c r="T68" s="288">
        <f>G68-I68</f>
        <v>100000</v>
      </c>
      <c r="U68" s="289">
        <v>0</v>
      </c>
      <c r="V68" s="290" t="e">
        <f t="shared" si="0"/>
        <v>#DIV/0!</v>
      </c>
      <c r="X68" s="329"/>
      <c r="Y68" s="285"/>
      <c r="Z68" s="285"/>
      <c r="AA68" s="285"/>
      <c r="AB68" s="285"/>
      <c r="AC68" s="285"/>
      <c r="AD68" s="285"/>
      <c r="AE68" s="285"/>
    </row>
    <row r="69" spans="1:31" ht="18.95" customHeight="1">
      <c r="A69" s="312"/>
      <c r="B69" s="279"/>
      <c r="C69" s="280" t="s">
        <v>92</v>
      </c>
      <c r="D69" s="281" t="s">
        <v>43</v>
      </c>
      <c r="E69" s="282">
        <v>0</v>
      </c>
      <c r="F69" s="283"/>
      <c r="G69" s="282">
        <v>0</v>
      </c>
      <c r="H69" s="283"/>
      <c r="I69" s="284">
        <v>0</v>
      </c>
      <c r="J69" s="285">
        <v>0</v>
      </c>
      <c r="K69" s="285">
        <v>0</v>
      </c>
      <c r="L69" s="285">
        <v>0</v>
      </c>
      <c r="M69" s="285">
        <v>0</v>
      </c>
      <c r="N69" s="285">
        <v>0</v>
      </c>
      <c r="O69" s="285">
        <v>0</v>
      </c>
      <c r="P69" s="285">
        <v>0</v>
      </c>
      <c r="Q69" s="285">
        <v>0</v>
      </c>
      <c r="R69" s="286">
        <f>SUM(J69:Q69)</f>
        <v>0</v>
      </c>
      <c r="S69" s="287">
        <f>I69-R69</f>
        <v>0</v>
      </c>
      <c r="T69" s="288">
        <f>G69-I69</f>
        <v>0</v>
      </c>
      <c r="U69" s="289">
        <v>0</v>
      </c>
      <c r="V69" s="290" t="e">
        <f t="shared" si="0"/>
        <v>#DIV/0!</v>
      </c>
      <c r="X69" s="329"/>
      <c r="Y69" s="285"/>
      <c r="Z69" s="285"/>
      <c r="AA69" s="285"/>
      <c r="AB69" s="285"/>
      <c r="AC69" s="285"/>
      <c r="AD69" s="285"/>
      <c r="AE69" s="285"/>
    </row>
    <row r="70" spans="1:31" ht="18.95" customHeight="1">
      <c r="A70" s="313"/>
      <c r="B70" s="279"/>
      <c r="C70" s="280" t="s">
        <v>94</v>
      </c>
      <c r="D70" s="281" t="s">
        <v>43</v>
      </c>
      <c r="E70" s="282">
        <v>0</v>
      </c>
      <c r="F70" s="283"/>
      <c r="G70" s="282">
        <v>0</v>
      </c>
      <c r="H70" s="283"/>
      <c r="I70" s="284">
        <v>0</v>
      </c>
      <c r="J70" s="285">
        <v>0</v>
      </c>
      <c r="K70" s="285">
        <v>0</v>
      </c>
      <c r="L70" s="285">
        <v>0</v>
      </c>
      <c r="M70" s="285">
        <v>0</v>
      </c>
      <c r="N70" s="285">
        <v>0</v>
      </c>
      <c r="O70" s="285">
        <v>0</v>
      </c>
      <c r="P70" s="285">
        <v>0</v>
      </c>
      <c r="Q70" s="285">
        <v>0</v>
      </c>
      <c r="R70" s="286">
        <f>SUM(J70:Q70)</f>
        <v>0</v>
      </c>
      <c r="S70" s="287">
        <f>I70-R70</f>
        <v>0</v>
      </c>
      <c r="T70" s="288">
        <f>G70-I70</f>
        <v>0</v>
      </c>
      <c r="U70" s="289">
        <v>0</v>
      </c>
      <c r="V70" s="290" t="e">
        <f t="shared" si="0"/>
        <v>#DIV/0!</v>
      </c>
      <c r="X70" s="329"/>
      <c r="Y70" s="285"/>
      <c r="Z70" s="285"/>
      <c r="AA70" s="285"/>
      <c r="AB70" s="285"/>
      <c r="AC70" s="285"/>
      <c r="AD70" s="285"/>
      <c r="AE70" s="285"/>
    </row>
    <row r="71" spans="1:31" ht="18.95" customHeight="1">
      <c r="A71" s="314" t="s">
        <v>95</v>
      </c>
      <c r="B71" s="291" t="s">
        <v>38</v>
      </c>
      <c r="C71" s="292" t="s">
        <v>96</v>
      </c>
      <c r="D71" s="293" t="s">
        <v>40</v>
      </c>
      <c r="E71" s="294">
        <v>267800</v>
      </c>
      <c r="F71" s="295"/>
      <c r="G71" s="294">
        <v>282240</v>
      </c>
      <c r="H71" s="295"/>
      <c r="I71" s="296">
        <v>282240</v>
      </c>
      <c r="J71" s="273">
        <v>0</v>
      </c>
      <c r="K71" s="273">
        <v>0</v>
      </c>
      <c r="L71" s="273">
        <v>0</v>
      </c>
      <c r="M71" s="273">
        <v>0</v>
      </c>
      <c r="N71" s="273">
        <v>0</v>
      </c>
      <c r="O71" s="273">
        <v>0</v>
      </c>
      <c r="P71" s="273">
        <v>0</v>
      </c>
      <c r="Q71" s="273">
        <v>0</v>
      </c>
      <c r="R71" s="274">
        <f>SUM(J71:Q71)</f>
        <v>0</v>
      </c>
      <c r="S71" s="275">
        <f>I71-R71</f>
        <v>282240</v>
      </c>
      <c r="T71" s="276">
        <f>G71-I71</f>
        <v>0</v>
      </c>
      <c r="U71" s="297">
        <v>0</v>
      </c>
      <c r="V71" s="278" t="e">
        <f t="shared" si="0"/>
        <v>#DIV/0!</v>
      </c>
      <c r="X71" s="328"/>
      <c r="Y71" s="273"/>
      <c r="Z71" s="273"/>
      <c r="AA71" s="273"/>
      <c r="AB71" s="273"/>
      <c r="AC71" s="273"/>
      <c r="AD71" s="273"/>
      <c r="AE71" s="273"/>
    </row>
    <row r="72" spans="1:31" ht="18.95" customHeight="1">
      <c r="A72" s="312"/>
      <c r="B72" s="279" t="s">
        <v>38</v>
      </c>
      <c r="C72" s="280" t="s">
        <v>97</v>
      </c>
      <c r="D72" s="281" t="s">
        <v>40</v>
      </c>
      <c r="E72" s="282">
        <v>1378700</v>
      </c>
      <c r="F72" s="283"/>
      <c r="G72" s="282">
        <v>3052820</v>
      </c>
      <c r="H72" s="283"/>
      <c r="I72" s="284">
        <v>1652820</v>
      </c>
      <c r="J72" s="285">
        <v>0</v>
      </c>
      <c r="K72" s="285">
        <v>0</v>
      </c>
      <c r="L72" s="285">
        <v>0</v>
      </c>
      <c r="M72" s="285">
        <v>0</v>
      </c>
      <c r="N72" s="285">
        <v>0</v>
      </c>
      <c r="O72" s="285">
        <v>0</v>
      </c>
      <c r="P72" s="285">
        <v>0</v>
      </c>
      <c r="Q72" s="285">
        <v>0</v>
      </c>
      <c r="R72" s="286">
        <f>SUM(J72:Q72)</f>
        <v>0</v>
      </c>
      <c r="S72" s="287">
        <f>I72-R72</f>
        <v>1652820</v>
      </c>
      <c r="T72" s="288">
        <f>G72-I72</f>
        <v>1400000</v>
      </c>
      <c r="U72" s="289">
        <v>0</v>
      </c>
      <c r="V72" s="290" t="e">
        <f t="shared" ref="V72:V117" si="1">R72/U72</f>
        <v>#DIV/0!</v>
      </c>
      <c r="X72" s="329"/>
      <c r="Y72" s="285"/>
      <c r="Z72" s="285"/>
      <c r="AA72" s="285"/>
      <c r="AB72" s="285"/>
      <c r="AC72" s="285"/>
      <c r="AD72" s="285"/>
      <c r="AE72" s="285"/>
    </row>
    <row r="73" spans="1:31" ht="18.95" customHeight="1">
      <c r="A73" s="312"/>
      <c r="B73" s="279" t="s">
        <v>53</v>
      </c>
      <c r="C73" s="280" t="s">
        <v>98</v>
      </c>
      <c r="D73" s="281" t="s">
        <v>43</v>
      </c>
      <c r="E73" s="282">
        <v>0</v>
      </c>
      <c r="F73" s="283"/>
      <c r="G73" s="282">
        <v>0</v>
      </c>
      <c r="H73" s="283"/>
      <c r="I73" s="284">
        <v>0</v>
      </c>
      <c r="J73" s="285">
        <v>0</v>
      </c>
      <c r="K73" s="285">
        <v>0</v>
      </c>
      <c r="L73" s="285">
        <v>0</v>
      </c>
      <c r="M73" s="285">
        <v>0</v>
      </c>
      <c r="N73" s="285">
        <v>0</v>
      </c>
      <c r="O73" s="285">
        <v>69620</v>
      </c>
      <c r="P73" s="285">
        <v>0</v>
      </c>
      <c r="Q73" s="285">
        <v>0</v>
      </c>
      <c r="R73" s="286">
        <f>SUM(J73:Q73)</f>
        <v>69620</v>
      </c>
      <c r="S73" s="287">
        <f>I73-R73</f>
        <v>-69620</v>
      </c>
      <c r="T73" s="288">
        <f>G73-I73</f>
        <v>0</v>
      </c>
      <c r="U73" s="289">
        <v>0</v>
      </c>
      <c r="V73" s="290" t="e">
        <f t="shared" si="1"/>
        <v>#DIV/0!</v>
      </c>
      <c r="X73" s="329"/>
      <c r="Y73" s="285"/>
      <c r="Z73" s="285"/>
      <c r="AA73" s="285"/>
      <c r="AB73" s="285"/>
      <c r="AC73" s="285"/>
      <c r="AD73" s="285"/>
      <c r="AE73" s="285"/>
    </row>
    <row r="74" spans="1:31" ht="18.95" customHeight="1">
      <c r="A74" s="312"/>
      <c r="B74" s="279" t="s">
        <v>99</v>
      </c>
      <c r="C74" s="280" t="s">
        <v>97</v>
      </c>
      <c r="D74" s="281" t="s">
        <v>100</v>
      </c>
      <c r="E74" s="282">
        <v>540000</v>
      </c>
      <c r="F74" s="283"/>
      <c r="G74" s="282">
        <v>0</v>
      </c>
      <c r="H74" s="283"/>
      <c r="I74" s="284">
        <v>331000</v>
      </c>
      <c r="J74" s="285">
        <v>0</v>
      </c>
      <c r="K74" s="285">
        <v>0</v>
      </c>
      <c r="L74" s="285">
        <v>0</v>
      </c>
      <c r="M74" s="285">
        <v>0</v>
      </c>
      <c r="N74" s="285">
        <v>331000</v>
      </c>
      <c r="O74" s="285">
        <v>0</v>
      </c>
      <c r="P74" s="285">
        <v>0</v>
      </c>
      <c r="Q74" s="285">
        <v>0</v>
      </c>
      <c r="R74" s="286">
        <f>SUM(J74:Q74)</f>
        <v>331000</v>
      </c>
      <c r="S74" s="287">
        <f>I74-R74</f>
        <v>0</v>
      </c>
      <c r="T74" s="288">
        <f>G74-I74</f>
        <v>-331000</v>
      </c>
      <c r="U74" s="289">
        <v>0</v>
      </c>
      <c r="V74" s="290" t="e">
        <f t="shared" si="1"/>
        <v>#DIV/0!</v>
      </c>
      <c r="X74" s="329"/>
      <c r="Y74" s="285"/>
      <c r="Z74" s="285"/>
      <c r="AA74" s="285"/>
      <c r="AB74" s="285"/>
      <c r="AC74" s="285"/>
      <c r="AD74" s="285"/>
      <c r="AE74" s="285"/>
    </row>
    <row r="75" spans="1:31" ht="18.95" customHeight="1">
      <c r="A75" s="312"/>
      <c r="B75" s="279" t="s">
        <v>99</v>
      </c>
      <c r="C75" s="280" t="s">
        <v>97</v>
      </c>
      <c r="D75" s="281" t="s">
        <v>101</v>
      </c>
      <c r="E75" s="282">
        <v>0</v>
      </c>
      <c r="F75" s="283"/>
      <c r="G75" s="282">
        <v>0</v>
      </c>
      <c r="H75" s="283"/>
      <c r="I75" s="284">
        <v>603000</v>
      </c>
      <c r="J75" s="285">
        <v>0</v>
      </c>
      <c r="K75" s="285">
        <v>0</v>
      </c>
      <c r="L75" s="285">
        <v>0</v>
      </c>
      <c r="M75" s="285">
        <v>0</v>
      </c>
      <c r="N75" s="285">
        <v>0</v>
      </c>
      <c r="O75" s="285">
        <v>603000</v>
      </c>
      <c r="P75" s="285">
        <v>0</v>
      </c>
      <c r="Q75" s="285">
        <v>0</v>
      </c>
      <c r="R75" s="286">
        <f>SUM(J75:Q75)</f>
        <v>603000</v>
      </c>
      <c r="S75" s="287">
        <f>I75-R75</f>
        <v>0</v>
      </c>
      <c r="T75" s="288">
        <f>G75-I75</f>
        <v>-603000</v>
      </c>
      <c r="U75" s="289">
        <v>0</v>
      </c>
      <c r="V75" s="290" t="e">
        <f t="shared" si="1"/>
        <v>#DIV/0!</v>
      </c>
      <c r="X75" s="329"/>
      <c r="Y75" s="285"/>
      <c r="Z75" s="285"/>
      <c r="AA75" s="285"/>
      <c r="AB75" s="285"/>
      <c r="AC75" s="285"/>
      <c r="AD75" s="285"/>
      <c r="AE75" s="285"/>
    </row>
    <row r="76" spans="1:31" ht="18.95" customHeight="1">
      <c r="A76" s="312"/>
      <c r="B76" s="279" t="s">
        <v>102</v>
      </c>
      <c r="C76" s="280" t="s">
        <v>96</v>
      </c>
      <c r="D76" s="281" t="s">
        <v>43</v>
      </c>
      <c r="E76" s="282">
        <v>0</v>
      </c>
      <c r="F76" s="283"/>
      <c r="G76" s="282">
        <v>0</v>
      </c>
      <c r="H76" s="283"/>
      <c r="I76" s="284">
        <v>0</v>
      </c>
      <c r="J76" s="285">
        <v>0</v>
      </c>
      <c r="K76" s="285">
        <v>0</v>
      </c>
      <c r="L76" s="285">
        <v>0</v>
      </c>
      <c r="M76" s="285">
        <v>0</v>
      </c>
      <c r="N76" s="285">
        <v>0</v>
      </c>
      <c r="O76" s="285">
        <v>0</v>
      </c>
      <c r="P76" s="285">
        <v>-74360</v>
      </c>
      <c r="Q76" s="285">
        <v>0</v>
      </c>
      <c r="R76" s="286">
        <f>SUM(J76:Q76)</f>
        <v>-74360</v>
      </c>
      <c r="S76" s="287">
        <f>I76-R76</f>
        <v>74360</v>
      </c>
      <c r="T76" s="288">
        <f>G76-I76</f>
        <v>0</v>
      </c>
      <c r="U76" s="289">
        <v>0</v>
      </c>
      <c r="V76" s="290" t="e">
        <f t="shared" si="1"/>
        <v>#DIV/0!</v>
      </c>
      <c r="X76" s="329"/>
      <c r="Y76" s="285"/>
      <c r="Z76" s="285"/>
      <c r="AA76" s="285"/>
      <c r="AB76" s="285"/>
      <c r="AC76" s="285"/>
      <c r="AD76" s="285"/>
      <c r="AE76" s="285"/>
    </row>
    <row r="77" spans="1:31" ht="18.95" customHeight="1">
      <c r="A77" s="312"/>
      <c r="B77" s="279" t="s">
        <v>102</v>
      </c>
      <c r="C77" s="280" t="s">
        <v>103</v>
      </c>
      <c r="D77" s="281" t="s">
        <v>104</v>
      </c>
      <c r="E77" s="282">
        <v>0</v>
      </c>
      <c r="F77" s="283"/>
      <c r="G77" s="282">
        <v>0</v>
      </c>
      <c r="H77" s="283"/>
      <c r="I77" s="284">
        <v>8150000</v>
      </c>
      <c r="J77" s="285">
        <v>0</v>
      </c>
      <c r="K77" s="285">
        <v>0</v>
      </c>
      <c r="L77" s="285">
        <v>0</v>
      </c>
      <c r="M77" s="285">
        <v>0</v>
      </c>
      <c r="N77" s="285">
        <v>4914450</v>
      </c>
      <c r="O77" s="285">
        <v>2273850</v>
      </c>
      <c r="P77" s="285">
        <v>0</v>
      </c>
      <c r="Q77" s="285">
        <v>0</v>
      </c>
      <c r="R77" s="286">
        <f>SUM(J77:Q77)</f>
        <v>7188300</v>
      </c>
      <c r="S77" s="287">
        <f>I77-R77</f>
        <v>961700</v>
      </c>
      <c r="T77" s="288">
        <f>G77-I77</f>
        <v>-8150000</v>
      </c>
      <c r="U77" s="289">
        <v>0</v>
      </c>
      <c r="V77" s="290" t="e">
        <f t="shared" si="1"/>
        <v>#DIV/0!</v>
      </c>
      <c r="X77" s="329"/>
      <c r="Y77" s="285"/>
      <c r="Z77" s="285"/>
      <c r="AA77" s="285"/>
      <c r="AB77" s="285"/>
      <c r="AC77" s="285"/>
      <c r="AD77" s="285"/>
      <c r="AE77" s="285"/>
    </row>
    <row r="78" spans="1:31" ht="18.95" customHeight="1">
      <c r="A78" s="312"/>
      <c r="B78" s="279"/>
      <c r="C78" s="280" t="s">
        <v>96</v>
      </c>
      <c r="D78" s="281" t="s">
        <v>43</v>
      </c>
      <c r="E78" s="282">
        <v>0</v>
      </c>
      <c r="F78" s="283"/>
      <c r="G78" s="282">
        <v>0</v>
      </c>
      <c r="H78" s="283"/>
      <c r="I78" s="284">
        <v>0</v>
      </c>
      <c r="J78" s="285">
        <v>0</v>
      </c>
      <c r="K78" s="285">
        <v>0</v>
      </c>
      <c r="L78" s="285">
        <v>0</v>
      </c>
      <c r="M78" s="285">
        <v>0</v>
      </c>
      <c r="N78" s="285">
        <v>0</v>
      </c>
      <c r="O78" s="285">
        <v>0</v>
      </c>
      <c r="P78" s="285">
        <v>0</v>
      </c>
      <c r="Q78" s="285">
        <v>0</v>
      </c>
      <c r="R78" s="286">
        <f>SUM(J78:Q78)</f>
        <v>0</v>
      </c>
      <c r="S78" s="287">
        <f>I78-R78</f>
        <v>0</v>
      </c>
      <c r="T78" s="288">
        <f>G78-I78</f>
        <v>0</v>
      </c>
      <c r="U78" s="289">
        <v>0</v>
      </c>
      <c r="V78" s="290" t="e">
        <f t="shared" si="1"/>
        <v>#DIV/0!</v>
      </c>
      <c r="X78" s="329"/>
      <c r="Y78" s="285"/>
      <c r="Z78" s="285"/>
      <c r="AA78" s="285"/>
      <c r="AB78" s="285"/>
      <c r="AC78" s="285"/>
      <c r="AD78" s="285"/>
      <c r="AE78" s="285"/>
    </row>
    <row r="79" spans="1:31" ht="18.95" customHeight="1">
      <c r="A79" s="312"/>
      <c r="B79" s="279"/>
      <c r="C79" s="280" t="s">
        <v>98</v>
      </c>
      <c r="D79" s="281" t="s">
        <v>43</v>
      </c>
      <c r="E79" s="282">
        <v>0</v>
      </c>
      <c r="F79" s="283"/>
      <c r="G79" s="282">
        <v>0</v>
      </c>
      <c r="H79" s="283"/>
      <c r="I79" s="284">
        <v>0</v>
      </c>
      <c r="J79" s="285">
        <v>0</v>
      </c>
      <c r="K79" s="285">
        <v>0</v>
      </c>
      <c r="L79" s="285">
        <v>0</v>
      </c>
      <c r="M79" s="285">
        <v>0</v>
      </c>
      <c r="N79" s="285">
        <v>0</v>
      </c>
      <c r="O79" s="285">
        <v>0</v>
      </c>
      <c r="P79" s="285">
        <v>0</v>
      </c>
      <c r="Q79" s="285">
        <v>0</v>
      </c>
      <c r="R79" s="286">
        <f>SUM(J79:Q79)</f>
        <v>0</v>
      </c>
      <c r="S79" s="287">
        <f>I79-R79</f>
        <v>0</v>
      </c>
      <c r="T79" s="288">
        <f>G79-I79</f>
        <v>0</v>
      </c>
      <c r="U79" s="289">
        <v>0</v>
      </c>
      <c r="V79" s="290" t="e">
        <f t="shared" si="1"/>
        <v>#DIV/0!</v>
      </c>
      <c r="X79" s="329"/>
      <c r="Y79" s="285"/>
      <c r="Z79" s="285"/>
      <c r="AA79" s="285"/>
      <c r="AB79" s="285"/>
      <c r="AC79" s="285"/>
      <c r="AD79" s="285"/>
      <c r="AE79" s="285"/>
    </row>
    <row r="80" spans="1:31" ht="18.95" customHeight="1">
      <c r="A80" s="312"/>
      <c r="B80" s="279"/>
      <c r="C80" s="280" t="s">
        <v>97</v>
      </c>
      <c r="D80" s="281" t="s">
        <v>43</v>
      </c>
      <c r="E80" s="282">
        <v>1070000</v>
      </c>
      <c r="F80" s="283"/>
      <c r="G80" s="282">
        <v>0</v>
      </c>
      <c r="H80" s="283"/>
      <c r="I80" s="284">
        <v>0</v>
      </c>
      <c r="J80" s="285">
        <v>0</v>
      </c>
      <c r="K80" s="285">
        <v>0</v>
      </c>
      <c r="L80" s="285">
        <v>0</v>
      </c>
      <c r="M80" s="285">
        <v>0</v>
      </c>
      <c r="N80" s="285">
        <v>0</v>
      </c>
      <c r="O80" s="285">
        <v>0</v>
      </c>
      <c r="P80" s="285">
        <v>0</v>
      </c>
      <c r="Q80" s="285">
        <v>0</v>
      </c>
      <c r="R80" s="286">
        <f>SUM(J80:Q80)</f>
        <v>0</v>
      </c>
      <c r="S80" s="287">
        <f>I80-R80</f>
        <v>0</v>
      </c>
      <c r="T80" s="288">
        <f>G80-I80</f>
        <v>0</v>
      </c>
      <c r="U80" s="289">
        <v>0</v>
      </c>
      <c r="V80" s="290" t="e">
        <f t="shared" si="1"/>
        <v>#DIV/0!</v>
      </c>
      <c r="X80" s="329"/>
      <c r="Y80" s="285"/>
      <c r="Z80" s="285"/>
      <c r="AA80" s="285"/>
      <c r="AB80" s="285"/>
      <c r="AC80" s="285"/>
      <c r="AD80" s="285"/>
      <c r="AE80" s="285"/>
    </row>
    <row r="81" spans="1:31" ht="18.95" customHeight="1">
      <c r="A81" s="313"/>
      <c r="B81" s="279"/>
      <c r="C81" s="280" t="s">
        <v>105</v>
      </c>
      <c r="D81" s="281" t="s">
        <v>43</v>
      </c>
      <c r="E81" s="282">
        <v>0</v>
      </c>
      <c r="F81" s="283"/>
      <c r="G81" s="282">
        <v>0</v>
      </c>
      <c r="H81" s="283"/>
      <c r="I81" s="284">
        <v>0</v>
      </c>
      <c r="J81" s="285">
        <v>0</v>
      </c>
      <c r="K81" s="285">
        <v>0</v>
      </c>
      <c r="L81" s="285">
        <v>0</v>
      </c>
      <c r="M81" s="285">
        <v>0</v>
      </c>
      <c r="N81" s="285">
        <v>0</v>
      </c>
      <c r="O81" s="285">
        <v>0</v>
      </c>
      <c r="P81" s="285">
        <v>0</v>
      </c>
      <c r="Q81" s="285">
        <v>0</v>
      </c>
      <c r="R81" s="286">
        <f>SUM(J81:Q81)</f>
        <v>0</v>
      </c>
      <c r="S81" s="287">
        <f>I81-R81</f>
        <v>0</v>
      </c>
      <c r="T81" s="288">
        <f>G81-I81</f>
        <v>0</v>
      </c>
      <c r="U81" s="289">
        <v>0</v>
      </c>
      <c r="V81" s="290" t="e">
        <f t="shared" si="1"/>
        <v>#DIV/0!</v>
      </c>
      <c r="X81" s="329"/>
      <c r="Y81" s="285"/>
      <c r="Z81" s="285"/>
      <c r="AA81" s="285"/>
      <c r="AB81" s="285"/>
      <c r="AC81" s="285"/>
      <c r="AD81" s="285"/>
      <c r="AE81" s="285"/>
    </row>
    <row r="82" spans="1:31" ht="18.95" customHeight="1">
      <c r="A82" s="314" t="s">
        <v>106</v>
      </c>
      <c r="B82" s="291" t="s">
        <v>38</v>
      </c>
      <c r="C82" s="292" t="s">
        <v>107</v>
      </c>
      <c r="D82" s="293" t="s">
        <v>40</v>
      </c>
      <c r="E82" s="294">
        <v>884700</v>
      </c>
      <c r="F82" s="295"/>
      <c r="G82" s="294">
        <v>1071750</v>
      </c>
      <c r="H82" s="295"/>
      <c r="I82" s="296">
        <v>1071750</v>
      </c>
      <c r="J82" s="273">
        <v>0</v>
      </c>
      <c r="K82" s="273">
        <v>0</v>
      </c>
      <c r="L82" s="273">
        <v>0</v>
      </c>
      <c r="M82" s="273">
        <v>0</v>
      </c>
      <c r="N82" s="273">
        <v>0</v>
      </c>
      <c r="O82" s="273">
        <v>0</v>
      </c>
      <c r="P82" s="273">
        <v>0</v>
      </c>
      <c r="Q82" s="273">
        <v>0</v>
      </c>
      <c r="R82" s="274">
        <f>SUM(J82:Q82)</f>
        <v>0</v>
      </c>
      <c r="S82" s="275">
        <f>I82-R82</f>
        <v>1071750</v>
      </c>
      <c r="T82" s="276">
        <f>G82-I82</f>
        <v>0</v>
      </c>
      <c r="U82" s="297">
        <v>8</v>
      </c>
      <c r="V82" s="278">
        <f t="shared" si="1"/>
        <v>0</v>
      </c>
      <c r="X82" s="328"/>
      <c r="Y82" s="273"/>
      <c r="Z82" s="273"/>
      <c r="AA82" s="273"/>
      <c r="AB82" s="273"/>
      <c r="AC82" s="273"/>
      <c r="AD82" s="273"/>
      <c r="AE82" s="273"/>
    </row>
    <row r="83" spans="1:31" ht="18.95" customHeight="1">
      <c r="A83" s="312"/>
      <c r="B83" s="279"/>
      <c r="C83" s="280" t="s">
        <v>107</v>
      </c>
      <c r="D83" s="281" t="s">
        <v>43</v>
      </c>
      <c r="E83" s="282">
        <v>0</v>
      </c>
      <c r="F83" s="283"/>
      <c r="G83" s="282">
        <v>0</v>
      </c>
      <c r="H83" s="283"/>
      <c r="I83" s="284">
        <v>0</v>
      </c>
      <c r="J83" s="285">
        <v>0</v>
      </c>
      <c r="K83" s="285">
        <v>0</v>
      </c>
      <c r="L83" s="285">
        <v>0</v>
      </c>
      <c r="M83" s="285">
        <v>0</v>
      </c>
      <c r="N83" s="285">
        <v>0</v>
      </c>
      <c r="O83" s="285">
        <v>0</v>
      </c>
      <c r="P83" s="285">
        <v>0</v>
      </c>
      <c r="Q83" s="285">
        <v>0</v>
      </c>
      <c r="R83" s="286">
        <f>SUM(J83:Q83)</f>
        <v>0</v>
      </c>
      <c r="S83" s="287">
        <f>I83-R83</f>
        <v>0</v>
      </c>
      <c r="T83" s="288">
        <f>G83-I83</f>
        <v>0</v>
      </c>
      <c r="U83" s="289">
        <v>0</v>
      </c>
      <c r="V83" s="290" t="e">
        <f t="shared" si="1"/>
        <v>#DIV/0!</v>
      </c>
      <c r="X83" s="329"/>
      <c r="Y83" s="285"/>
      <c r="Z83" s="285"/>
      <c r="AA83" s="285"/>
      <c r="AB83" s="285"/>
      <c r="AC83" s="285"/>
      <c r="AD83" s="285"/>
      <c r="AE83" s="285"/>
    </row>
    <row r="84" spans="1:31" ht="18.95" customHeight="1">
      <c r="A84" s="313"/>
      <c r="B84" s="279"/>
      <c r="C84" s="280" t="s">
        <v>108</v>
      </c>
      <c r="D84" s="281" t="s">
        <v>43</v>
      </c>
      <c r="E84" s="282">
        <v>0</v>
      </c>
      <c r="F84" s="283"/>
      <c r="G84" s="282">
        <v>0</v>
      </c>
      <c r="H84" s="283"/>
      <c r="I84" s="284">
        <v>0</v>
      </c>
      <c r="J84" s="285">
        <v>0</v>
      </c>
      <c r="K84" s="285">
        <v>0</v>
      </c>
      <c r="L84" s="285">
        <v>0</v>
      </c>
      <c r="M84" s="285">
        <v>0</v>
      </c>
      <c r="N84" s="285">
        <v>0</v>
      </c>
      <c r="O84" s="285">
        <v>0</v>
      </c>
      <c r="P84" s="285">
        <v>0</v>
      </c>
      <c r="Q84" s="285">
        <v>0</v>
      </c>
      <c r="R84" s="286">
        <f>SUM(J84:Q84)</f>
        <v>0</v>
      </c>
      <c r="S84" s="287">
        <f>I84-R84</f>
        <v>0</v>
      </c>
      <c r="T84" s="288">
        <f>G84-I84</f>
        <v>0</v>
      </c>
      <c r="U84" s="289">
        <v>0</v>
      </c>
      <c r="V84" s="290" t="e">
        <f t="shared" si="1"/>
        <v>#DIV/0!</v>
      </c>
      <c r="X84" s="329"/>
      <c r="Y84" s="285"/>
      <c r="Z84" s="285"/>
      <c r="AA84" s="285"/>
      <c r="AB84" s="285"/>
      <c r="AC84" s="285"/>
      <c r="AD84" s="285"/>
      <c r="AE84" s="285"/>
    </row>
    <row r="85" spans="1:31" ht="18.95" customHeight="1">
      <c r="A85" s="314" t="s">
        <v>109</v>
      </c>
      <c r="B85" s="291" t="s">
        <v>38</v>
      </c>
      <c r="C85" s="292" t="s">
        <v>110</v>
      </c>
      <c r="D85" s="293" t="s">
        <v>40</v>
      </c>
      <c r="E85" s="294">
        <v>4145400</v>
      </c>
      <c r="F85" s="295"/>
      <c r="G85" s="294">
        <v>4604830</v>
      </c>
      <c r="H85" s="295"/>
      <c r="I85" s="296">
        <v>4545390</v>
      </c>
      <c r="J85" s="273">
        <v>0</v>
      </c>
      <c r="K85" s="273">
        <v>0</v>
      </c>
      <c r="L85" s="273">
        <v>2800000</v>
      </c>
      <c r="M85" s="273">
        <v>0</v>
      </c>
      <c r="N85" s="273">
        <v>0</v>
      </c>
      <c r="O85" s="273">
        <v>1141700</v>
      </c>
      <c r="P85" s="273">
        <v>0</v>
      </c>
      <c r="Q85" s="273">
        <v>0</v>
      </c>
      <c r="R85" s="274">
        <f>SUM(J85:Q85)</f>
        <v>3941700</v>
      </c>
      <c r="S85" s="275">
        <f>I85-R85</f>
        <v>603690</v>
      </c>
      <c r="T85" s="276">
        <f>G85-I85</f>
        <v>59440</v>
      </c>
      <c r="U85" s="297">
        <v>2</v>
      </c>
      <c r="V85" s="278">
        <f t="shared" si="1"/>
        <v>1970850</v>
      </c>
      <c r="X85" s="328"/>
      <c r="Y85" s="273"/>
      <c r="Z85" s="273"/>
      <c r="AA85" s="273"/>
      <c r="AB85" s="273"/>
      <c r="AC85" s="273"/>
      <c r="AD85" s="273"/>
      <c r="AE85" s="273"/>
    </row>
    <row r="86" spans="1:31" ht="18.95" customHeight="1">
      <c r="A86" s="312"/>
      <c r="B86" s="279" t="s">
        <v>38</v>
      </c>
      <c r="C86" s="280" t="s">
        <v>110</v>
      </c>
      <c r="D86" s="281" t="s">
        <v>43</v>
      </c>
      <c r="E86" s="282">
        <v>0</v>
      </c>
      <c r="F86" s="283"/>
      <c r="G86" s="282">
        <v>0</v>
      </c>
      <c r="H86" s="283"/>
      <c r="I86" s="284">
        <v>0</v>
      </c>
      <c r="J86" s="285">
        <v>0</v>
      </c>
      <c r="K86" s="285">
        <v>0</v>
      </c>
      <c r="L86" s="285">
        <v>0</v>
      </c>
      <c r="M86" s="285">
        <v>0</v>
      </c>
      <c r="N86" s="285">
        <v>-158100</v>
      </c>
      <c r="O86" s="285">
        <v>-479500</v>
      </c>
      <c r="P86" s="285">
        <v>-727180</v>
      </c>
      <c r="Q86" s="285">
        <v>0</v>
      </c>
      <c r="R86" s="286">
        <f>SUM(J86:Q86)</f>
        <v>-1364780</v>
      </c>
      <c r="S86" s="287">
        <f>I86-R86</f>
        <v>1364780</v>
      </c>
      <c r="T86" s="288">
        <f>G86-I86</f>
        <v>0</v>
      </c>
      <c r="U86" s="289">
        <v>0</v>
      </c>
      <c r="V86" s="290" t="e">
        <f t="shared" si="1"/>
        <v>#DIV/0!</v>
      </c>
      <c r="X86" s="329"/>
      <c r="Y86" s="285"/>
      <c r="Z86" s="285"/>
      <c r="AA86" s="285"/>
      <c r="AB86" s="285"/>
      <c r="AC86" s="285"/>
      <c r="AD86" s="285"/>
      <c r="AE86" s="285"/>
    </row>
    <row r="87" spans="1:31" ht="18.95" customHeight="1">
      <c r="A87" s="312"/>
      <c r="B87" s="279" t="s">
        <v>38</v>
      </c>
      <c r="C87" s="280" t="s">
        <v>111</v>
      </c>
      <c r="D87" s="281" t="s">
        <v>40</v>
      </c>
      <c r="E87" s="282">
        <v>4275800</v>
      </c>
      <c r="F87" s="283"/>
      <c r="G87" s="282">
        <v>4366500</v>
      </c>
      <c r="H87" s="283"/>
      <c r="I87" s="284">
        <v>4366500</v>
      </c>
      <c r="J87" s="285">
        <v>0</v>
      </c>
      <c r="K87" s="285">
        <v>0</v>
      </c>
      <c r="L87" s="285">
        <v>0</v>
      </c>
      <c r="M87" s="285">
        <v>1840000</v>
      </c>
      <c r="N87" s="285">
        <v>1860000</v>
      </c>
      <c r="O87" s="285">
        <v>0</v>
      </c>
      <c r="P87" s="285">
        <v>0</v>
      </c>
      <c r="Q87" s="285">
        <v>0</v>
      </c>
      <c r="R87" s="286">
        <f>SUM(J87:Q87)</f>
        <v>3700000</v>
      </c>
      <c r="S87" s="287">
        <f>I87-R87</f>
        <v>666500</v>
      </c>
      <c r="T87" s="288">
        <f>G87-I87</f>
        <v>0</v>
      </c>
      <c r="U87" s="289">
        <v>21</v>
      </c>
      <c r="V87" s="290">
        <f t="shared" si="1"/>
        <v>176190.47619047618</v>
      </c>
      <c r="X87" s="329"/>
      <c r="Y87" s="285"/>
      <c r="Z87" s="285"/>
      <c r="AA87" s="285"/>
      <c r="AB87" s="285"/>
      <c r="AC87" s="285"/>
      <c r="AD87" s="285"/>
      <c r="AE87" s="285"/>
    </row>
    <row r="88" spans="1:31" ht="18.95" customHeight="1">
      <c r="A88" s="312"/>
      <c r="B88" s="279" t="s">
        <v>53</v>
      </c>
      <c r="C88" s="280" t="s">
        <v>112</v>
      </c>
      <c r="D88" s="281" t="s">
        <v>43</v>
      </c>
      <c r="E88" s="282">
        <v>0</v>
      </c>
      <c r="F88" s="283"/>
      <c r="G88" s="282">
        <v>0</v>
      </c>
      <c r="H88" s="283"/>
      <c r="I88" s="284">
        <v>0</v>
      </c>
      <c r="J88" s="285">
        <v>0</v>
      </c>
      <c r="K88" s="285">
        <v>0</v>
      </c>
      <c r="L88" s="285">
        <v>0</v>
      </c>
      <c r="M88" s="285">
        <v>149560</v>
      </c>
      <c r="N88" s="285">
        <v>803080</v>
      </c>
      <c r="O88" s="285">
        <v>688060</v>
      </c>
      <c r="P88" s="285">
        <v>0</v>
      </c>
      <c r="Q88" s="285">
        <v>0</v>
      </c>
      <c r="R88" s="286">
        <f>SUM(J88:Q88)</f>
        <v>1640700</v>
      </c>
      <c r="S88" s="287">
        <f>I88-R88</f>
        <v>-1640700</v>
      </c>
      <c r="T88" s="288">
        <f>G88-I88</f>
        <v>0</v>
      </c>
      <c r="U88" s="289">
        <v>0</v>
      </c>
      <c r="V88" s="290" t="e">
        <f t="shared" si="1"/>
        <v>#DIV/0!</v>
      </c>
      <c r="X88" s="329"/>
      <c r="Y88" s="285"/>
      <c r="Z88" s="285"/>
      <c r="AA88" s="285"/>
      <c r="AB88" s="285"/>
      <c r="AC88" s="285"/>
      <c r="AD88" s="285"/>
      <c r="AE88" s="285"/>
    </row>
    <row r="89" spans="1:31" ht="18.95" customHeight="1">
      <c r="A89" s="312"/>
      <c r="B89" s="279" t="s">
        <v>102</v>
      </c>
      <c r="C89" s="280" t="s">
        <v>110</v>
      </c>
      <c r="D89" s="281" t="s">
        <v>43</v>
      </c>
      <c r="E89" s="282">
        <v>0</v>
      </c>
      <c r="F89" s="283"/>
      <c r="G89" s="282">
        <v>0</v>
      </c>
      <c r="H89" s="283"/>
      <c r="I89" s="284">
        <v>0</v>
      </c>
      <c r="J89" s="285">
        <v>0</v>
      </c>
      <c r="K89" s="285">
        <v>0</v>
      </c>
      <c r="L89" s="285">
        <v>0</v>
      </c>
      <c r="M89" s="285">
        <v>0</v>
      </c>
      <c r="N89" s="285">
        <v>0</v>
      </c>
      <c r="O89" s="285">
        <v>-368600</v>
      </c>
      <c r="P89" s="285">
        <v>0</v>
      </c>
      <c r="Q89" s="285">
        <v>0</v>
      </c>
      <c r="R89" s="286">
        <f>SUM(J89:Q89)</f>
        <v>-368600</v>
      </c>
      <c r="S89" s="287">
        <f>I89-R89</f>
        <v>368600</v>
      </c>
      <c r="T89" s="288">
        <f>G89-I89</f>
        <v>0</v>
      </c>
      <c r="U89" s="289">
        <v>0</v>
      </c>
      <c r="V89" s="290" t="e">
        <f t="shared" si="1"/>
        <v>#DIV/0!</v>
      </c>
      <c r="X89" s="329"/>
      <c r="Y89" s="285"/>
      <c r="Z89" s="285"/>
      <c r="AA89" s="285"/>
      <c r="AB89" s="285"/>
      <c r="AC89" s="285"/>
      <c r="AD89" s="285"/>
      <c r="AE89" s="285"/>
    </row>
    <row r="90" spans="1:31" ht="18.95" customHeight="1">
      <c r="A90" s="312"/>
      <c r="B90" s="279"/>
      <c r="C90" s="280" t="s">
        <v>110</v>
      </c>
      <c r="D90" s="281" t="s">
        <v>43</v>
      </c>
      <c r="E90" s="282">
        <v>81200</v>
      </c>
      <c r="F90" s="283"/>
      <c r="G90" s="282">
        <v>0</v>
      </c>
      <c r="H90" s="283"/>
      <c r="I90" s="284">
        <v>0</v>
      </c>
      <c r="J90" s="285">
        <v>0</v>
      </c>
      <c r="K90" s="285">
        <v>0</v>
      </c>
      <c r="L90" s="285">
        <v>0</v>
      </c>
      <c r="M90" s="285">
        <v>0</v>
      </c>
      <c r="N90" s="285">
        <v>0</v>
      </c>
      <c r="O90" s="285">
        <v>0</v>
      </c>
      <c r="P90" s="285">
        <v>0</v>
      </c>
      <c r="Q90" s="285">
        <v>0</v>
      </c>
      <c r="R90" s="286">
        <f>SUM(J90:Q90)</f>
        <v>0</v>
      </c>
      <c r="S90" s="287">
        <f>I90-R90</f>
        <v>0</v>
      </c>
      <c r="T90" s="288">
        <f>G90-I90</f>
        <v>0</v>
      </c>
      <c r="U90" s="289">
        <v>0</v>
      </c>
      <c r="V90" s="290" t="e">
        <f t="shared" si="1"/>
        <v>#DIV/0!</v>
      </c>
      <c r="X90" s="329"/>
      <c r="Y90" s="285"/>
      <c r="Z90" s="285"/>
      <c r="AA90" s="285"/>
      <c r="AB90" s="285"/>
      <c r="AC90" s="285"/>
      <c r="AD90" s="285"/>
      <c r="AE90" s="285"/>
    </row>
    <row r="91" spans="1:31" ht="18.95" customHeight="1">
      <c r="A91" s="312"/>
      <c r="B91" s="279"/>
      <c r="C91" s="280" t="s">
        <v>112</v>
      </c>
      <c r="D91" s="281" t="s">
        <v>43</v>
      </c>
      <c r="E91" s="282">
        <v>0</v>
      </c>
      <c r="F91" s="283"/>
      <c r="G91" s="282">
        <v>0</v>
      </c>
      <c r="H91" s="283"/>
      <c r="I91" s="284">
        <v>0</v>
      </c>
      <c r="J91" s="285">
        <v>0</v>
      </c>
      <c r="K91" s="285">
        <v>0</v>
      </c>
      <c r="L91" s="285">
        <v>0</v>
      </c>
      <c r="M91" s="285">
        <v>0</v>
      </c>
      <c r="N91" s="285">
        <v>0</v>
      </c>
      <c r="O91" s="285">
        <v>0</v>
      </c>
      <c r="P91" s="285">
        <v>0</v>
      </c>
      <c r="Q91" s="285">
        <v>0</v>
      </c>
      <c r="R91" s="286">
        <f>SUM(J91:Q91)</f>
        <v>0</v>
      </c>
      <c r="S91" s="287">
        <f>I91-R91</f>
        <v>0</v>
      </c>
      <c r="T91" s="288">
        <f>G91-I91</f>
        <v>0</v>
      </c>
      <c r="U91" s="289">
        <v>0</v>
      </c>
      <c r="V91" s="290" t="e">
        <f t="shared" si="1"/>
        <v>#DIV/0!</v>
      </c>
      <c r="X91" s="329"/>
      <c r="Y91" s="285"/>
      <c r="Z91" s="285"/>
      <c r="AA91" s="285"/>
      <c r="AB91" s="285"/>
      <c r="AC91" s="285"/>
      <c r="AD91" s="285"/>
      <c r="AE91" s="285"/>
    </row>
    <row r="92" spans="1:31" ht="18.95" customHeight="1">
      <c r="A92" s="312"/>
      <c r="B92" s="279"/>
      <c r="C92" s="280" t="s">
        <v>111</v>
      </c>
      <c r="D92" s="281" t="s">
        <v>43</v>
      </c>
      <c r="E92" s="282">
        <v>0</v>
      </c>
      <c r="F92" s="283"/>
      <c r="G92" s="282">
        <v>0</v>
      </c>
      <c r="H92" s="283"/>
      <c r="I92" s="284">
        <v>0</v>
      </c>
      <c r="J92" s="285">
        <v>0</v>
      </c>
      <c r="K92" s="285">
        <v>0</v>
      </c>
      <c r="L92" s="285">
        <v>0</v>
      </c>
      <c r="M92" s="285">
        <v>0</v>
      </c>
      <c r="N92" s="285">
        <v>0</v>
      </c>
      <c r="O92" s="285">
        <v>0</v>
      </c>
      <c r="P92" s="285">
        <v>0</v>
      </c>
      <c r="Q92" s="285">
        <v>0</v>
      </c>
      <c r="R92" s="286">
        <f>SUM(J92:Q92)</f>
        <v>0</v>
      </c>
      <c r="S92" s="287">
        <f>I92-R92</f>
        <v>0</v>
      </c>
      <c r="T92" s="288">
        <f>G92-I92</f>
        <v>0</v>
      </c>
      <c r="U92" s="289">
        <v>0</v>
      </c>
      <c r="V92" s="290" t="e">
        <f t="shared" si="1"/>
        <v>#DIV/0!</v>
      </c>
      <c r="X92" s="329"/>
      <c r="Y92" s="285"/>
      <c r="Z92" s="285"/>
      <c r="AA92" s="285"/>
      <c r="AB92" s="285"/>
      <c r="AC92" s="285"/>
      <c r="AD92" s="285"/>
      <c r="AE92" s="285"/>
    </row>
    <row r="93" spans="1:31" ht="18.95" customHeight="1">
      <c r="A93" s="313"/>
      <c r="B93" s="279"/>
      <c r="C93" s="280" t="s">
        <v>113</v>
      </c>
      <c r="D93" s="281" t="s">
        <v>43</v>
      </c>
      <c r="E93" s="282">
        <v>0</v>
      </c>
      <c r="F93" s="283"/>
      <c r="G93" s="282">
        <v>0</v>
      </c>
      <c r="H93" s="283"/>
      <c r="I93" s="284">
        <v>0</v>
      </c>
      <c r="J93" s="285">
        <v>0</v>
      </c>
      <c r="K93" s="285">
        <v>0</v>
      </c>
      <c r="L93" s="285">
        <v>0</v>
      </c>
      <c r="M93" s="285">
        <v>0</v>
      </c>
      <c r="N93" s="285">
        <v>0</v>
      </c>
      <c r="O93" s="285">
        <v>0</v>
      </c>
      <c r="P93" s="285">
        <v>0</v>
      </c>
      <c r="Q93" s="285">
        <v>0</v>
      </c>
      <c r="R93" s="286">
        <f>SUM(J93:Q93)</f>
        <v>0</v>
      </c>
      <c r="S93" s="287">
        <f>I93-R93</f>
        <v>0</v>
      </c>
      <c r="T93" s="288">
        <f>G93-I93</f>
        <v>0</v>
      </c>
      <c r="U93" s="289">
        <v>0</v>
      </c>
      <c r="V93" s="290" t="e">
        <f t="shared" si="1"/>
        <v>#DIV/0!</v>
      </c>
      <c r="X93" s="329"/>
      <c r="Y93" s="285"/>
      <c r="Z93" s="285"/>
      <c r="AA93" s="285"/>
      <c r="AB93" s="285"/>
      <c r="AC93" s="285"/>
      <c r="AD93" s="285"/>
      <c r="AE93" s="285"/>
    </row>
    <row r="94" spans="1:31" ht="18.95" customHeight="1">
      <c r="A94" s="314" t="s">
        <v>114</v>
      </c>
      <c r="B94" s="291" t="s">
        <v>38</v>
      </c>
      <c r="C94" s="292" t="s">
        <v>115</v>
      </c>
      <c r="D94" s="293" t="s">
        <v>40</v>
      </c>
      <c r="E94" s="294">
        <v>2843500</v>
      </c>
      <c r="F94" s="295"/>
      <c r="G94" s="294">
        <v>3056300</v>
      </c>
      <c r="H94" s="295"/>
      <c r="I94" s="296">
        <v>3056300</v>
      </c>
      <c r="J94" s="273">
        <v>0</v>
      </c>
      <c r="K94" s="273">
        <v>0</v>
      </c>
      <c r="L94" s="273">
        <v>0</v>
      </c>
      <c r="M94" s="273">
        <v>0</v>
      </c>
      <c r="N94" s="273">
        <v>0</v>
      </c>
      <c r="O94" s="273">
        <v>3056300</v>
      </c>
      <c r="P94" s="273">
        <v>0</v>
      </c>
      <c r="Q94" s="273">
        <v>0</v>
      </c>
      <c r="R94" s="274">
        <f>SUM(J94:Q94)</f>
        <v>3056300</v>
      </c>
      <c r="S94" s="275">
        <f>I94-R94</f>
        <v>0</v>
      </c>
      <c r="T94" s="276">
        <f>G94-I94</f>
        <v>0</v>
      </c>
      <c r="U94" s="297">
        <v>0</v>
      </c>
      <c r="V94" s="278" t="e">
        <f t="shared" si="1"/>
        <v>#DIV/0!</v>
      </c>
      <c r="X94" s="328"/>
      <c r="Y94" s="273"/>
      <c r="Z94" s="273"/>
      <c r="AA94" s="273"/>
      <c r="AB94" s="273"/>
      <c r="AC94" s="273"/>
      <c r="AD94" s="273"/>
      <c r="AE94" s="273"/>
    </row>
    <row r="95" spans="1:31" ht="18.95" customHeight="1">
      <c r="A95" s="312"/>
      <c r="B95" s="279" t="s">
        <v>38</v>
      </c>
      <c r="C95" s="280" t="s">
        <v>116</v>
      </c>
      <c r="D95" s="281" t="s">
        <v>40</v>
      </c>
      <c r="E95" s="282">
        <v>3837900</v>
      </c>
      <c r="F95" s="283"/>
      <c r="G95" s="282">
        <v>3892000</v>
      </c>
      <c r="H95" s="283"/>
      <c r="I95" s="284">
        <v>3892000</v>
      </c>
      <c r="J95" s="285">
        <v>0</v>
      </c>
      <c r="K95" s="285">
        <v>0</v>
      </c>
      <c r="L95" s="285">
        <v>0</v>
      </c>
      <c r="M95" s="285">
        <v>0</v>
      </c>
      <c r="N95" s="285">
        <v>0</v>
      </c>
      <c r="O95" s="285">
        <v>3892000</v>
      </c>
      <c r="P95" s="285">
        <v>0</v>
      </c>
      <c r="Q95" s="285">
        <v>0</v>
      </c>
      <c r="R95" s="286">
        <f>SUM(J95:Q95)</f>
        <v>3892000</v>
      </c>
      <c r="S95" s="287">
        <f>I95-R95</f>
        <v>0</v>
      </c>
      <c r="T95" s="288">
        <f>G95-I95</f>
        <v>0</v>
      </c>
      <c r="U95" s="289">
        <v>17</v>
      </c>
      <c r="V95" s="290">
        <f t="shared" si="1"/>
        <v>228941.17647058822</v>
      </c>
      <c r="X95" s="329"/>
      <c r="Y95" s="285"/>
      <c r="Z95" s="285"/>
      <c r="AA95" s="285"/>
      <c r="AB95" s="285"/>
      <c r="AC95" s="285"/>
      <c r="AD95" s="285"/>
      <c r="AE95" s="285"/>
    </row>
    <row r="96" spans="1:31" ht="18.95" customHeight="1">
      <c r="A96" s="312"/>
      <c r="B96" s="279"/>
      <c r="C96" s="280" t="s">
        <v>115</v>
      </c>
      <c r="D96" s="281" t="s">
        <v>43</v>
      </c>
      <c r="E96" s="282">
        <v>62300</v>
      </c>
      <c r="F96" s="283"/>
      <c r="G96" s="282">
        <v>0</v>
      </c>
      <c r="H96" s="283"/>
      <c r="I96" s="284">
        <v>0</v>
      </c>
      <c r="J96" s="285">
        <v>0</v>
      </c>
      <c r="K96" s="285">
        <v>0</v>
      </c>
      <c r="L96" s="285">
        <v>0</v>
      </c>
      <c r="M96" s="285">
        <v>0</v>
      </c>
      <c r="N96" s="285">
        <v>0</v>
      </c>
      <c r="O96" s="285">
        <v>0</v>
      </c>
      <c r="P96" s="285">
        <v>0</v>
      </c>
      <c r="Q96" s="285">
        <v>0</v>
      </c>
      <c r="R96" s="286">
        <f>SUM(J96:Q96)</f>
        <v>0</v>
      </c>
      <c r="S96" s="287">
        <f>I96-R96</f>
        <v>0</v>
      </c>
      <c r="T96" s="288">
        <f>G96-I96</f>
        <v>0</v>
      </c>
      <c r="U96" s="289">
        <v>0</v>
      </c>
      <c r="V96" s="290" t="e">
        <f t="shared" si="1"/>
        <v>#DIV/0!</v>
      </c>
      <c r="X96" s="329"/>
      <c r="Y96" s="285"/>
      <c r="Z96" s="285"/>
      <c r="AA96" s="285"/>
      <c r="AB96" s="285"/>
      <c r="AC96" s="285"/>
      <c r="AD96" s="285"/>
      <c r="AE96" s="285"/>
    </row>
    <row r="97" spans="1:31" ht="18.95" customHeight="1">
      <c r="A97" s="312"/>
      <c r="B97" s="279"/>
      <c r="C97" s="280" t="s">
        <v>117</v>
      </c>
      <c r="D97" s="281" t="s">
        <v>43</v>
      </c>
      <c r="E97" s="282">
        <v>0</v>
      </c>
      <c r="F97" s="283"/>
      <c r="G97" s="282">
        <v>0</v>
      </c>
      <c r="H97" s="283"/>
      <c r="I97" s="284">
        <v>0</v>
      </c>
      <c r="J97" s="285">
        <v>0</v>
      </c>
      <c r="K97" s="285">
        <v>0</v>
      </c>
      <c r="L97" s="285">
        <v>0</v>
      </c>
      <c r="M97" s="285">
        <v>0</v>
      </c>
      <c r="N97" s="285">
        <v>0</v>
      </c>
      <c r="O97" s="285">
        <v>0</v>
      </c>
      <c r="P97" s="285">
        <v>0</v>
      </c>
      <c r="Q97" s="285">
        <v>0</v>
      </c>
      <c r="R97" s="286">
        <f>SUM(J97:Q97)</f>
        <v>0</v>
      </c>
      <c r="S97" s="287">
        <f>I97-R97</f>
        <v>0</v>
      </c>
      <c r="T97" s="288">
        <f>G97-I97</f>
        <v>0</v>
      </c>
      <c r="U97" s="289">
        <v>0</v>
      </c>
      <c r="V97" s="290" t="e">
        <f t="shared" si="1"/>
        <v>#DIV/0!</v>
      </c>
      <c r="X97" s="329"/>
      <c r="Y97" s="285"/>
      <c r="Z97" s="285"/>
      <c r="AA97" s="285"/>
      <c r="AB97" s="285"/>
      <c r="AC97" s="285"/>
      <c r="AD97" s="285"/>
      <c r="AE97" s="285"/>
    </row>
    <row r="98" spans="1:31" ht="18.95" customHeight="1">
      <c r="A98" s="312"/>
      <c r="B98" s="279"/>
      <c r="C98" s="280" t="s">
        <v>116</v>
      </c>
      <c r="D98" s="281" t="s">
        <v>43</v>
      </c>
      <c r="E98" s="282">
        <v>0</v>
      </c>
      <c r="F98" s="283"/>
      <c r="G98" s="282">
        <v>0</v>
      </c>
      <c r="H98" s="283"/>
      <c r="I98" s="284">
        <v>0</v>
      </c>
      <c r="J98" s="285">
        <v>0</v>
      </c>
      <c r="K98" s="285">
        <v>0</v>
      </c>
      <c r="L98" s="285">
        <v>0</v>
      </c>
      <c r="M98" s="285">
        <v>0</v>
      </c>
      <c r="N98" s="285">
        <v>0</v>
      </c>
      <c r="O98" s="285">
        <v>0</v>
      </c>
      <c r="P98" s="285">
        <v>0</v>
      </c>
      <c r="Q98" s="285">
        <v>0</v>
      </c>
      <c r="R98" s="286">
        <f>SUM(J98:Q98)</f>
        <v>0</v>
      </c>
      <c r="S98" s="287">
        <f>I98-R98</f>
        <v>0</v>
      </c>
      <c r="T98" s="288">
        <f>G98-I98</f>
        <v>0</v>
      </c>
      <c r="U98" s="289">
        <v>0</v>
      </c>
      <c r="V98" s="290" t="e">
        <f t="shared" si="1"/>
        <v>#DIV/0!</v>
      </c>
      <c r="X98" s="329"/>
      <c r="Y98" s="285"/>
      <c r="Z98" s="285"/>
      <c r="AA98" s="285"/>
      <c r="AB98" s="285"/>
      <c r="AC98" s="285"/>
      <c r="AD98" s="285"/>
      <c r="AE98" s="285"/>
    </row>
    <row r="99" spans="1:31" ht="18.95" customHeight="1">
      <c r="A99" s="313"/>
      <c r="B99" s="279"/>
      <c r="C99" s="280" t="s">
        <v>118</v>
      </c>
      <c r="D99" s="281" t="s">
        <v>43</v>
      </c>
      <c r="E99" s="282">
        <v>0</v>
      </c>
      <c r="F99" s="283"/>
      <c r="G99" s="282">
        <v>0</v>
      </c>
      <c r="H99" s="283"/>
      <c r="I99" s="284">
        <v>0</v>
      </c>
      <c r="J99" s="285">
        <v>0</v>
      </c>
      <c r="K99" s="285">
        <v>0</v>
      </c>
      <c r="L99" s="285">
        <v>0</v>
      </c>
      <c r="M99" s="285">
        <v>0</v>
      </c>
      <c r="N99" s="285">
        <v>0</v>
      </c>
      <c r="O99" s="285">
        <v>0</v>
      </c>
      <c r="P99" s="285">
        <v>0</v>
      </c>
      <c r="Q99" s="285">
        <v>0</v>
      </c>
      <c r="R99" s="286">
        <f>SUM(J99:Q99)</f>
        <v>0</v>
      </c>
      <c r="S99" s="287">
        <f>I99-R99</f>
        <v>0</v>
      </c>
      <c r="T99" s="288">
        <f>G99-I99</f>
        <v>0</v>
      </c>
      <c r="U99" s="289">
        <v>0</v>
      </c>
      <c r="V99" s="290" t="e">
        <f t="shared" si="1"/>
        <v>#DIV/0!</v>
      </c>
      <c r="X99" s="329"/>
      <c r="Y99" s="285"/>
      <c r="Z99" s="285"/>
      <c r="AA99" s="285"/>
      <c r="AB99" s="285"/>
      <c r="AC99" s="285"/>
      <c r="AD99" s="285"/>
      <c r="AE99" s="285"/>
    </row>
    <row r="100" spans="1:31" ht="18.95" customHeight="1">
      <c r="A100" s="314" t="s">
        <v>119</v>
      </c>
      <c r="B100" s="291" t="s">
        <v>38</v>
      </c>
      <c r="C100" s="292" t="s">
        <v>120</v>
      </c>
      <c r="D100" s="293" t="s">
        <v>40</v>
      </c>
      <c r="E100" s="294">
        <v>1539000</v>
      </c>
      <c r="F100" s="295"/>
      <c r="G100" s="294">
        <v>1556560</v>
      </c>
      <c r="H100" s="295"/>
      <c r="I100" s="296">
        <v>1556560</v>
      </c>
      <c r="J100" s="273">
        <v>0</v>
      </c>
      <c r="K100" s="273">
        <v>0</v>
      </c>
      <c r="L100" s="273">
        <v>0</v>
      </c>
      <c r="M100" s="273">
        <v>0</v>
      </c>
      <c r="N100" s="273">
        <v>0</v>
      </c>
      <c r="O100" s="273">
        <v>0</v>
      </c>
      <c r="P100" s="273">
        <v>0</v>
      </c>
      <c r="Q100" s="273">
        <v>0</v>
      </c>
      <c r="R100" s="274">
        <f>SUM(J100:Q100)</f>
        <v>0</v>
      </c>
      <c r="S100" s="275">
        <f>I100-R100</f>
        <v>1556560</v>
      </c>
      <c r="T100" s="276">
        <f>G100-I100</f>
        <v>0</v>
      </c>
      <c r="U100" s="297">
        <v>0</v>
      </c>
      <c r="V100" s="278" t="e">
        <f t="shared" si="1"/>
        <v>#DIV/0!</v>
      </c>
      <c r="X100" s="328"/>
      <c r="Y100" s="273"/>
      <c r="Z100" s="273"/>
      <c r="AA100" s="273"/>
      <c r="AB100" s="273"/>
      <c r="AC100" s="273"/>
      <c r="AD100" s="273"/>
      <c r="AE100" s="273"/>
    </row>
    <row r="101" spans="1:31" ht="18.95" customHeight="1">
      <c r="A101" s="312"/>
      <c r="B101" s="279"/>
      <c r="C101" s="280" t="s">
        <v>120</v>
      </c>
      <c r="D101" s="281" t="s">
        <v>43</v>
      </c>
      <c r="E101" s="282">
        <v>0</v>
      </c>
      <c r="F101" s="283"/>
      <c r="G101" s="282">
        <v>0</v>
      </c>
      <c r="H101" s="283"/>
      <c r="I101" s="284">
        <v>0</v>
      </c>
      <c r="J101" s="285">
        <v>0</v>
      </c>
      <c r="K101" s="285">
        <v>0</v>
      </c>
      <c r="L101" s="285">
        <v>0</v>
      </c>
      <c r="M101" s="285">
        <v>0</v>
      </c>
      <c r="N101" s="285">
        <v>0</v>
      </c>
      <c r="O101" s="285">
        <v>0</v>
      </c>
      <c r="P101" s="285">
        <v>0</v>
      </c>
      <c r="Q101" s="285">
        <v>0</v>
      </c>
      <c r="R101" s="286">
        <f>SUM(J101:Q101)</f>
        <v>0</v>
      </c>
      <c r="S101" s="287">
        <f>I101-R101</f>
        <v>0</v>
      </c>
      <c r="T101" s="288">
        <f>G101-I101</f>
        <v>0</v>
      </c>
      <c r="U101" s="289">
        <v>0</v>
      </c>
      <c r="V101" s="290" t="e">
        <f t="shared" si="1"/>
        <v>#DIV/0!</v>
      </c>
      <c r="X101" s="329"/>
      <c r="Y101" s="285"/>
      <c r="Z101" s="285"/>
      <c r="AA101" s="285"/>
      <c r="AB101" s="285"/>
      <c r="AC101" s="285"/>
      <c r="AD101" s="285"/>
      <c r="AE101" s="285"/>
    </row>
    <row r="102" spans="1:31" ht="18.95" customHeight="1">
      <c r="A102" s="313"/>
      <c r="B102" s="279"/>
      <c r="C102" s="280" t="s">
        <v>121</v>
      </c>
      <c r="D102" s="281" t="s">
        <v>43</v>
      </c>
      <c r="E102" s="282">
        <v>0</v>
      </c>
      <c r="F102" s="283"/>
      <c r="G102" s="282">
        <v>0</v>
      </c>
      <c r="H102" s="283"/>
      <c r="I102" s="284">
        <v>0</v>
      </c>
      <c r="J102" s="285">
        <v>0</v>
      </c>
      <c r="K102" s="285">
        <v>0</v>
      </c>
      <c r="L102" s="285">
        <v>0</v>
      </c>
      <c r="M102" s="285">
        <v>0</v>
      </c>
      <c r="N102" s="285">
        <v>0</v>
      </c>
      <c r="O102" s="285">
        <v>0</v>
      </c>
      <c r="P102" s="285">
        <v>0</v>
      </c>
      <c r="Q102" s="285">
        <v>0</v>
      </c>
      <c r="R102" s="286">
        <f>SUM(J102:Q102)</f>
        <v>0</v>
      </c>
      <c r="S102" s="287">
        <f>I102-R102</f>
        <v>0</v>
      </c>
      <c r="T102" s="288">
        <f>G102-I102</f>
        <v>0</v>
      </c>
      <c r="U102" s="289">
        <v>0</v>
      </c>
      <c r="V102" s="290" t="e">
        <f t="shared" si="1"/>
        <v>#DIV/0!</v>
      </c>
      <c r="X102" s="329"/>
      <c r="Y102" s="285"/>
      <c r="Z102" s="285"/>
      <c r="AA102" s="285"/>
      <c r="AB102" s="285"/>
      <c r="AC102" s="285"/>
      <c r="AD102" s="285"/>
      <c r="AE102" s="285"/>
    </row>
    <row r="103" spans="1:31" ht="18.95" customHeight="1">
      <c r="A103" s="314" t="s">
        <v>122</v>
      </c>
      <c r="B103" s="291" t="s">
        <v>38</v>
      </c>
      <c r="C103" s="292" t="s">
        <v>123</v>
      </c>
      <c r="D103" s="293" t="s">
        <v>40</v>
      </c>
      <c r="E103" s="294">
        <v>2525000</v>
      </c>
      <c r="F103" s="295"/>
      <c r="G103" s="294">
        <v>3351500</v>
      </c>
      <c r="H103" s="295"/>
      <c r="I103" s="296">
        <v>2851450</v>
      </c>
      <c r="J103" s="273">
        <v>0</v>
      </c>
      <c r="K103" s="273">
        <v>0</v>
      </c>
      <c r="L103" s="273">
        <v>600000</v>
      </c>
      <c r="M103" s="273">
        <v>90000</v>
      </c>
      <c r="N103" s="273">
        <v>0</v>
      </c>
      <c r="O103" s="273">
        <v>690000</v>
      </c>
      <c r="P103" s="273">
        <v>0</v>
      </c>
      <c r="Q103" s="273">
        <v>0</v>
      </c>
      <c r="R103" s="274">
        <f>SUM(J103:Q103)</f>
        <v>1380000</v>
      </c>
      <c r="S103" s="275">
        <f>I103-R103</f>
        <v>1471450</v>
      </c>
      <c r="T103" s="276">
        <f>G103-I103</f>
        <v>500050</v>
      </c>
      <c r="U103" s="297">
        <v>27</v>
      </c>
      <c r="V103" s="278">
        <f t="shared" si="1"/>
        <v>51111.111111111109</v>
      </c>
      <c r="X103" s="328"/>
      <c r="Y103" s="273"/>
      <c r="Z103" s="273"/>
      <c r="AA103" s="273"/>
      <c r="AB103" s="273"/>
      <c r="AC103" s="273"/>
      <c r="AD103" s="273"/>
      <c r="AE103" s="273"/>
    </row>
    <row r="104" spans="1:31" ht="18.95" customHeight="1">
      <c r="A104" s="312"/>
      <c r="B104" s="279" t="s">
        <v>124</v>
      </c>
      <c r="C104" s="280" t="s">
        <v>123</v>
      </c>
      <c r="D104" s="281" t="s">
        <v>125</v>
      </c>
      <c r="E104" s="282">
        <v>500000</v>
      </c>
      <c r="F104" s="283"/>
      <c r="G104" s="282">
        <v>0</v>
      </c>
      <c r="H104" s="283"/>
      <c r="I104" s="284">
        <v>527000</v>
      </c>
      <c r="J104" s="285">
        <v>0</v>
      </c>
      <c r="K104" s="285">
        <v>0</v>
      </c>
      <c r="L104" s="285">
        <v>0</v>
      </c>
      <c r="M104" s="285">
        <v>0</v>
      </c>
      <c r="N104" s="285">
        <v>0</v>
      </c>
      <c r="O104" s="285">
        <v>527000</v>
      </c>
      <c r="P104" s="285">
        <v>0</v>
      </c>
      <c r="Q104" s="285">
        <v>0</v>
      </c>
      <c r="R104" s="286">
        <f>SUM(J104:Q104)</f>
        <v>527000</v>
      </c>
      <c r="S104" s="287">
        <f>I104-R104</f>
        <v>0</v>
      </c>
      <c r="T104" s="288">
        <f>G104-I104</f>
        <v>-527000</v>
      </c>
      <c r="U104" s="289">
        <v>0</v>
      </c>
      <c r="V104" s="290" t="e">
        <f t="shared" si="1"/>
        <v>#DIV/0!</v>
      </c>
      <c r="X104" s="329"/>
      <c r="Y104" s="285"/>
      <c r="Z104" s="285"/>
      <c r="AA104" s="285"/>
      <c r="AB104" s="285"/>
      <c r="AC104" s="285"/>
      <c r="AD104" s="285"/>
      <c r="AE104" s="285"/>
    </row>
    <row r="105" spans="1:31" ht="18.95" customHeight="1">
      <c r="A105" s="312"/>
      <c r="B105" s="279" t="s">
        <v>124</v>
      </c>
      <c r="C105" s="280" t="s">
        <v>123</v>
      </c>
      <c r="D105" s="281" t="s">
        <v>43</v>
      </c>
      <c r="E105" s="282">
        <v>0</v>
      </c>
      <c r="F105" s="283"/>
      <c r="G105" s="282">
        <v>0</v>
      </c>
      <c r="H105" s="283"/>
      <c r="I105" s="284">
        <v>0</v>
      </c>
      <c r="J105" s="285">
        <v>0</v>
      </c>
      <c r="K105" s="285">
        <v>0</v>
      </c>
      <c r="L105" s="285">
        <v>0</v>
      </c>
      <c r="M105" s="285">
        <v>0</v>
      </c>
      <c r="N105" s="285">
        <v>30000</v>
      </c>
      <c r="O105" s="285">
        <v>0</v>
      </c>
      <c r="P105" s="285">
        <v>0</v>
      </c>
      <c r="Q105" s="285">
        <v>0</v>
      </c>
      <c r="R105" s="286">
        <f>SUM(J105:Q105)</f>
        <v>30000</v>
      </c>
      <c r="S105" s="287">
        <f>I105-R105</f>
        <v>-30000</v>
      </c>
      <c r="T105" s="288">
        <f>G105-I105</f>
        <v>0</v>
      </c>
      <c r="U105" s="289">
        <v>0</v>
      </c>
      <c r="V105" s="290" t="e">
        <f t="shared" si="1"/>
        <v>#DIV/0!</v>
      </c>
      <c r="X105" s="329"/>
      <c r="Y105" s="285"/>
      <c r="Z105" s="285"/>
      <c r="AA105" s="285"/>
      <c r="AB105" s="285"/>
      <c r="AC105" s="285"/>
      <c r="AD105" s="285"/>
      <c r="AE105" s="285"/>
    </row>
    <row r="106" spans="1:31" ht="18.95" customHeight="1">
      <c r="A106" s="312"/>
      <c r="B106" s="279" t="s">
        <v>46</v>
      </c>
      <c r="C106" s="280" t="s">
        <v>126</v>
      </c>
      <c r="D106" s="281" t="s">
        <v>127</v>
      </c>
      <c r="E106" s="282">
        <v>3285050</v>
      </c>
      <c r="F106" s="283"/>
      <c r="G106" s="282">
        <v>2000000</v>
      </c>
      <c r="H106" s="283"/>
      <c r="I106" s="284">
        <v>2000000</v>
      </c>
      <c r="J106" s="285">
        <v>0</v>
      </c>
      <c r="K106" s="285">
        <v>0</v>
      </c>
      <c r="L106" s="285">
        <v>0</v>
      </c>
      <c r="M106" s="285">
        <v>0</v>
      </c>
      <c r="N106" s="285">
        <v>0</v>
      </c>
      <c r="O106" s="285">
        <v>0</v>
      </c>
      <c r="P106" s="285">
        <v>0</v>
      </c>
      <c r="Q106" s="285">
        <v>0</v>
      </c>
      <c r="R106" s="286">
        <f>SUM(J106:Q106)</f>
        <v>0</v>
      </c>
      <c r="S106" s="287">
        <f>I106-R106</f>
        <v>2000000</v>
      </c>
      <c r="T106" s="288">
        <f>G106-I106</f>
        <v>0</v>
      </c>
      <c r="U106" s="289">
        <v>0</v>
      </c>
      <c r="V106" s="290" t="e">
        <f t="shared" si="1"/>
        <v>#DIV/0!</v>
      </c>
      <c r="X106" s="329"/>
      <c r="Y106" s="285"/>
      <c r="Z106" s="285"/>
      <c r="AA106" s="285"/>
      <c r="AB106" s="285"/>
      <c r="AC106" s="285"/>
      <c r="AD106" s="285"/>
      <c r="AE106" s="285"/>
    </row>
    <row r="107" spans="1:31" ht="18.95" customHeight="1">
      <c r="A107" s="312"/>
      <c r="B107" s="279" t="s">
        <v>46</v>
      </c>
      <c r="C107" s="280" t="s">
        <v>123</v>
      </c>
      <c r="D107" s="281" t="s">
        <v>43</v>
      </c>
      <c r="E107" s="282">
        <v>0</v>
      </c>
      <c r="F107" s="283"/>
      <c r="G107" s="282">
        <v>0</v>
      </c>
      <c r="H107" s="283"/>
      <c r="I107" s="284">
        <v>0</v>
      </c>
      <c r="J107" s="285">
        <v>0</v>
      </c>
      <c r="K107" s="285">
        <v>0</v>
      </c>
      <c r="L107" s="285">
        <v>0</v>
      </c>
      <c r="M107" s="285">
        <v>108000</v>
      </c>
      <c r="N107" s="285">
        <v>0</v>
      </c>
      <c r="O107" s="285">
        <v>54000</v>
      </c>
      <c r="P107" s="285">
        <v>0</v>
      </c>
      <c r="Q107" s="285">
        <v>0</v>
      </c>
      <c r="R107" s="286">
        <f>SUM(J107:Q107)</f>
        <v>162000</v>
      </c>
      <c r="S107" s="287">
        <f>I107-R107</f>
        <v>-162000</v>
      </c>
      <c r="T107" s="288">
        <f>G107-I107</f>
        <v>0</v>
      </c>
      <c r="U107" s="289">
        <v>2</v>
      </c>
      <c r="V107" s="290">
        <f t="shared" si="1"/>
        <v>81000</v>
      </c>
      <c r="X107" s="329"/>
      <c r="Y107" s="285"/>
      <c r="Z107" s="285"/>
      <c r="AA107" s="285"/>
      <c r="AB107" s="285"/>
      <c r="AC107" s="285"/>
      <c r="AD107" s="285"/>
      <c r="AE107" s="285"/>
    </row>
    <row r="108" spans="1:31" ht="18.95" customHeight="1">
      <c r="A108" s="312"/>
      <c r="B108" s="279" t="s">
        <v>128</v>
      </c>
      <c r="C108" s="280" t="s">
        <v>123</v>
      </c>
      <c r="D108" s="281" t="s">
        <v>43</v>
      </c>
      <c r="E108" s="282">
        <v>0</v>
      </c>
      <c r="F108" s="283"/>
      <c r="G108" s="282">
        <v>0</v>
      </c>
      <c r="H108" s="283"/>
      <c r="I108" s="284">
        <v>0</v>
      </c>
      <c r="J108" s="285">
        <v>0</v>
      </c>
      <c r="K108" s="285">
        <v>0</v>
      </c>
      <c r="L108" s="285">
        <v>155000</v>
      </c>
      <c r="M108" s="285">
        <v>0</v>
      </c>
      <c r="N108" s="285">
        <v>0</v>
      </c>
      <c r="O108" s="285">
        <v>0</v>
      </c>
      <c r="P108" s="285">
        <v>0</v>
      </c>
      <c r="Q108" s="285">
        <v>0</v>
      </c>
      <c r="R108" s="286">
        <f>SUM(J108:Q108)</f>
        <v>155000</v>
      </c>
      <c r="S108" s="287">
        <f>I108-R108</f>
        <v>-155000</v>
      </c>
      <c r="T108" s="288">
        <f>G108-I108</f>
        <v>0</v>
      </c>
      <c r="U108" s="289">
        <v>0</v>
      </c>
      <c r="V108" s="290" t="e">
        <f t="shared" si="1"/>
        <v>#DIV/0!</v>
      </c>
      <c r="X108" s="329"/>
      <c r="Y108" s="285"/>
      <c r="Z108" s="285"/>
      <c r="AA108" s="285"/>
      <c r="AB108" s="285"/>
      <c r="AC108" s="285"/>
      <c r="AD108" s="285"/>
      <c r="AE108" s="285"/>
    </row>
    <row r="109" spans="1:31" ht="18.95" customHeight="1">
      <c r="A109" s="312"/>
      <c r="B109" s="279" t="s">
        <v>129</v>
      </c>
      <c r="C109" s="280" t="s">
        <v>123</v>
      </c>
      <c r="D109" s="281" t="s">
        <v>43</v>
      </c>
      <c r="E109" s="282">
        <v>0</v>
      </c>
      <c r="F109" s="283"/>
      <c r="G109" s="282">
        <v>0</v>
      </c>
      <c r="H109" s="283"/>
      <c r="I109" s="284">
        <v>90000</v>
      </c>
      <c r="J109" s="285">
        <v>0</v>
      </c>
      <c r="K109" s="285">
        <v>0</v>
      </c>
      <c r="L109" s="285">
        <v>0</v>
      </c>
      <c r="M109" s="285">
        <v>90000</v>
      </c>
      <c r="N109" s="285">
        <v>0</v>
      </c>
      <c r="O109" s="285">
        <v>0</v>
      </c>
      <c r="P109" s="285">
        <v>0</v>
      </c>
      <c r="Q109" s="285">
        <v>0</v>
      </c>
      <c r="R109" s="286">
        <f>SUM(J109:Q109)</f>
        <v>90000</v>
      </c>
      <c r="S109" s="287">
        <f>I109-R109</f>
        <v>0</v>
      </c>
      <c r="T109" s="288">
        <f>G109-I109</f>
        <v>-90000</v>
      </c>
      <c r="U109" s="289">
        <v>4</v>
      </c>
      <c r="V109" s="290">
        <f t="shared" si="1"/>
        <v>22500</v>
      </c>
      <c r="X109" s="329"/>
      <c r="Y109" s="285"/>
      <c r="Z109" s="285"/>
      <c r="AA109" s="285"/>
      <c r="AB109" s="285"/>
      <c r="AC109" s="285"/>
      <c r="AD109" s="285"/>
      <c r="AE109" s="285"/>
    </row>
    <row r="110" spans="1:31" ht="18.95" customHeight="1">
      <c r="A110" s="312"/>
      <c r="B110" s="279" t="s">
        <v>99</v>
      </c>
      <c r="C110" s="280" t="s">
        <v>123</v>
      </c>
      <c r="D110" s="281" t="s">
        <v>43</v>
      </c>
      <c r="E110" s="282">
        <v>0</v>
      </c>
      <c r="F110" s="283"/>
      <c r="G110" s="282">
        <v>0</v>
      </c>
      <c r="H110" s="283"/>
      <c r="I110" s="284">
        <v>75000</v>
      </c>
      <c r="J110" s="285">
        <v>0</v>
      </c>
      <c r="K110" s="285">
        <v>0</v>
      </c>
      <c r="L110" s="285">
        <v>0</v>
      </c>
      <c r="M110" s="285">
        <v>25000</v>
      </c>
      <c r="N110" s="285">
        <v>0</v>
      </c>
      <c r="O110" s="285">
        <v>0</v>
      </c>
      <c r="P110" s="285">
        <v>0</v>
      </c>
      <c r="Q110" s="285">
        <v>0</v>
      </c>
      <c r="R110" s="286">
        <f>SUM(J110:Q110)</f>
        <v>25000</v>
      </c>
      <c r="S110" s="287">
        <f>I110-R110</f>
        <v>50000</v>
      </c>
      <c r="T110" s="288">
        <f>G110-I110</f>
        <v>-75000</v>
      </c>
      <c r="U110" s="289">
        <v>1</v>
      </c>
      <c r="V110" s="290">
        <f t="shared" si="1"/>
        <v>25000</v>
      </c>
      <c r="X110" s="329"/>
      <c r="Y110" s="285"/>
      <c r="Z110" s="285"/>
      <c r="AA110" s="285"/>
      <c r="AB110" s="285"/>
      <c r="AC110" s="285"/>
      <c r="AD110" s="285"/>
      <c r="AE110" s="285"/>
    </row>
    <row r="111" spans="1:31" ht="18.95" customHeight="1">
      <c r="A111" s="312"/>
      <c r="B111" s="279"/>
      <c r="C111" s="280" t="s">
        <v>126</v>
      </c>
      <c r="D111" s="281" t="s">
        <v>43</v>
      </c>
      <c r="E111" s="282">
        <v>100000</v>
      </c>
      <c r="F111" s="283"/>
      <c r="G111" s="282">
        <v>0</v>
      </c>
      <c r="H111" s="283"/>
      <c r="I111" s="284">
        <v>0</v>
      </c>
      <c r="J111" s="285">
        <v>0</v>
      </c>
      <c r="K111" s="285">
        <v>0</v>
      </c>
      <c r="L111" s="285">
        <v>0</v>
      </c>
      <c r="M111" s="285">
        <v>0</v>
      </c>
      <c r="N111" s="285">
        <v>0</v>
      </c>
      <c r="O111" s="285">
        <v>0</v>
      </c>
      <c r="P111" s="285">
        <v>0</v>
      </c>
      <c r="Q111" s="285">
        <v>0</v>
      </c>
      <c r="R111" s="286">
        <f>SUM(J111:Q111)</f>
        <v>0</v>
      </c>
      <c r="S111" s="287">
        <f>I111-R111</f>
        <v>0</v>
      </c>
      <c r="T111" s="288">
        <f>G111-I111</f>
        <v>0</v>
      </c>
      <c r="U111" s="289">
        <v>0</v>
      </c>
      <c r="V111" s="290" t="e">
        <f t="shared" si="1"/>
        <v>#DIV/0!</v>
      </c>
      <c r="X111" s="329"/>
      <c r="Y111" s="285"/>
      <c r="Z111" s="285"/>
      <c r="AA111" s="285"/>
      <c r="AB111" s="285"/>
      <c r="AC111" s="285"/>
      <c r="AD111" s="285"/>
      <c r="AE111" s="285"/>
    </row>
    <row r="112" spans="1:31" ht="18.95" customHeight="1">
      <c r="A112" s="312"/>
      <c r="B112" s="279"/>
      <c r="C112" s="280" t="s">
        <v>130</v>
      </c>
      <c r="D112" s="281" t="s">
        <v>43</v>
      </c>
      <c r="E112" s="282">
        <v>0</v>
      </c>
      <c r="F112" s="283"/>
      <c r="G112" s="282">
        <v>0</v>
      </c>
      <c r="H112" s="283"/>
      <c r="I112" s="284">
        <v>0</v>
      </c>
      <c r="J112" s="285">
        <v>0</v>
      </c>
      <c r="K112" s="285">
        <v>0</v>
      </c>
      <c r="L112" s="285">
        <v>0</v>
      </c>
      <c r="M112" s="285">
        <v>0</v>
      </c>
      <c r="N112" s="285">
        <v>0</v>
      </c>
      <c r="O112" s="285">
        <v>0</v>
      </c>
      <c r="P112" s="285">
        <v>0</v>
      </c>
      <c r="Q112" s="285">
        <v>0</v>
      </c>
      <c r="R112" s="286">
        <f>SUM(J112:Q112)</f>
        <v>0</v>
      </c>
      <c r="S112" s="287">
        <f>I112-R112</f>
        <v>0</v>
      </c>
      <c r="T112" s="288">
        <f>G112-I112</f>
        <v>0</v>
      </c>
      <c r="U112" s="289">
        <v>0</v>
      </c>
      <c r="V112" s="290" t="e">
        <f t="shared" si="1"/>
        <v>#DIV/0!</v>
      </c>
      <c r="X112" s="329"/>
      <c r="Y112" s="285"/>
      <c r="Z112" s="285"/>
      <c r="AA112" s="285"/>
      <c r="AB112" s="285"/>
      <c r="AC112" s="285"/>
      <c r="AD112" s="285"/>
      <c r="AE112" s="285"/>
    </row>
    <row r="113" spans="1:31" ht="18.95" customHeight="1">
      <c r="A113" s="312"/>
      <c r="B113" s="279"/>
      <c r="C113" s="280" t="s">
        <v>123</v>
      </c>
      <c r="D113" s="281" t="s">
        <v>43</v>
      </c>
      <c r="E113" s="282">
        <v>300000</v>
      </c>
      <c r="F113" s="283"/>
      <c r="G113" s="282">
        <v>200000</v>
      </c>
      <c r="H113" s="283"/>
      <c r="I113" s="284">
        <v>425000</v>
      </c>
      <c r="J113" s="285">
        <v>0</v>
      </c>
      <c r="K113" s="285">
        <v>0</v>
      </c>
      <c r="L113" s="285">
        <v>0</v>
      </c>
      <c r="M113" s="285">
        <v>0</v>
      </c>
      <c r="N113" s="285">
        <v>0</v>
      </c>
      <c r="O113" s="285">
        <v>0</v>
      </c>
      <c r="P113" s="285">
        <v>0</v>
      </c>
      <c r="Q113" s="285">
        <v>0</v>
      </c>
      <c r="R113" s="286">
        <f>SUM(J113:Q113)</f>
        <v>0</v>
      </c>
      <c r="S113" s="287">
        <f>I113-R113</f>
        <v>425000</v>
      </c>
      <c r="T113" s="288">
        <f>G113-I113</f>
        <v>-225000</v>
      </c>
      <c r="U113" s="289">
        <v>0</v>
      </c>
      <c r="V113" s="290" t="e">
        <f t="shared" si="1"/>
        <v>#DIV/0!</v>
      </c>
      <c r="X113" s="329"/>
      <c r="Y113" s="285"/>
      <c r="Z113" s="285"/>
      <c r="AA113" s="285"/>
      <c r="AB113" s="285"/>
      <c r="AC113" s="285"/>
      <c r="AD113" s="285"/>
      <c r="AE113" s="285"/>
    </row>
    <row r="114" spans="1:31" ht="18.95" customHeight="1">
      <c r="A114" s="313"/>
      <c r="B114" s="279"/>
      <c r="C114" s="280" t="s">
        <v>131</v>
      </c>
      <c r="D114" s="281" t="s">
        <v>43</v>
      </c>
      <c r="E114" s="282">
        <v>0</v>
      </c>
      <c r="F114" s="283"/>
      <c r="G114" s="282">
        <v>0</v>
      </c>
      <c r="H114" s="283"/>
      <c r="I114" s="284">
        <v>0</v>
      </c>
      <c r="J114" s="285">
        <v>0</v>
      </c>
      <c r="K114" s="285">
        <v>0</v>
      </c>
      <c r="L114" s="285">
        <v>0</v>
      </c>
      <c r="M114" s="285">
        <v>0</v>
      </c>
      <c r="N114" s="285">
        <v>0</v>
      </c>
      <c r="O114" s="285">
        <v>0</v>
      </c>
      <c r="P114" s="285">
        <v>0</v>
      </c>
      <c r="Q114" s="285">
        <v>0</v>
      </c>
      <c r="R114" s="286">
        <f>SUM(J114:Q114)</f>
        <v>0</v>
      </c>
      <c r="S114" s="287">
        <f>I114-R114</f>
        <v>0</v>
      </c>
      <c r="T114" s="288">
        <f>G114-I114</f>
        <v>0</v>
      </c>
      <c r="U114" s="289">
        <v>0</v>
      </c>
      <c r="V114" s="290" t="e">
        <f t="shared" si="1"/>
        <v>#DIV/0!</v>
      </c>
      <c r="X114" s="329"/>
      <c r="Y114" s="285"/>
      <c r="Z114" s="285"/>
      <c r="AA114" s="285"/>
      <c r="AB114" s="285"/>
      <c r="AC114" s="285"/>
      <c r="AD114" s="285"/>
      <c r="AE114" s="285"/>
    </row>
    <row r="115" spans="1:31" ht="18.95" customHeight="1">
      <c r="A115" s="314" t="s">
        <v>132</v>
      </c>
      <c r="B115" s="291" t="s">
        <v>38</v>
      </c>
      <c r="C115" s="292" t="s">
        <v>133</v>
      </c>
      <c r="D115" s="293" t="s">
        <v>40</v>
      </c>
      <c r="E115" s="294">
        <v>607100</v>
      </c>
      <c r="F115" s="295"/>
      <c r="G115" s="294">
        <v>477250</v>
      </c>
      <c r="H115" s="295"/>
      <c r="I115" s="296">
        <v>477250</v>
      </c>
      <c r="J115" s="273">
        <v>0</v>
      </c>
      <c r="K115" s="273">
        <v>0</v>
      </c>
      <c r="L115" s="273">
        <v>0</v>
      </c>
      <c r="M115" s="273">
        <v>0</v>
      </c>
      <c r="N115" s="273">
        <v>0</v>
      </c>
      <c r="O115" s="273">
        <v>0</v>
      </c>
      <c r="P115" s="273">
        <v>0</v>
      </c>
      <c r="Q115" s="273">
        <v>0</v>
      </c>
      <c r="R115" s="274">
        <f>SUM(J115:Q115)</f>
        <v>0</v>
      </c>
      <c r="S115" s="275">
        <f>I115-R115</f>
        <v>477250</v>
      </c>
      <c r="T115" s="276">
        <f>G115-I115</f>
        <v>0</v>
      </c>
      <c r="U115" s="297">
        <v>0</v>
      </c>
      <c r="V115" s="278" t="e">
        <f t="shared" si="1"/>
        <v>#DIV/0!</v>
      </c>
      <c r="X115" s="328"/>
      <c r="Y115" s="273"/>
      <c r="Z115" s="273"/>
      <c r="AA115" s="273"/>
      <c r="AB115" s="273"/>
      <c r="AC115" s="273"/>
      <c r="AD115" s="273"/>
      <c r="AE115" s="273"/>
    </row>
    <row r="116" spans="1:31" ht="18.95" customHeight="1">
      <c r="A116" s="312"/>
      <c r="B116" s="279"/>
      <c r="C116" s="280" t="s">
        <v>133</v>
      </c>
      <c r="D116" s="281" t="s">
        <v>43</v>
      </c>
      <c r="E116" s="282">
        <v>150000</v>
      </c>
      <c r="F116" s="283"/>
      <c r="G116" s="282">
        <v>0</v>
      </c>
      <c r="H116" s="283"/>
      <c r="I116" s="284">
        <v>0</v>
      </c>
      <c r="J116" s="285">
        <v>0</v>
      </c>
      <c r="K116" s="285">
        <v>0</v>
      </c>
      <c r="L116" s="285">
        <v>0</v>
      </c>
      <c r="M116" s="285">
        <v>0</v>
      </c>
      <c r="N116" s="285">
        <v>0</v>
      </c>
      <c r="O116" s="285">
        <v>0</v>
      </c>
      <c r="P116" s="285">
        <v>0</v>
      </c>
      <c r="Q116" s="285">
        <v>0</v>
      </c>
      <c r="R116" s="286">
        <f>SUM(J116:Q116)</f>
        <v>0</v>
      </c>
      <c r="S116" s="287">
        <f>I116-R116</f>
        <v>0</v>
      </c>
      <c r="T116" s="288">
        <f>G116-I116</f>
        <v>0</v>
      </c>
      <c r="U116" s="289">
        <v>0</v>
      </c>
      <c r="V116" s="290" t="e">
        <f t="shared" si="1"/>
        <v>#DIV/0!</v>
      </c>
      <c r="X116" s="329"/>
      <c r="Y116" s="285"/>
      <c r="Z116" s="285"/>
      <c r="AA116" s="285"/>
      <c r="AB116" s="285"/>
      <c r="AC116" s="285"/>
      <c r="AD116" s="285"/>
      <c r="AE116" s="285"/>
    </row>
    <row r="117" spans="1:31" ht="18.95" customHeight="1" thickBot="1">
      <c r="A117" s="315"/>
      <c r="B117" s="299"/>
      <c r="C117" s="300" t="s">
        <v>134</v>
      </c>
      <c r="D117" s="301" t="s">
        <v>43</v>
      </c>
      <c r="E117" s="302">
        <v>0</v>
      </c>
      <c r="F117" s="303"/>
      <c r="G117" s="302">
        <v>0</v>
      </c>
      <c r="H117" s="303"/>
      <c r="I117" s="304">
        <v>0</v>
      </c>
      <c r="J117" s="305">
        <v>0</v>
      </c>
      <c r="K117" s="305">
        <v>0</v>
      </c>
      <c r="L117" s="305">
        <v>0</v>
      </c>
      <c r="M117" s="305">
        <v>0</v>
      </c>
      <c r="N117" s="305">
        <v>0</v>
      </c>
      <c r="O117" s="305">
        <v>0</v>
      </c>
      <c r="P117" s="305">
        <v>0</v>
      </c>
      <c r="Q117" s="305">
        <v>0</v>
      </c>
      <c r="R117" s="306">
        <f>SUM(J117:Q117)</f>
        <v>0</v>
      </c>
      <c r="S117" s="307">
        <f>I117-R117</f>
        <v>0</v>
      </c>
      <c r="T117" s="308">
        <f>G117-I117</f>
        <v>0</v>
      </c>
      <c r="U117" s="309">
        <v>0</v>
      </c>
      <c r="V117" s="310" t="e">
        <f t="shared" si="1"/>
        <v>#DIV/0!</v>
      </c>
      <c r="X117" s="330"/>
      <c r="Y117" s="305"/>
      <c r="Z117" s="305"/>
      <c r="AA117" s="305"/>
      <c r="AB117" s="305"/>
      <c r="AC117" s="305"/>
      <c r="AD117" s="305"/>
      <c r="AE117" s="305"/>
    </row>
    <row r="118" spans="1:31" ht="18.95" customHeight="1" thickTop="1" thickBot="1">
      <c r="A118" s="27"/>
      <c r="B118" s="28" t="s">
        <v>12</v>
      </c>
      <c r="C118" s="29"/>
      <c r="D118" s="29"/>
      <c r="E118" s="187">
        <f>SUM(E7:F117)</f>
        <v>68199585</v>
      </c>
      <c r="F118" s="188"/>
      <c r="G118" s="187">
        <f>SUM(G7:H117)</f>
        <v>66523590</v>
      </c>
      <c r="H118" s="188"/>
      <c r="I118" s="87">
        <f>SUM(I7:I117)</f>
        <v>73978400</v>
      </c>
      <c r="J118" s="30"/>
      <c r="K118" s="30"/>
      <c r="L118" s="30"/>
      <c r="M118" s="30"/>
      <c r="N118" s="30"/>
      <c r="O118" s="30"/>
      <c r="P118" s="30"/>
      <c r="Q118" s="30"/>
      <c r="R118" s="32">
        <f>SUM(R7:R117)</f>
        <v>52413802</v>
      </c>
      <c r="S118" s="32">
        <f>SUM(S7:S117)</f>
        <v>21564598</v>
      </c>
      <c r="T118" s="33">
        <f>SUM(T7:T117)</f>
        <v>-7454810</v>
      </c>
      <c r="U118" s="298">
        <f>SUM(U7:U117)</f>
        <v>478</v>
      </c>
      <c r="V118" s="34"/>
    </row>
    <row r="119" spans="1:31" ht="15" customHeight="1" thickTop="1">
      <c r="A119" s="189"/>
      <c r="B119" s="190"/>
      <c r="C119" s="190"/>
      <c r="D119" s="190"/>
      <c r="E119" s="191"/>
      <c r="F119" s="191"/>
      <c r="G119" s="191"/>
      <c r="H119" s="191"/>
      <c r="I119" s="191"/>
      <c r="J119" s="190"/>
      <c r="K119" s="190"/>
      <c r="L119" s="190"/>
      <c r="M119" s="190"/>
      <c r="N119" s="190"/>
      <c r="O119" s="190"/>
      <c r="P119" s="190"/>
      <c r="Q119" s="190"/>
      <c r="R119" s="190"/>
      <c r="S119" s="190"/>
      <c r="T119" s="190"/>
      <c r="U119" s="191"/>
      <c r="V119" s="192"/>
    </row>
    <row r="120" spans="1:31" ht="18.95" customHeight="1">
      <c r="A120" s="97"/>
      <c r="B120" s="98" t="s">
        <v>13</v>
      </c>
      <c r="C120" s="98"/>
      <c r="D120" s="99"/>
      <c r="E120" s="193" t="s">
        <v>32</v>
      </c>
      <c r="F120" s="194"/>
      <c r="G120" s="193" t="s">
        <v>14</v>
      </c>
      <c r="H120" s="194"/>
      <c r="I120" s="100" t="s">
        <v>15</v>
      </c>
      <c r="J120" s="101"/>
      <c r="K120" s="101"/>
      <c r="L120" s="101"/>
      <c r="M120" s="101"/>
      <c r="N120" s="101"/>
      <c r="O120" s="101"/>
      <c r="P120" s="101"/>
      <c r="Q120" s="101"/>
      <c r="R120" s="101"/>
      <c r="S120" s="102"/>
      <c r="T120" s="103"/>
      <c r="U120" s="103"/>
      <c r="V120" s="104"/>
    </row>
    <row r="121" spans="1:31" ht="18.95" customHeight="1">
      <c r="A121" s="105"/>
      <c r="B121" s="107"/>
      <c r="C121" s="80"/>
      <c r="D121" s="158"/>
      <c r="E121" s="183"/>
      <c r="F121" s="184"/>
      <c r="G121" s="183"/>
      <c r="H121" s="184"/>
      <c r="I121" s="108"/>
      <c r="J121" s="20"/>
      <c r="K121" s="20"/>
      <c r="L121" s="20"/>
      <c r="M121" s="20"/>
      <c r="N121" s="20"/>
      <c r="O121" s="20"/>
      <c r="P121" s="20"/>
      <c r="Q121" s="20"/>
      <c r="R121" s="81">
        <f>SUM(J121:Q121)</f>
        <v>0</v>
      </c>
      <c r="S121" s="23">
        <f>I121-R121</f>
        <v>0</v>
      </c>
      <c r="T121" s="24">
        <f>G121-I121</f>
        <v>0</v>
      </c>
      <c r="U121" s="68"/>
      <c r="V121" s="88" t="e">
        <f>R121/U121</f>
        <v>#DIV/0!</v>
      </c>
    </row>
    <row r="122" spans="1:31" ht="18.95" customHeight="1">
      <c r="A122" s="106"/>
      <c r="B122" s="109"/>
      <c r="C122" s="71"/>
      <c r="D122" s="157"/>
      <c r="E122" s="185"/>
      <c r="F122" s="186"/>
      <c r="G122" s="185"/>
      <c r="H122" s="186"/>
      <c r="I122" s="110"/>
      <c r="J122" s="111"/>
      <c r="K122" s="111"/>
      <c r="L122" s="111"/>
      <c r="M122" s="111"/>
      <c r="N122" s="111"/>
      <c r="O122" s="111"/>
      <c r="P122" s="111"/>
      <c r="Q122" s="111"/>
      <c r="R122" s="81">
        <f>SUM(J122:Q122)</f>
        <v>0</v>
      </c>
      <c r="S122" s="23">
        <f>I122-R122</f>
        <v>0</v>
      </c>
      <c r="T122" s="24">
        <f>G122-I122</f>
        <v>0</v>
      </c>
      <c r="U122" s="69"/>
      <c r="V122" s="160" t="e">
        <f>R122/U122</f>
        <v>#DIV/0!</v>
      </c>
    </row>
    <row r="123" spans="1:31" ht="18.95" customHeight="1" thickBot="1">
      <c r="A123" s="89"/>
      <c r="B123" s="35" t="s">
        <v>16</v>
      </c>
      <c r="C123" s="35"/>
      <c r="D123" s="36"/>
      <c r="E123" s="168">
        <f>SUM(E121:E122)</f>
        <v>0</v>
      </c>
      <c r="F123" s="169"/>
      <c r="G123" s="168">
        <f>SUM(G121:G122)</f>
        <v>0</v>
      </c>
      <c r="H123" s="169"/>
      <c r="I123" s="37">
        <f>SUM(I121:I122)</f>
        <v>0</v>
      </c>
      <c r="J123" s="38"/>
      <c r="K123" s="38"/>
      <c r="L123" s="38"/>
      <c r="M123" s="38"/>
      <c r="N123" s="38"/>
      <c r="O123" s="38"/>
      <c r="P123" s="38"/>
      <c r="Q123" s="38"/>
      <c r="R123" s="39">
        <f>SUM(R121:R122)</f>
        <v>0</v>
      </c>
      <c r="S123" s="40">
        <f>SUM(S121:S122)</f>
        <v>0</v>
      </c>
      <c r="T123" s="41">
        <f>SUM(T121:T122)</f>
        <v>0</v>
      </c>
      <c r="U123" s="42">
        <f>SUM(U121:U122)</f>
        <v>0</v>
      </c>
      <c r="V123" s="159"/>
    </row>
    <row r="124" spans="1:31" ht="2.25" customHeight="1" thickTop="1" thickBot="1">
      <c r="A124" s="90"/>
      <c r="B124" s="43"/>
      <c r="C124" s="43"/>
      <c r="D124" s="43"/>
      <c r="E124" s="43"/>
      <c r="F124" s="44"/>
      <c r="G124" s="43"/>
      <c r="H124" s="44"/>
      <c r="I124" s="45"/>
      <c r="J124" s="44"/>
      <c r="K124" s="44"/>
      <c r="L124" s="44"/>
      <c r="M124" s="44"/>
      <c r="N124" s="44"/>
      <c r="O124" s="44"/>
      <c r="P124" s="44"/>
      <c r="Q124" s="44"/>
      <c r="R124" s="44"/>
      <c r="S124" s="46"/>
      <c r="T124" s="47"/>
      <c r="U124" s="48"/>
      <c r="V124" s="91"/>
    </row>
    <row r="125" spans="1:31" ht="26.25" customHeight="1" thickTop="1" thickBot="1">
      <c r="A125" s="92"/>
      <c r="B125" s="93" t="s">
        <v>17</v>
      </c>
      <c r="C125" s="93"/>
      <c r="D125" s="93"/>
      <c r="E125" s="170"/>
      <c r="F125" s="171"/>
      <c r="G125" s="170"/>
      <c r="H125" s="171"/>
      <c r="I125" s="49"/>
      <c r="J125" s="49"/>
      <c r="K125" s="49"/>
      <c r="L125" s="49"/>
      <c r="M125" s="49"/>
      <c r="N125" s="49"/>
      <c r="O125" s="49"/>
      <c r="P125" s="49"/>
      <c r="Q125" s="49"/>
      <c r="R125" s="50">
        <f>SUM(R123,R118)</f>
        <v>52413802</v>
      </c>
      <c r="S125" s="51">
        <f>SUM(S123,S118)</f>
        <v>21564598</v>
      </c>
      <c r="T125" s="94">
        <f>T118+T123</f>
        <v>-7454810</v>
      </c>
      <c r="U125" s="95">
        <f>SUM(U123,U118)</f>
        <v>478</v>
      </c>
      <c r="V125" s="96"/>
    </row>
    <row r="126" spans="1:31" ht="2.25" customHeight="1" thickTop="1">
      <c r="A126" s="137"/>
      <c r="B126" s="138"/>
      <c r="C126" s="138"/>
      <c r="D126" s="138"/>
      <c r="E126" s="138"/>
      <c r="F126" s="139"/>
      <c r="G126" s="138"/>
      <c r="H126" s="139"/>
      <c r="I126" s="140"/>
      <c r="J126" s="139"/>
      <c r="K126" s="139"/>
      <c r="L126" s="139"/>
      <c r="M126" s="139"/>
      <c r="N126" s="139"/>
      <c r="O126" s="139"/>
      <c r="P126" s="139"/>
      <c r="Q126" s="139"/>
      <c r="R126" s="139"/>
      <c r="S126" s="141"/>
      <c r="T126" s="142"/>
      <c r="U126" s="143"/>
      <c r="V126" s="144"/>
    </row>
    <row r="127" spans="1:31" ht="18.2" customHeight="1">
      <c r="A127" s="145"/>
      <c r="B127" s="146"/>
      <c r="C127" s="146"/>
      <c r="D127" s="146"/>
      <c r="E127" s="146"/>
      <c r="F127" s="128"/>
      <c r="G127" s="146"/>
      <c r="H127" s="128"/>
      <c r="I127" s="147"/>
      <c r="J127" s="128"/>
      <c r="K127" s="128"/>
      <c r="L127" s="128"/>
      <c r="M127" s="128"/>
      <c r="N127" s="128"/>
      <c r="O127" s="128"/>
      <c r="P127" s="128"/>
      <c r="Q127" s="128"/>
      <c r="R127" s="128"/>
      <c r="S127" s="148"/>
      <c r="T127" s="149"/>
      <c r="U127" s="150"/>
      <c r="V127" s="149"/>
    </row>
    <row r="128" spans="1:31" ht="18.2" customHeight="1">
      <c r="A128" s="258" t="s">
        <v>135</v>
      </c>
      <c r="B128" s="114" t="s">
        <v>38</v>
      </c>
      <c r="C128" s="115"/>
      <c r="D128" s="116"/>
      <c r="E128" s="172">
        <v>0</v>
      </c>
      <c r="F128" s="173"/>
      <c r="G128" s="174">
        <v>4000000</v>
      </c>
      <c r="H128" s="175"/>
      <c r="I128" s="117">
        <v>0</v>
      </c>
      <c r="J128" s="261">
        <v>0</v>
      </c>
      <c r="K128" s="261">
        <v>0</v>
      </c>
      <c r="L128" s="261">
        <v>0</v>
      </c>
      <c r="M128" s="261">
        <v>0</v>
      </c>
      <c r="N128" s="261">
        <v>0</v>
      </c>
      <c r="O128" s="261">
        <v>0</v>
      </c>
      <c r="P128" s="261">
        <v>0</v>
      </c>
      <c r="Q128" s="261">
        <v>0</v>
      </c>
      <c r="R128" s="119">
        <f>SUM(J128:Q128)</f>
        <v>0</v>
      </c>
      <c r="S128" s="120">
        <f>I128-R128</f>
        <v>0</v>
      </c>
      <c r="T128" s="121">
        <f>G128-I128</f>
        <v>4000000</v>
      </c>
      <c r="U128" s="122">
        <v>0</v>
      </c>
      <c r="V128" s="123" t="e">
        <f>R128/U128</f>
        <v>#DIV/0!</v>
      </c>
      <c r="X128" s="261"/>
      <c r="Y128" s="261"/>
      <c r="Z128" s="261"/>
      <c r="AA128" s="261"/>
      <c r="AB128" s="261"/>
      <c r="AC128" s="261"/>
      <c r="AD128" s="261"/>
      <c r="AE128" s="261"/>
    </row>
    <row r="129" spans="1:31" ht="18.2" customHeight="1">
      <c r="A129" s="259"/>
      <c r="B129" s="114" t="s">
        <v>38</v>
      </c>
      <c r="C129" s="115"/>
      <c r="D129" s="116"/>
      <c r="E129" s="172">
        <v>0</v>
      </c>
      <c r="F129" s="173"/>
      <c r="G129" s="174">
        <v>0</v>
      </c>
      <c r="H129" s="175"/>
      <c r="I129" s="117">
        <v>4000000</v>
      </c>
      <c r="J129" s="261">
        <v>0</v>
      </c>
      <c r="K129" s="261">
        <v>0</v>
      </c>
      <c r="L129" s="261">
        <v>600000</v>
      </c>
      <c r="M129" s="261">
        <v>660000</v>
      </c>
      <c r="N129" s="261">
        <v>540000</v>
      </c>
      <c r="O129" s="261">
        <v>540000</v>
      </c>
      <c r="P129" s="261">
        <v>0</v>
      </c>
      <c r="Q129" s="261">
        <v>0</v>
      </c>
      <c r="R129" s="119">
        <f>SUM(J129:Q129)</f>
        <v>2340000</v>
      </c>
      <c r="S129" s="120">
        <f>I129-R129</f>
        <v>1660000</v>
      </c>
      <c r="T129" s="121">
        <f>G129-I129</f>
        <v>-4000000</v>
      </c>
      <c r="U129" s="122">
        <v>43</v>
      </c>
      <c r="V129" s="123">
        <f t="shared" ref="V129:V138" si="2">R129/U129</f>
        <v>54418.604651162794</v>
      </c>
      <c r="X129" s="261"/>
      <c r="Y129" s="261"/>
      <c r="Z129" s="261"/>
      <c r="AA129" s="261"/>
      <c r="AB129" s="261"/>
      <c r="AC129" s="261"/>
      <c r="AD129" s="261"/>
      <c r="AE129" s="261"/>
    </row>
    <row r="130" spans="1:31" ht="18.2" customHeight="1">
      <c r="A130" s="259"/>
      <c r="B130" s="114" t="s">
        <v>144</v>
      </c>
      <c r="C130" s="115"/>
      <c r="D130" s="116"/>
      <c r="E130" s="172">
        <v>0</v>
      </c>
      <c r="F130" s="173"/>
      <c r="G130" s="174">
        <v>0</v>
      </c>
      <c r="H130" s="175"/>
      <c r="I130" s="117">
        <v>0</v>
      </c>
      <c r="J130" s="261">
        <v>0</v>
      </c>
      <c r="K130" s="261">
        <v>1304</v>
      </c>
      <c r="L130" s="261">
        <v>0</v>
      </c>
      <c r="M130" s="261">
        <v>655</v>
      </c>
      <c r="N130" s="261">
        <v>0</v>
      </c>
      <c r="O130" s="261">
        <v>0</v>
      </c>
      <c r="P130" s="261">
        <v>0</v>
      </c>
      <c r="Q130" s="261">
        <v>0</v>
      </c>
      <c r="R130" s="119">
        <f>SUM(J130:Q130)</f>
        <v>1959</v>
      </c>
      <c r="S130" s="120">
        <f>I130-R130</f>
        <v>-1959</v>
      </c>
      <c r="T130" s="121">
        <f>G130-I130</f>
        <v>0</v>
      </c>
      <c r="U130" s="122">
        <v>0</v>
      </c>
      <c r="V130" s="123" t="e">
        <f t="shared" si="2"/>
        <v>#DIV/0!</v>
      </c>
      <c r="X130" s="261"/>
      <c r="Y130" s="261"/>
      <c r="Z130" s="261"/>
      <c r="AA130" s="261"/>
      <c r="AB130" s="261"/>
      <c r="AC130" s="261"/>
      <c r="AD130" s="261"/>
      <c r="AE130" s="261"/>
    </row>
    <row r="131" spans="1:31" ht="18.2" customHeight="1">
      <c r="A131" s="259"/>
      <c r="B131" s="114" t="s">
        <v>145</v>
      </c>
      <c r="C131" s="115"/>
      <c r="D131" s="116"/>
      <c r="E131" s="172">
        <v>0</v>
      </c>
      <c r="F131" s="173"/>
      <c r="G131" s="174">
        <v>0</v>
      </c>
      <c r="H131" s="175"/>
      <c r="I131" s="117">
        <v>0</v>
      </c>
      <c r="J131" s="261">
        <v>0</v>
      </c>
      <c r="K131" s="261">
        <v>0</v>
      </c>
      <c r="L131" s="261">
        <v>1926</v>
      </c>
      <c r="M131" s="261">
        <v>0</v>
      </c>
      <c r="N131" s="261">
        <v>0</v>
      </c>
      <c r="O131" s="261">
        <v>0</v>
      </c>
      <c r="P131" s="261">
        <v>0</v>
      </c>
      <c r="Q131" s="261">
        <v>0</v>
      </c>
      <c r="R131" s="119">
        <f>SUM(J131:Q131)</f>
        <v>1926</v>
      </c>
      <c r="S131" s="120">
        <f>I131-R131</f>
        <v>-1926</v>
      </c>
      <c r="T131" s="121">
        <f>G131-I131</f>
        <v>0</v>
      </c>
      <c r="U131" s="122">
        <v>0</v>
      </c>
      <c r="V131" s="123" t="e">
        <f t="shared" si="2"/>
        <v>#DIV/0!</v>
      </c>
      <c r="X131" s="261"/>
      <c r="Y131" s="261"/>
      <c r="Z131" s="261"/>
      <c r="AA131" s="261"/>
      <c r="AB131" s="261"/>
      <c r="AC131" s="261"/>
      <c r="AD131" s="261"/>
      <c r="AE131" s="261"/>
    </row>
    <row r="132" spans="1:31" ht="18.2" customHeight="1">
      <c r="A132" s="259"/>
      <c r="B132" s="114" t="s">
        <v>146</v>
      </c>
      <c r="C132" s="115"/>
      <c r="D132" s="116"/>
      <c r="E132" s="172">
        <v>0</v>
      </c>
      <c r="F132" s="173"/>
      <c r="G132" s="174">
        <v>0</v>
      </c>
      <c r="H132" s="175"/>
      <c r="I132" s="117">
        <v>0</v>
      </c>
      <c r="J132" s="261">
        <v>0</v>
      </c>
      <c r="K132" s="261">
        <v>0</v>
      </c>
      <c r="L132" s="261">
        <v>13130</v>
      </c>
      <c r="M132" s="261">
        <v>122228</v>
      </c>
      <c r="N132" s="261">
        <v>210960</v>
      </c>
      <c r="O132" s="261">
        <v>169189</v>
      </c>
      <c r="P132" s="261">
        <v>36141</v>
      </c>
      <c r="Q132" s="261">
        <v>0</v>
      </c>
      <c r="R132" s="119">
        <f>SUM(J132:Q132)</f>
        <v>551648</v>
      </c>
      <c r="S132" s="120">
        <f>I132-R132</f>
        <v>-551648</v>
      </c>
      <c r="T132" s="121">
        <f>G132-I132</f>
        <v>0</v>
      </c>
      <c r="U132" s="122">
        <v>0</v>
      </c>
      <c r="V132" s="123" t="e">
        <f t="shared" si="2"/>
        <v>#DIV/0!</v>
      </c>
      <c r="X132" s="261"/>
      <c r="Y132" s="261"/>
      <c r="Z132" s="261"/>
      <c r="AA132" s="261"/>
      <c r="AB132" s="261"/>
      <c r="AC132" s="261"/>
      <c r="AD132" s="261"/>
      <c r="AE132" s="261"/>
    </row>
    <row r="133" spans="1:31" ht="18.2" customHeight="1">
      <c r="A133" s="259"/>
      <c r="B133" s="114" t="s">
        <v>147</v>
      </c>
      <c r="C133" s="115"/>
      <c r="D133" s="116"/>
      <c r="E133" s="172">
        <v>0</v>
      </c>
      <c r="F133" s="173"/>
      <c r="G133" s="174">
        <v>0</v>
      </c>
      <c r="H133" s="175"/>
      <c r="I133" s="117">
        <v>0</v>
      </c>
      <c r="J133" s="261">
        <v>13000</v>
      </c>
      <c r="K133" s="261">
        <v>38490</v>
      </c>
      <c r="L133" s="261">
        <v>13341</v>
      </c>
      <c r="M133" s="261">
        <v>3000</v>
      </c>
      <c r="N133" s="261">
        <v>750</v>
      </c>
      <c r="O133" s="261">
        <v>300</v>
      </c>
      <c r="P133" s="261">
        <v>750</v>
      </c>
      <c r="Q133" s="261">
        <v>0</v>
      </c>
      <c r="R133" s="119">
        <f>SUM(J133:Q133)</f>
        <v>69631</v>
      </c>
      <c r="S133" s="120">
        <f>I133-R133</f>
        <v>-69631</v>
      </c>
      <c r="T133" s="121">
        <f>G133-I133</f>
        <v>0</v>
      </c>
      <c r="U133" s="122">
        <v>0</v>
      </c>
      <c r="V133" s="123" t="e">
        <f t="shared" si="2"/>
        <v>#DIV/0!</v>
      </c>
      <c r="X133" s="261"/>
      <c r="Y133" s="261"/>
      <c r="Z133" s="261"/>
      <c r="AA133" s="261"/>
      <c r="AB133" s="261"/>
      <c r="AC133" s="261"/>
      <c r="AD133" s="261"/>
      <c r="AE133" s="261"/>
    </row>
    <row r="134" spans="1:31" ht="18.2" customHeight="1">
      <c r="A134" s="259"/>
      <c r="B134" s="114" t="s">
        <v>63</v>
      </c>
      <c r="C134" s="115"/>
      <c r="D134" s="116"/>
      <c r="E134" s="172">
        <v>0</v>
      </c>
      <c r="F134" s="173"/>
      <c r="G134" s="174">
        <v>0</v>
      </c>
      <c r="H134" s="175"/>
      <c r="I134" s="117">
        <v>0</v>
      </c>
      <c r="J134" s="261">
        <v>0</v>
      </c>
      <c r="K134" s="261">
        <v>986469</v>
      </c>
      <c r="L134" s="261">
        <v>92273</v>
      </c>
      <c r="M134" s="261">
        <v>368121</v>
      </c>
      <c r="N134" s="261">
        <v>10821</v>
      </c>
      <c r="O134" s="261">
        <v>24039</v>
      </c>
      <c r="P134" s="261">
        <v>18928</v>
      </c>
      <c r="Q134" s="261">
        <v>0</v>
      </c>
      <c r="R134" s="119">
        <f>SUM(J134:Q134)</f>
        <v>1500651</v>
      </c>
      <c r="S134" s="120">
        <f>I134-R134</f>
        <v>-1500651</v>
      </c>
      <c r="T134" s="121">
        <f>G134-I134</f>
        <v>0</v>
      </c>
      <c r="U134" s="122">
        <v>0</v>
      </c>
      <c r="V134" s="123" t="e">
        <f t="shared" si="2"/>
        <v>#DIV/0!</v>
      </c>
      <c r="X134" s="261"/>
      <c r="Y134" s="261"/>
      <c r="Z134" s="261"/>
      <c r="AA134" s="261"/>
      <c r="AB134" s="261"/>
      <c r="AC134" s="261"/>
      <c r="AD134" s="261"/>
      <c r="AE134" s="261"/>
    </row>
    <row r="135" spans="1:31" ht="18.2" customHeight="1">
      <c r="A135" s="259"/>
      <c r="B135" s="114" t="s">
        <v>63</v>
      </c>
      <c r="C135" s="115"/>
      <c r="D135" s="116"/>
      <c r="E135" s="172">
        <v>0</v>
      </c>
      <c r="F135" s="173"/>
      <c r="G135" s="174">
        <v>0</v>
      </c>
      <c r="H135" s="175"/>
      <c r="I135" s="117">
        <v>0</v>
      </c>
      <c r="J135" s="261">
        <v>0</v>
      </c>
      <c r="K135" s="261">
        <v>684415</v>
      </c>
      <c r="L135" s="261">
        <v>0</v>
      </c>
      <c r="M135" s="261">
        <v>0</v>
      </c>
      <c r="N135" s="261">
        <v>0</v>
      </c>
      <c r="O135" s="261">
        <v>0</v>
      </c>
      <c r="P135" s="261">
        <v>0</v>
      </c>
      <c r="Q135" s="261">
        <v>0</v>
      </c>
      <c r="R135" s="119">
        <f>SUM(J135:Q135)</f>
        <v>684415</v>
      </c>
      <c r="S135" s="120">
        <f>I135-R135</f>
        <v>-684415</v>
      </c>
      <c r="T135" s="121">
        <f>G135-I135</f>
        <v>0</v>
      </c>
      <c r="U135" s="122">
        <v>0</v>
      </c>
      <c r="V135" s="123" t="e">
        <f t="shared" si="2"/>
        <v>#DIV/0!</v>
      </c>
      <c r="X135" s="261"/>
      <c r="Y135" s="261"/>
      <c r="Z135" s="261"/>
      <c r="AA135" s="261"/>
      <c r="AB135" s="261"/>
      <c r="AC135" s="261"/>
      <c r="AD135" s="261"/>
      <c r="AE135" s="261"/>
    </row>
    <row r="136" spans="1:31" ht="18.2" customHeight="1">
      <c r="A136" s="259"/>
      <c r="B136" s="114" t="s">
        <v>148</v>
      </c>
      <c r="C136" s="115"/>
      <c r="D136" s="116"/>
      <c r="E136" s="172">
        <v>0</v>
      </c>
      <c r="F136" s="173"/>
      <c r="G136" s="174">
        <v>0</v>
      </c>
      <c r="H136" s="175"/>
      <c r="I136" s="117">
        <v>0</v>
      </c>
      <c r="J136" s="261">
        <v>0</v>
      </c>
      <c r="K136" s="261">
        <v>4983</v>
      </c>
      <c r="L136" s="261">
        <v>1391</v>
      </c>
      <c r="M136" s="261">
        <v>0</v>
      </c>
      <c r="N136" s="261">
        <v>364</v>
      </c>
      <c r="O136" s="261">
        <v>182</v>
      </c>
      <c r="P136" s="261">
        <v>1182</v>
      </c>
      <c r="Q136" s="261">
        <v>0</v>
      </c>
      <c r="R136" s="119">
        <f>SUM(J136:Q136)</f>
        <v>8102</v>
      </c>
      <c r="S136" s="120">
        <f>I136-R136</f>
        <v>-8102</v>
      </c>
      <c r="T136" s="121">
        <f>G136-I136</f>
        <v>0</v>
      </c>
      <c r="U136" s="122">
        <v>0</v>
      </c>
      <c r="V136" s="123" t="e">
        <f t="shared" si="2"/>
        <v>#DIV/0!</v>
      </c>
      <c r="X136" s="261"/>
      <c r="Y136" s="261"/>
      <c r="Z136" s="261"/>
      <c r="AA136" s="261"/>
      <c r="AB136" s="261"/>
      <c r="AC136" s="261"/>
      <c r="AD136" s="261"/>
      <c r="AE136" s="261"/>
    </row>
    <row r="137" spans="1:31" ht="18.2" customHeight="1">
      <c r="A137" s="259"/>
      <c r="B137" s="114"/>
      <c r="C137" s="115"/>
      <c r="D137" s="116"/>
      <c r="E137" s="172">
        <v>22480000</v>
      </c>
      <c r="F137" s="173"/>
      <c r="G137" s="174">
        <v>2680000</v>
      </c>
      <c r="H137" s="175"/>
      <c r="I137" s="117">
        <v>2249920</v>
      </c>
      <c r="J137" s="261">
        <v>0</v>
      </c>
      <c r="K137" s="261">
        <v>0</v>
      </c>
      <c r="L137" s="261">
        <v>0</v>
      </c>
      <c r="M137" s="261">
        <v>0</v>
      </c>
      <c r="N137" s="261">
        <v>0</v>
      </c>
      <c r="O137" s="261">
        <v>0</v>
      </c>
      <c r="P137" s="261">
        <v>0</v>
      </c>
      <c r="Q137" s="261">
        <v>0</v>
      </c>
      <c r="R137" s="119">
        <f>SUM(J137:Q137)</f>
        <v>0</v>
      </c>
      <c r="S137" s="120">
        <f>I137-R137</f>
        <v>2249920</v>
      </c>
      <c r="T137" s="121">
        <f>G137-I137</f>
        <v>430080</v>
      </c>
      <c r="U137" s="122">
        <v>0</v>
      </c>
      <c r="V137" s="123" t="e">
        <f t="shared" si="2"/>
        <v>#DIV/0!</v>
      </c>
      <c r="X137" s="261"/>
      <c r="Y137" s="261"/>
      <c r="Z137" s="261"/>
      <c r="AA137" s="261"/>
      <c r="AB137" s="261"/>
      <c r="AC137" s="261"/>
      <c r="AD137" s="261"/>
      <c r="AE137" s="261"/>
    </row>
    <row r="138" spans="1:31" ht="18.2" customHeight="1">
      <c r="A138" s="259"/>
      <c r="B138" s="114"/>
      <c r="C138" s="115"/>
      <c r="D138" s="116"/>
      <c r="E138" s="172">
        <v>0</v>
      </c>
      <c r="F138" s="173"/>
      <c r="G138" s="174">
        <v>0</v>
      </c>
      <c r="H138" s="175"/>
      <c r="I138" s="117">
        <v>0</v>
      </c>
      <c r="J138" s="261">
        <v>0</v>
      </c>
      <c r="K138" s="261">
        <v>0</v>
      </c>
      <c r="L138" s="261">
        <v>0</v>
      </c>
      <c r="M138" s="261">
        <v>0</v>
      </c>
      <c r="N138" s="261">
        <v>0</v>
      </c>
      <c r="O138" s="261">
        <v>0</v>
      </c>
      <c r="P138" s="261">
        <v>0</v>
      </c>
      <c r="Q138" s="261">
        <v>0</v>
      </c>
      <c r="R138" s="119">
        <f>SUM(J138:Q138)</f>
        <v>0</v>
      </c>
      <c r="S138" s="120">
        <f>I138-R138</f>
        <v>0</v>
      </c>
      <c r="T138" s="121">
        <f>G138-I138</f>
        <v>0</v>
      </c>
      <c r="U138" s="122">
        <v>0</v>
      </c>
      <c r="V138" s="123" t="e">
        <f t="shared" si="2"/>
        <v>#DIV/0!</v>
      </c>
      <c r="X138" s="261"/>
      <c r="Y138" s="261"/>
      <c r="Z138" s="261"/>
      <c r="AA138" s="261"/>
      <c r="AB138" s="261"/>
      <c r="AC138" s="261"/>
      <c r="AD138" s="261"/>
      <c r="AE138" s="261"/>
    </row>
    <row r="139" spans="1:31" ht="18.2" customHeight="1">
      <c r="A139" s="260"/>
      <c r="B139" s="124"/>
      <c r="C139" s="125"/>
      <c r="D139" s="126"/>
      <c r="E139" s="163">
        <v>1680000</v>
      </c>
      <c r="F139" s="164"/>
      <c r="G139" s="165">
        <v>1747000</v>
      </c>
      <c r="H139" s="166"/>
      <c r="I139" s="127">
        <v>1747000</v>
      </c>
      <c r="J139" s="262">
        <v>0</v>
      </c>
      <c r="K139" s="262">
        <v>0</v>
      </c>
      <c r="L139" s="262">
        <v>0</v>
      </c>
      <c r="M139" s="262">
        <v>0</v>
      </c>
      <c r="N139" s="262">
        <v>0</v>
      </c>
      <c r="O139" s="262">
        <v>0</v>
      </c>
      <c r="P139" s="262">
        <v>0</v>
      </c>
      <c r="Q139" s="262">
        <v>0</v>
      </c>
      <c r="R139" s="129">
        <f>SUM(J139:Q139)</f>
        <v>0</v>
      </c>
      <c r="S139" s="130">
        <f>I139-R139</f>
        <v>1747000</v>
      </c>
      <c r="T139" s="131">
        <f>G139-I139</f>
        <v>0</v>
      </c>
      <c r="U139" s="132">
        <v>0</v>
      </c>
      <c r="V139" s="133" t="e">
        <f>R139/U139</f>
        <v>#DIV/0!</v>
      </c>
      <c r="X139" s="262"/>
      <c r="Y139" s="262"/>
      <c r="Z139" s="262"/>
      <c r="AA139" s="262"/>
      <c r="AB139" s="262"/>
      <c r="AC139" s="262"/>
      <c r="AD139" s="262"/>
      <c r="AE139" s="262"/>
    </row>
    <row r="140" spans="1:31" ht="18.95" customHeight="1" thickBot="1">
      <c r="A140" s="113"/>
      <c r="B140" s="78" t="s">
        <v>34</v>
      </c>
      <c r="C140" s="79"/>
      <c r="D140" s="151"/>
      <c r="E140" s="180">
        <f>SUM(E128:F139)</f>
        <v>24160000</v>
      </c>
      <c r="F140" s="181"/>
      <c r="G140" s="182">
        <f>SUM(G128:H139)</f>
        <v>8427000</v>
      </c>
      <c r="H140" s="181"/>
      <c r="I140" s="135">
        <f>SUM(I128:I139)</f>
        <v>7996920</v>
      </c>
      <c r="J140" s="30"/>
      <c r="K140" s="30"/>
      <c r="L140" s="30"/>
      <c r="M140" s="30"/>
      <c r="N140" s="30"/>
      <c r="O140" s="30"/>
      <c r="P140" s="30"/>
      <c r="Q140" s="30"/>
      <c r="R140" s="32">
        <f>SUM(R128:R139)</f>
        <v>5158332</v>
      </c>
      <c r="S140" s="32">
        <f>SUM(S128:S139)</f>
        <v>2838588</v>
      </c>
      <c r="T140" s="33">
        <f>SUM(T128:T139)</f>
        <v>430080</v>
      </c>
      <c r="U140" s="136">
        <f>SUM(U128:U139)</f>
        <v>43</v>
      </c>
      <c r="V140" s="34"/>
    </row>
    <row r="141" spans="1:31" ht="18.2" customHeight="1" thickTop="1">
      <c r="A141" s="52"/>
      <c r="B141" s="176" t="s">
        <v>18</v>
      </c>
      <c r="C141" s="177"/>
      <c r="D141" s="134"/>
      <c r="E141" s="178">
        <f>SUM(E118,E123,E140)</f>
        <v>92359585</v>
      </c>
      <c r="F141" s="179"/>
      <c r="G141" s="178">
        <f>SUM(G118,G123,G140)</f>
        <v>74950590</v>
      </c>
      <c r="H141" s="179"/>
      <c r="I141" s="53">
        <f>SUM(I140,I123,I118)</f>
        <v>81975320</v>
      </c>
      <c r="J141" s="54">
        <f>SUM(J7:J139)</f>
        <v>212000</v>
      </c>
      <c r="K141" s="54">
        <f>SUM(K7:K139)</f>
        <v>1742061</v>
      </c>
      <c r="L141" s="54">
        <f>SUM(L7:L139)</f>
        <v>13420616</v>
      </c>
      <c r="M141" s="54">
        <f>SUM(M7:M139)</f>
        <v>14617236</v>
      </c>
      <c r="N141" s="54">
        <f>SUM(N7:N139)</f>
        <v>13149144</v>
      </c>
      <c r="O141" s="54">
        <f>SUM(O7:O139)</f>
        <v>15175616</v>
      </c>
      <c r="P141" s="54">
        <f>SUM(P7:P139)</f>
        <v>-744539</v>
      </c>
      <c r="Q141" s="54">
        <f>SUM(Q7:Q139)</f>
        <v>0</v>
      </c>
      <c r="R141" s="54">
        <f>SUM(J141:Q141)</f>
        <v>57572134</v>
      </c>
      <c r="S141" s="55">
        <f>I141-R141</f>
        <v>24403186</v>
      </c>
      <c r="T141" s="56">
        <f>SUM(T140,T125)</f>
        <v>-7024730</v>
      </c>
      <c r="U141" s="57">
        <f>SUM(U140,U125)</f>
        <v>521</v>
      </c>
      <c r="V141" s="58"/>
    </row>
    <row r="142" spans="1:31" ht="25.5" customHeight="1">
      <c r="A142" s="59"/>
      <c r="B142" s="59"/>
      <c r="C142" s="59"/>
      <c r="D142" s="59"/>
      <c r="E142" s="59"/>
      <c r="F142" s="60"/>
      <c r="G142" s="59"/>
      <c r="H142" s="60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2"/>
      <c r="T142" s="59"/>
      <c r="U142" s="59"/>
    </row>
    <row r="143" spans="1:31" ht="6" customHeight="1"/>
    <row r="144" spans="1:31" ht="18" customHeight="1">
      <c r="A144" s="13" t="s">
        <v>19</v>
      </c>
    </row>
    <row r="145" spans="1:17" ht="18" customHeight="1">
      <c r="A145" s="167" t="s">
        <v>20</v>
      </c>
      <c r="B145" s="167"/>
      <c r="C145" s="167"/>
      <c r="D145" s="167"/>
      <c r="E145" s="167"/>
      <c r="F145" s="167"/>
      <c r="G145" s="167"/>
      <c r="H145" s="167"/>
      <c r="I145" s="167"/>
      <c r="J145" s="167"/>
      <c r="K145" s="167"/>
      <c r="L145" s="167"/>
      <c r="M145" s="167"/>
      <c r="N145" s="167"/>
      <c r="O145" s="167"/>
      <c r="P145" s="167"/>
      <c r="Q145" s="167"/>
    </row>
    <row r="146" spans="1:17" ht="18" customHeight="1">
      <c r="A146" s="167" t="s">
        <v>21</v>
      </c>
      <c r="B146" s="167"/>
      <c r="C146" s="167"/>
      <c r="D146" s="167"/>
      <c r="E146" s="167"/>
      <c r="F146" s="167"/>
    </row>
    <row r="147" spans="1:17" ht="18" customHeight="1">
      <c r="A147" s="167" t="s">
        <v>22</v>
      </c>
      <c r="B147" s="167"/>
      <c r="C147" s="167"/>
      <c r="D147" s="167"/>
      <c r="E147" s="167"/>
      <c r="F147" s="167"/>
    </row>
  </sheetData>
  <mergeCells count="308">
    <mergeCell ref="A85:A93"/>
    <mergeCell ref="A94:A99"/>
    <mergeCell ref="A100:A102"/>
    <mergeCell ref="A103:A114"/>
    <mergeCell ref="A115:A117"/>
    <mergeCell ref="E138:F138"/>
    <mergeCell ref="G138:H138"/>
    <mergeCell ref="A7:A30"/>
    <mergeCell ref="A31:A37"/>
    <mergeCell ref="A38:A42"/>
    <mergeCell ref="A43:A58"/>
    <mergeCell ref="A59:A63"/>
    <mergeCell ref="A64:A70"/>
    <mergeCell ref="A71:A81"/>
    <mergeCell ref="A82:A84"/>
    <mergeCell ref="E135:F135"/>
    <mergeCell ref="G135:H135"/>
    <mergeCell ref="E136:F136"/>
    <mergeCell ref="G136:H136"/>
    <mergeCell ref="E137:F137"/>
    <mergeCell ref="G137:H137"/>
    <mergeCell ref="G131:H131"/>
    <mergeCell ref="E132:F132"/>
    <mergeCell ref="G132:H132"/>
    <mergeCell ref="E133:F133"/>
    <mergeCell ref="G133:H133"/>
    <mergeCell ref="E134:F134"/>
    <mergeCell ref="G134:H134"/>
    <mergeCell ref="E117:F117"/>
    <mergeCell ref="G117:H117"/>
    <mergeCell ref="J1:N1"/>
    <mergeCell ref="J2:N2"/>
    <mergeCell ref="J3:N3"/>
    <mergeCell ref="E129:F129"/>
    <mergeCell ref="G129:H129"/>
    <mergeCell ref="E114:F114"/>
    <mergeCell ref="G114:H114"/>
    <mergeCell ref="E115:F115"/>
    <mergeCell ref="G115:H115"/>
    <mergeCell ref="E116:F116"/>
    <mergeCell ref="G116:H116"/>
    <mergeCell ref="E111:F111"/>
    <mergeCell ref="G111:H111"/>
    <mergeCell ref="E112:F112"/>
    <mergeCell ref="G112:H112"/>
    <mergeCell ref="E113:F113"/>
    <mergeCell ref="G113:H113"/>
    <mergeCell ref="E108:F108"/>
    <mergeCell ref="G108:H108"/>
    <mergeCell ref="E109:F109"/>
    <mergeCell ref="G109:H109"/>
    <mergeCell ref="E110:F110"/>
    <mergeCell ref="G110:H110"/>
    <mergeCell ref="E105:F105"/>
    <mergeCell ref="G105:H105"/>
    <mergeCell ref="E106:F106"/>
    <mergeCell ref="G106:H106"/>
    <mergeCell ref="E107:F107"/>
    <mergeCell ref="G107:H107"/>
    <mergeCell ref="E102:F102"/>
    <mergeCell ref="G102:H102"/>
    <mergeCell ref="E103:F103"/>
    <mergeCell ref="G103:H103"/>
    <mergeCell ref="E104:F104"/>
    <mergeCell ref="G104:H104"/>
    <mergeCell ref="E99:F99"/>
    <mergeCell ref="G99:H99"/>
    <mergeCell ref="E100:F100"/>
    <mergeCell ref="G100:H100"/>
    <mergeCell ref="E101:F101"/>
    <mergeCell ref="G101:H101"/>
    <mergeCell ref="E96:F96"/>
    <mergeCell ref="G96:H96"/>
    <mergeCell ref="E97:F97"/>
    <mergeCell ref="G97:H97"/>
    <mergeCell ref="E98:F98"/>
    <mergeCell ref="G98:H98"/>
    <mergeCell ref="E93:F93"/>
    <mergeCell ref="G93:H93"/>
    <mergeCell ref="E94:F94"/>
    <mergeCell ref="G94:H94"/>
    <mergeCell ref="E95:F95"/>
    <mergeCell ref="G95:H95"/>
    <mergeCell ref="E90:F90"/>
    <mergeCell ref="G90:H90"/>
    <mergeCell ref="E91:F91"/>
    <mergeCell ref="G91:H91"/>
    <mergeCell ref="E92:F92"/>
    <mergeCell ref="G92:H92"/>
    <mergeCell ref="E87:F87"/>
    <mergeCell ref="G87:H87"/>
    <mergeCell ref="E88:F88"/>
    <mergeCell ref="G88:H88"/>
    <mergeCell ref="E89:F89"/>
    <mergeCell ref="G89:H89"/>
    <mergeCell ref="E84:F84"/>
    <mergeCell ref="G84:H84"/>
    <mergeCell ref="E85:F85"/>
    <mergeCell ref="G85:H85"/>
    <mergeCell ref="E86:F86"/>
    <mergeCell ref="G86:H86"/>
    <mergeCell ref="E81:F81"/>
    <mergeCell ref="G81:H81"/>
    <mergeCell ref="E82:F82"/>
    <mergeCell ref="G82:H82"/>
    <mergeCell ref="E83:F83"/>
    <mergeCell ref="G83:H83"/>
    <mergeCell ref="E78:F78"/>
    <mergeCell ref="G78:H78"/>
    <mergeCell ref="E79:F79"/>
    <mergeCell ref="G79:H79"/>
    <mergeCell ref="E80:F80"/>
    <mergeCell ref="G80:H80"/>
    <mergeCell ref="E75:F75"/>
    <mergeCell ref="G75:H75"/>
    <mergeCell ref="E76:F76"/>
    <mergeCell ref="G76:H76"/>
    <mergeCell ref="E77:F77"/>
    <mergeCell ref="G77:H77"/>
    <mergeCell ref="E72:F72"/>
    <mergeCell ref="G72:H72"/>
    <mergeCell ref="E73:F73"/>
    <mergeCell ref="G73:H73"/>
    <mergeCell ref="E74:F74"/>
    <mergeCell ref="G74:H74"/>
    <mergeCell ref="E69:F69"/>
    <mergeCell ref="G69:H69"/>
    <mergeCell ref="E70:F70"/>
    <mergeCell ref="G70:H70"/>
    <mergeCell ref="E71:F71"/>
    <mergeCell ref="G71:H71"/>
    <mergeCell ref="E66:F66"/>
    <mergeCell ref="G66:H66"/>
    <mergeCell ref="E67:F67"/>
    <mergeCell ref="G67:H67"/>
    <mergeCell ref="E68:F68"/>
    <mergeCell ref="G68:H68"/>
    <mergeCell ref="E63:F63"/>
    <mergeCell ref="G63:H63"/>
    <mergeCell ref="E64:F64"/>
    <mergeCell ref="G64:H64"/>
    <mergeCell ref="E65:F65"/>
    <mergeCell ref="G65:H65"/>
    <mergeCell ref="E60:F60"/>
    <mergeCell ref="G60:H60"/>
    <mergeCell ref="E61:F61"/>
    <mergeCell ref="G61:H61"/>
    <mergeCell ref="E62:F62"/>
    <mergeCell ref="G62:H62"/>
    <mergeCell ref="E57:F57"/>
    <mergeCell ref="G57:H57"/>
    <mergeCell ref="E58:F58"/>
    <mergeCell ref="G58:H58"/>
    <mergeCell ref="E59:F59"/>
    <mergeCell ref="G59:H59"/>
    <mergeCell ref="E54:F54"/>
    <mergeCell ref="G54:H54"/>
    <mergeCell ref="E55:F55"/>
    <mergeCell ref="G55:H55"/>
    <mergeCell ref="E56:F56"/>
    <mergeCell ref="G56:H56"/>
    <mergeCell ref="E51:F51"/>
    <mergeCell ref="G51:H51"/>
    <mergeCell ref="E52:F52"/>
    <mergeCell ref="G52:H52"/>
    <mergeCell ref="E53:F53"/>
    <mergeCell ref="G53:H53"/>
    <mergeCell ref="E48:F48"/>
    <mergeCell ref="G48:H48"/>
    <mergeCell ref="E49:F49"/>
    <mergeCell ref="G49:H49"/>
    <mergeCell ref="E50:F50"/>
    <mergeCell ref="G50:H50"/>
    <mergeCell ref="E45:F45"/>
    <mergeCell ref="G45:H45"/>
    <mergeCell ref="E46:F46"/>
    <mergeCell ref="G46:H46"/>
    <mergeCell ref="E47:F47"/>
    <mergeCell ref="G47:H47"/>
    <mergeCell ref="E42:F42"/>
    <mergeCell ref="G42:H42"/>
    <mergeCell ref="E43:F43"/>
    <mergeCell ref="G43:H43"/>
    <mergeCell ref="E44:F44"/>
    <mergeCell ref="G44:H44"/>
    <mergeCell ref="E39:F39"/>
    <mergeCell ref="G39:H39"/>
    <mergeCell ref="E40:F40"/>
    <mergeCell ref="G40:H40"/>
    <mergeCell ref="E41:F41"/>
    <mergeCell ref="G41:H41"/>
    <mergeCell ref="E36:F36"/>
    <mergeCell ref="G36:H36"/>
    <mergeCell ref="E37:F37"/>
    <mergeCell ref="G37:H37"/>
    <mergeCell ref="E38:F38"/>
    <mergeCell ref="G38:H38"/>
    <mergeCell ref="E33:F33"/>
    <mergeCell ref="G33:H33"/>
    <mergeCell ref="E34:F34"/>
    <mergeCell ref="G34:H34"/>
    <mergeCell ref="E35:F35"/>
    <mergeCell ref="G35:H35"/>
    <mergeCell ref="E30:F30"/>
    <mergeCell ref="G30:H30"/>
    <mergeCell ref="E31:F31"/>
    <mergeCell ref="G31:H31"/>
    <mergeCell ref="E32:F32"/>
    <mergeCell ref="G32:H32"/>
    <mergeCell ref="E27:F27"/>
    <mergeCell ref="G27:H27"/>
    <mergeCell ref="E28:F28"/>
    <mergeCell ref="G28:H28"/>
    <mergeCell ref="E29:F29"/>
    <mergeCell ref="G29:H29"/>
    <mergeCell ref="E24:F24"/>
    <mergeCell ref="G24:H24"/>
    <mergeCell ref="E25:F25"/>
    <mergeCell ref="G25:H25"/>
    <mergeCell ref="E26:F26"/>
    <mergeCell ref="G26:H26"/>
    <mergeCell ref="E21:F21"/>
    <mergeCell ref="G21:H21"/>
    <mergeCell ref="E22:F22"/>
    <mergeCell ref="G22:H22"/>
    <mergeCell ref="E23:F23"/>
    <mergeCell ref="G23:H23"/>
    <mergeCell ref="E18:F18"/>
    <mergeCell ref="G18:H18"/>
    <mergeCell ref="E19:F19"/>
    <mergeCell ref="G19:H19"/>
    <mergeCell ref="E20:F20"/>
    <mergeCell ref="G20:H20"/>
    <mergeCell ref="E15:F15"/>
    <mergeCell ref="G15:H15"/>
    <mergeCell ref="E16:F16"/>
    <mergeCell ref="G16:H16"/>
    <mergeCell ref="E17:F17"/>
    <mergeCell ref="G17:H17"/>
    <mergeCell ref="E12:F12"/>
    <mergeCell ref="G12:H12"/>
    <mergeCell ref="E13:F13"/>
    <mergeCell ref="G13:H13"/>
    <mergeCell ref="E14:F14"/>
    <mergeCell ref="G14:H14"/>
    <mergeCell ref="A146:F146"/>
    <mergeCell ref="A147:F147"/>
    <mergeCell ref="E8:F8"/>
    <mergeCell ref="G8:H8"/>
    <mergeCell ref="E9:F9"/>
    <mergeCell ref="G9:H9"/>
    <mergeCell ref="E10:F10"/>
    <mergeCell ref="G10:H10"/>
    <mergeCell ref="E11:F11"/>
    <mergeCell ref="G11:H11"/>
    <mergeCell ref="E140:F140"/>
    <mergeCell ref="G140:H140"/>
    <mergeCell ref="B141:C141"/>
    <mergeCell ref="E141:F141"/>
    <mergeCell ref="G141:H141"/>
    <mergeCell ref="A145:Q145"/>
    <mergeCell ref="E125:F125"/>
    <mergeCell ref="G125:H125"/>
    <mergeCell ref="A128:A139"/>
    <mergeCell ref="E128:F128"/>
    <mergeCell ref="G128:H128"/>
    <mergeCell ref="E139:F139"/>
    <mergeCell ref="G139:H139"/>
    <mergeCell ref="E130:F130"/>
    <mergeCell ref="G130:H130"/>
    <mergeCell ref="E131:F131"/>
    <mergeCell ref="E121:F121"/>
    <mergeCell ref="G121:H121"/>
    <mergeCell ref="E122:F122"/>
    <mergeCell ref="G122:H122"/>
    <mergeCell ref="E123:F123"/>
    <mergeCell ref="G123:H123"/>
    <mergeCell ref="E118:F118"/>
    <mergeCell ref="G118:H118"/>
    <mergeCell ref="A119:V119"/>
    <mergeCell ref="E120:F120"/>
    <mergeCell ref="G120:H120"/>
    <mergeCell ref="R5:R6"/>
    <mergeCell ref="S5:S6"/>
    <mergeCell ref="T5:T6"/>
    <mergeCell ref="U5:U6"/>
    <mergeCell ref="V5:V6"/>
    <mergeCell ref="E7:F7"/>
    <mergeCell ref="G7:H7"/>
    <mergeCell ref="A5:B6"/>
    <mergeCell ref="C5:C6"/>
    <mergeCell ref="D5:D6"/>
    <mergeCell ref="E5:F6"/>
    <mergeCell ref="G5:H6"/>
    <mergeCell ref="I5:I6"/>
    <mergeCell ref="A3:B3"/>
    <mergeCell ref="C3:H3"/>
    <mergeCell ref="A4:B4"/>
    <mergeCell ref="C4:F4"/>
    <mergeCell ref="G4:H4"/>
    <mergeCell ref="J4:Q4"/>
    <mergeCell ref="A1:B1"/>
    <mergeCell ref="C1:H1"/>
    <mergeCell ref="R1:S4"/>
    <mergeCell ref="T1:V1"/>
    <mergeCell ref="A2:B2"/>
    <mergeCell ref="C2:H2"/>
    <mergeCell ref="T2:V4"/>
  </mergeCells>
  <phoneticPr fontId="2"/>
  <pageMargins left="0.7" right="0.7" top="0.75" bottom="0.75" header="0.3" footer="0.3"/>
  <pageSetup paperSize="9" scale="4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D6C61-6F5B-4202-83E1-EDF6D0C5791B}">
  <sheetPr codeName="Sheet10"/>
  <dimension ref="A1:AE147"/>
  <sheetViews>
    <sheetView view="pageBreakPreview" zoomScaleNormal="100" zoomScaleSheetLayoutView="100" workbookViewId="0">
      <pane xSplit="2" ySplit="6" topLeftCell="C125" activePane="bottomRight" state="frozen"/>
      <selection pane="topRight" activeCell="C1" sqref="C1"/>
      <selection pane="bottomLeft" activeCell="A9" sqref="A9"/>
      <selection pane="bottomRight" activeCell="B128" sqref="B128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63" customWidth="1"/>
    <col min="7" max="7" width="7.625" style="13" customWidth="1"/>
    <col min="8" max="8" width="7.625" style="63" customWidth="1"/>
    <col min="9" max="9" width="15.375" style="64" customWidth="1"/>
    <col min="10" max="18" width="8.625" style="64" customWidth="1"/>
    <col min="19" max="19" width="8.625" style="65" customWidth="1"/>
    <col min="20" max="20" width="11.125" style="13" customWidth="1"/>
    <col min="21" max="21" width="8.625" style="13" customWidth="1"/>
    <col min="22" max="22" width="8.625" style="7" customWidth="1"/>
    <col min="23" max="260" width="9" style="7"/>
    <col min="261" max="261" width="8.625" style="7" customWidth="1"/>
    <col min="262" max="262" width="19.625" style="7" customWidth="1"/>
    <col min="263" max="263" width="8.625" style="7" customWidth="1"/>
    <col min="264" max="265" width="7.625" style="7" customWidth="1"/>
    <col min="266" max="266" width="11.125" style="7" customWidth="1"/>
    <col min="267" max="275" width="8.625" style="7" customWidth="1"/>
    <col min="276" max="276" width="11.125" style="7" customWidth="1"/>
    <col min="277" max="278" width="8.625" style="7" customWidth="1"/>
    <col min="279" max="516" width="9" style="7"/>
    <col min="517" max="517" width="8.625" style="7" customWidth="1"/>
    <col min="518" max="518" width="19.625" style="7" customWidth="1"/>
    <col min="519" max="519" width="8.625" style="7" customWidth="1"/>
    <col min="520" max="521" width="7.625" style="7" customWidth="1"/>
    <col min="522" max="522" width="11.125" style="7" customWidth="1"/>
    <col min="523" max="531" width="8.625" style="7" customWidth="1"/>
    <col min="532" max="532" width="11.125" style="7" customWidth="1"/>
    <col min="533" max="534" width="8.625" style="7" customWidth="1"/>
    <col min="535" max="772" width="9" style="7"/>
    <col min="773" max="773" width="8.625" style="7" customWidth="1"/>
    <col min="774" max="774" width="19.625" style="7" customWidth="1"/>
    <col min="775" max="775" width="8.625" style="7" customWidth="1"/>
    <col min="776" max="777" width="7.625" style="7" customWidth="1"/>
    <col min="778" max="778" width="11.125" style="7" customWidth="1"/>
    <col min="779" max="787" width="8.625" style="7" customWidth="1"/>
    <col min="788" max="788" width="11.125" style="7" customWidth="1"/>
    <col min="789" max="790" width="8.625" style="7" customWidth="1"/>
    <col min="791" max="1028" width="9" style="7"/>
    <col min="1029" max="1029" width="8.625" style="7" customWidth="1"/>
    <col min="1030" max="1030" width="19.625" style="7" customWidth="1"/>
    <col min="1031" max="1031" width="8.625" style="7" customWidth="1"/>
    <col min="1032" max="1033" width="7.625" style="7" customWidth="1"/>
    <col min="1034" max="1034" width="11.125" style="7" customWidth="1"/>
    <col min="1035" max="1043" width="8.625" style="7" customWidth="1"/>
    <col min="1044" max="1044" width="11.125" style="7" customWidth="1"/>
    <col min="1045" max="1046" width="8.625" style="7" customWidth="1"/>
    <col min="1047" max="1284" width="9" style="7"/>
    <col min="1285" max="1285" width="8.625" style="7" customWidth="1"/>
    <col min="1286" max="1286" width="19.625" style="7" customWidth="1"/>
    <col min="1287" max="1287" width="8.625" style="7" customWidth="1"/>
    <col min="1288" max="1289" width="7.625" style="7" customWidth="1"/>
    <col min="1290" max="1290" width="11.125" style="7" customWidth="1"/>
    <col min="1291" max="1299" width="8.625" style="7" customWidth="1"/>
    <col min="1300" max="1300" width="11.125" style="7" customWidth="1"/>
    <col min="1301" max="1302" width="8.625" style="7" customWidth="1"/>
    <col min="1303" max="1540" width="9" style="7"/>
    <col min="1541" max="1541" width="8.625" style="7" customWidth="1"/>
    <col min="1542" max="1542" width="19.625" style="7" customWidth="1"/>
    <col min="1543" max="1543" width="8.625" style="7" customWidth="1"/>
    <col min="1544" max="1545" width="7.625" style="7" customWidth="1"/>
    <col min="1546" max="1546" width="11.125" style="7" customWidth="1"/>
    <col min="1547" max="1555" width="8.625" style="7" customWidth="1"/>
    <col min="1556" max="1556" width="11.125" style="7" customWidth="1"/>
    <col min="1557" max="1558" width="8.625" style="7" customWidth="1"/>
    <col min="1559" max="1796" width="9" style="7"/>
    <col min="1797" max="1797" width="8.625" style="7" customWidth="1"/>
    <col min="1798" max="1798" width="19.625" style="7" customWidth="1"/>
    <col min="1799" max="1799" width="8.625" style="7" customWidth="1"/>
    <col min="1800" max="1801" width="7.625" style="7" customWidth="1"/>
    <col min="1802" max="1802" width="11.125" style="7" customWidth="1"/>
    <col min="1803" max="1811" width="8.625" style="7" customWidth="1"/>
    <col min="1812" max="1812" width="11.125" style="7" customWidth="1"/>
    <col min="1813" max="1814" width="8.625" style="7" customWidth="1"/>
    <col min="1815" max="2052" width="9" style="7"/>
    <col min="2053" max="2053" width="8.625" style="7" customWidth="1"/>
    <col min="2054" max="2054" width="19.625" style="7" customWidth="1"/>
    <col min="2055" max="2055" width="8.625" style="7" customWidth="1"/>
    <col min="2056" max="2057" width="7.625" style="7" customWidth="1"/>
    <col min="2058" max="2058" width="11.125" style="7" customWidth="1"/>
    <col min="2059" max="2067" width="8.625" style="7" customWidth="1"/>
    <col min="2068" max="2068" width="11.125" style="7" customWidth="1"/>
    <col min="2069" max="2070" width="8.625" style="7" customWidth="1"/>
    <col min="2071" max="2308" width="9" style="7"/>
    <col min="2309" max="2309" width="8.625" style="7" customWidth="1"/>
    <col min="2310" max="2310" width="19.625" style="7" customWidth="1"/>
    <col min="2311" max="2311" width="8.625" style="7" customWidth="1"/>
    <col min="2312" max="2313" width="7.625" style="7" customWidth="1"/>
    <col min="2314" max="2314" width="11.125" style="7" customWidth="1"/>
    <col min="2315" max="2323" width="8.625" style="7" customWidth="1"/>
    <col min="2324" max="2324" width="11.125" style="7" customWidth="1"/>
    <col min="2325" max="2326" width="8.625" style="7" customWidth="1"/>
    <col min="2327" max="2564" width="9" style="7"/>
    <col min="2565" max="2565" width="8.625" style="7" customWidth="1"/>
    <col min="2566" max="2566" width="19.625" style="7" customWidth="1"/>
    <col min="2567" max="2567" width="8.625" style="7" customWidth="1"/>
    <col min="2568" max="2569" width="7.625" style="7" customWidth="1"/>
    <col min="2570" max="2570" width="11.125" style="7" customWidth="1"/>
    <col min="2571" max="2579" width="8.625" style="7" customWidth="1"/>
    <col min="2580" max="2580" width="11.125" style="7" customWidth="1"/>
    <col min="2581" max="2582" width="8.625" style="7" customWidth="1"/>
    <col min="2583" max="2820" width="9" style="7"/>
    <col min="2821" max="2821" width="8.625" style="7" customWidth="1"/>
    <col min="2822" max="2822" width="19.625" style="7" customWidth="1"/>
    <col min="2823" max="2823" width="8.625" style="7" customWidth="1"/>
    <col min="2824" max="2825" width="7.625" style="7" customWidth="1"/>
    <col min="2826" max="2826" width="11.125" style="7" customWidth="1"/>
    <col min="2827" max="2835" width="8.625" style="7" customWidth="1"/>
    <col min="2836" max="2836" width="11.125" style="7" customWidth="1"/>
    <col min="2837" max="2838" width="8.625" style="7" customWidth="1"/>
    <col min="2839" max="3076" width="9" style="7"/>
    <col min="3077" max="3077" width="8.625" style="7" customWidth="1"/>
    <col min="3078" max="3078" width="19.625" style="7" customWidth="1"/>
    <col min="3079" max="3079" width="8.625" style="7" customWidth="1"/>
    <col min="3080" max="3081" width="7.625" style="7" customWidth="1"/>
    <col min="3082" max="3082" width="11.125" style="7" customWidth="1"/>
    <col min="3083" max="3091" width="8.625" style="7" customWidth="1"/>
    <col min="3092" max="3092" width="11.125" style="7" customWidth="1"/>
    <col min="3093" max="3094" width="8.625" style="7" customWidth="1"/>
    <col min="3095" max="3332" width="9" style="7"/>
    <col min="3333" max="3333" width="8.625" style="7" customWidth="1"/>
    <col min="3334" max="3334" width="19.625" style="7" customWidth="1"/>
    <col min="3335" max="3335" width="8.625" style="7" customWidth="1"/>
    <col min="3336" max="3337" width="7.625" style="7" customWidth="1"/>
    <col min="3338" max="3338" width="11.125" style="7" customWidth="1"/>
    <col min="3339" max="3347" width="8.625" style="7" customWidth="1"/>
    <col min="3348" max="3348" width="11.125" style="7" customWidth="1"/>
    <col min="3349" max="3350" width="8.625" style="7" customWidth="1"/>
    <col min="3351" max="3588" width="9" style="7"/>
    <col min="3589" max="3589" width="8.625" style="7" customWidth="1"/>
    <col min="3590" max="3590" width="19.625" style="7" customWidth="1"/>
    <col min="3591" max="3591" width="8.625" style="7" customWidth="1"/>
    <col min="3592" max="3593" width="7.625" style="7" customWidth="1"/>
    <col min="3594" max="3594" width="11.125" style="7" customWidth="1"/>
    <col min="3595" max="3603" width="8.625" style="7" customWidth="1"/>
    <col min="3604" max="3604" width="11.125" style="7" customWidth="1"/>
    <col min="3605" max="3606" width="8.625" style="7" customWidth="1"/>
    <col min="3607" max="3844" width="9" style="7"/>
    <col min="3845" max="3845" width="8.625" style="7" customWidth="1"/>
    <col min="3846" max="3846" width="19.625" style="7" customWidth="1"/>
    <col min="3847" max="3847" width="8.625" style="7" customWidth="1"/>
    <col min="3848" max="3849" width="7.625" style="7" customWidth="1"/>
    <col min="3850" max="3850" width="11.125" style="7" customWidth="1"/>
    <col min="3851" max="3859" width="8.625" style="7" customWidth="1"/>
    <col min="3860" max="3860" width="11.125" style="7" customWidth="1"/>
    <col min="3861" max="3862" width="8.625" style="7" customWidth="1"/>
    <col min="3863" max="4100" width="9" style="7"/>
    <col min="4101" max="4101" width="8.625" style="7" customWidth="1"/>
    <col min="4102" max="4102" width="19.625" style="7" customWidth="1"/>
    <col min="4103" max="4103" width="8.625" style="7" customWidth="1"/>
    <col min="4104" max="4105" width="7.625" style="7" customWidth="1"/>
    <col min="4106" max="4106" width="11.125" style="7" customWidth="1"/>
    <col min="4107" max="4115" width="8.625" style="7" customWidth="1"/>
    <col min="4116" max="4116" width="11.125" style="7" customWidth="1"/>
    <col min="4117" max="4118" width="8.625" style="7" customWidth="1"/>
    <col min="4119" max="4356" width="9" style="7"/>
    <col min="4357" max="4357" width="8.625" style="7" customWidth="1"/>
    <col min="4358" max="4358" width="19.625" style="7" customWidth="1"/>
    <col min="4359" max="4359" width="8.625" style="7" customWidth="1"/>
    <col min="4360" max="4361" width="7.625" style="7" customWidth="1"/>
    <col min="4362" max="4362" width="11.125" style="7" customWidth="1"/>
    <col min="4363" max="4371" width="8.625" style="7" customWidth="1"/>
    <col min="4372" max="4372" width="11.125" style="7" customWidth="1"/>
    <col min="4373" max="4374" width="8.625" style="7" customWidth="1"/>
    <col min="4375" max="4612" width="9" style="7"/>
    <col min="4613" max="4613" width="8.625" style="7" customWidth="1"/>
    <col min="4614" max="4614" width="19.625" style="7" customWidth="1"/>
    <col min="4615" max="4615" width="8.625" style="7" customWidth="1"/>
    <col min="4616" max="4617" width="7.625" style="7" customWidth="1"/>
    <col min="4618" max="4618" width="11.125" style="7" customWidth="1"/>
    <col min="4619" max="4627" width="8.625" style="7" customWidth="1"/>
    <col min="4628" max="4628" width="11.125" style="7" customWidth="1"/>
    <col min="4629" max="4630" width="8.625" style="7" customWidth="1"/>
    <col min="4631" max="4868" width="9" style="7"/>
    <col min="4869" max="4869" width="8.625" style="7" customWidth="1"/>
    <col min="4870" max="4870" width="19.625" style="7" customWidth="1"/>
    <col min="4871" max="4871" width="8.625" style="7" customWidth="1"/>
    <col min="4872" max="4873" width="7.625" style="7" customWidth="1"/>
    <col min="4874" max="4874" width="11.125" style="7" customWidth="1"/>
    <col min="4875" max="4883" width="8.625" style="7" customWidth="1"/>
    <col min="4884" max="4884" width="11.125" style="7" customWidth="1"/>
    <col min="4885" max="4886" width="8.625" style="7" customWidth="1"/>
    <col min="4887" max="5124" width="9" style="7"/>
    <col min="5125" max="5125" width="8.625" style="7" customWidth="1"/>
    <col min="5126" max="5126" width="19.625" style="7" customWidth="1"/>
    <col min="5127" max="5127" width="8.625" style="7" customWidth="1"/>
    <col min="5128" max="5129" width="7.625" style="7" customWidth="1"/>
    <col min="5130" max="5130" width="11.125" style="7" customWidth="1"/>
    <col min="5131" max="5139" width="8.625" style="7" customWidth="1"/>
    <col min="5140" max="5140" width="11.125" style="7" customWidth="1"/>
    <col min="5141" max="5142" width="8.625" style="7" customWidth="1"/>
    <col min="5143" max="5380" width="9" style="7"/>
    <col min="5381" max="5381" width="8.625" style="7" customWidth="1"/>
    <col min="5382" max="5382" width="19.625" style="7" customWidth="1"/>
    <col min="5383" max="5383" width="8.625" style="7" customWidth="1"/>
    <col min="5384" max="5385" width="7.625" style="7" customWidth="1"/>
    <col min="5386" max="5386" width="11.125" style="7" customWidth="1"/>
    <col min="5387" max="5395" width="8.625" style="7" customWidth="1"/>
    <col min="5396" max="5396" width="11.125" style="7" customWidth="1"/>
    <col min="5397" max="5398" width="8.625" style="7" customWidth="1"/>
    <col min="5399" max="5636" width="9" style="7"/>
    <col min="5637" max="5637" width="8.625" style="7" customWidth="1"/>
    <col min="5638" max="5638" width="19.625" style="7" customWidth="1"/>
    <col min="5639" max="5639" width="8.625" style="7" customWidth="1"/>
    <col min="5640" max="5641" width="7.625" style="7" customWidth="1"/>
    <col min="5642" max="5642" width="11.125" style="7" customWidth="1"/>
    <col min="5643" max="5651" width="8.625" style="7" customWidth="1"/>
    <col min="5652" max="5652" width="11.125" style="7" customWidth="1"/>
    <col min="5653" max="5654" width="8.625" style="7" customWidth="1"/>
    <col min="5655" max="5892" width="9" style="7"/>
    <col min="5893" max="5893" width="8.625" style="7" customWidth="1"/>
    <col min="5894" max="5894" width="19.625" style="7" customWidth="1"/>
    <col min="5895" max="5895" width="8.625" style="7" customWidth="1"/>
    <col min="5896" max="5897" width="7.625" style="7" customWidth="1"/>
    <col min="5898" max="5898" width="11.125" style="7" customWidth="1"/>
    <col min="5899" max="5907" width="8.625" style="7" customWidth="1"/>
    <col min="5908" max="5908" width="11.125" style="7" customWidth="1"/>
    <col min="5909" max="5910" width="8.625" style="7" customWidth="1"/>
    <col min="5911" max="6148" width="9" style="7"/>
    <col min="6149" max="6149" width="8.625" style="7" customWidth="1"/>
    <col min="6150" max="6150" width="19.625" style="7" customWidth="1"/>
    <col min="6151" max="6151" width="8.625" style="7" customWidth="1"/>
    <col min="6152" max="6153" width="7.625" style="7" customWidth="1"/>
    <col min="6154" max="6154" width="11.125" style="7" customWidth="1"/>
    <col min="6155" max="6163" width="8.625" style="7" customWidth="1"/>
    <col min="6164" max="6164" width="11.125" style="7" customWidth="1"/>
    <col min="6165" max="6166" width="8.625" style="7" customWidth="1"/>
    <col min="6167" max="6404" width="9" style="7"/>
    <col min="6405" max="6405" width="8.625" style="7" customWidth="1"/>
    <col min="6406" max="6406" width="19.625" style="7" customWidth="1"/>
    <col min="6407" max="6407" width="8.625" style="7" customWidth="1"/>
    <col min="6408" max="6409" width="7.625" style="7" customWidth="1"/>
    <col min="6410" max="6410" width="11.125" style="7" customWidth="1"/>
    <col min="6411" max="6419" width="8.625" style="7" customWidth="1"/>
    <col min="6420" max="6420" width="11.125" style="7" customWidth="1"/>
    <col min="6421" max="6422" width="8.625" style="7" customWidth="1"/>
    <col min="6423" max="6660" width="9" style="7"/>
    <col min="6661" max="6661" width="8.625" style="7" customWidth="1"/>
    <col min="6662" max="6662" width="19.625" style="7" customWidth="1"/>
    <col min="6663" max="6663" width="8.625" style="7" customWidth="1"/>
    <col min="6664" max="6665" width="7.625" style="7" customWidth="1"/>
    <col min="6666" max="6666" width="11.125" style="7" customWidth="1"/>
    <col min="6667" max="6675" width="8.625" style="7" customWidth="1"/>
    <col min="6676" max="6676" width="11.125" style="7" customWidth="1"/>
    <col min="6677" max="6678" width="8.625" style="7" customWidth="1"/>
    <col min="6679" max="6916" width="9" style="7"/>
    <col min="6917" max="6917" width="8.625" style="7" customWidth="1"/>
    <col min="6918" max="6918" width="19.625" style="7" customWidth="1"/>
    <col min="6919" max="6919" width="8.625" style="7" customWidth="1"/>
    <col min="6920" max="6921" width="7.625" style="7" customWidth="1"/>
    <col min="6922" max="6922" width="11.125" style="7" customWidth="1"/>
    <col min="6923" max="6931" width="8.625" style="7" customWidth="1"/>
    <col min="6932" max="6932" width="11.125" style="7" customWidth="1"/>
    <col min="6933" max="6934" width="8.625" style="7" customWidth="1"/>
    <col min="6935" max="7172" width="9" style="7"/>
    <col min="7173" max="7173" width="8.625" style="7" customWidth="1"/>
    <col min="7174" max="7174" width="19.625" style="7" customWidth="1"/>
    <col min="7175" max="7175" width="8.625" style="7" customWidth="1"/>
    <col min="7176" max="7177" width="7.625" style="7" customWidth="1"/>
    <col min="7178" max="7178" width="11.125" style="7" customWidth="1"/>
    <col min="7179" max="7187" width="8.625" style="7" customWidth="1"/>
    <col min="7188" max="7188" width="11.125" style="7" customWidth="1"/>
    <col min="7189" max="7190" width="8.625" style="7" customWidth="1"/>
    <col min="7191" max="7428" width="9" style="7"/>
    <col min="7429" max="7429" width="8.625" style="7" customWidth="1"/>
    <col min="7430" max="7430" width="19.625" style="7" customWidth="1"/>
    <col min="7431" max="7431" width="8.625" style="7" customWidth="1"/>
    <col min="7432" max="7433" width="7.625" style="7" customWidth="1"/>
    <col min="7434" max="7434" width="11.125" style="7" customWidth="1"/>
    <col min="7435" max="7443" width="8.625" style="7" customWidth="1"/>
    <col min="7444" max="7444" width="11.125" style="7" customWidth="1"/>
    <col min="7445" max="7446" width="8.625" style="7" customWidth="1"/>
    <col min="7447" max="7684" width="9" style="7"/>
    <col min="7685" max="7685" width="8.625" style="7" customWidth="1"/>
    <col min="7686" max="7686" width="19.625" style="7" customWidth="1"/>
    <col min="7687" max="7687" width="8.625" style="7" customWidth="1"/>
    <col min="7688" max="7689" width="7.625" style="7" customWidth="1"/>
    <col min="7690" max="7690" width="11.125" style="7" customWidth="1"/>
    <col min="7691" max="7699" width="8.625" style="7" customWidth="1"/>
    <col min="7700" max="7700" width="11.125" style="7" customWidth="1"/>
    <col min="7701" max="7702" width="8.625" style="7" customWidth="1"/>
    <col min="7703" max="7940" width="9" style="7"/>
    <col min="7941" max="7941" width="8.625" style="7" customWidth="1"/>
    <col min="7942" max="7942" width="19.625" style="7" customWidth="1"/>
    <col min="7943" max="7943" width="8.625" style="7" customWidth="1"/>
    <col min="7944" max="7945" width="7.625" style="7" customWidth="1"/>
    <col min="7946" max="7946" width="11.125" style="7" customWidth="1"/>
    <col min="7947" max="7955" width="8.625" style="7" customWidth="1"/>
    <col min="7956" max="7956" width="11.125" style="7" customWidth="1"/>
    <col min="7957" max="7958" width="8.625" style="7" customWidth="1"/>
    <col min="7959" max="8196" width="9" style="7"/>
    <col min="8197" max="8197" width="8.625" style="7" customWidth="1"/>
    <col min="8198" max="8198" width="19.625" style="7" customWidth="1"/>
    <col min="8199" max="8199" width="8.625" style="7" customWidth="1"/>
    <col min="8200" max="8201" width="7.625" style="7" customWidth="1"/>
    <col min="8202" max="8202" width="11.125" style="7" customWidth="1"/>
    <col min="8203" max="8211" width="8.625" style="7" customWidth="1"/>
    <col min="8212" max="8212" width="11.125" style="7" customWidth="1"/>
    <col min="8213" max="8214" width="8.625" style="7" customWidth="1"/>
    <col min="8215" max="8452" width="9" style="7"/>
    <col min="8453" max="8453" width="8.625" style="7" customWidth="1"/>
    <col min="8454" max="8454" width="19.625" style="7" customWidth="1"/>
    <col min="8455" max="8455" width="8.625" style="7" customWidth="1"/>
    <col min="8456" max="8457" width="7.625" style="7" customWidth="1"/>
    <col min="8458" max="8458" width="11.125" style="7" customWidth="1"/>
    <col min="8459" max="8467" width="8.625" style="7" customWidth="1"/>
    <col min="8468" max="8468" width="11.125" style="7" customWidth="1"/>
    <col min="8469" max="8470" width="8.625" style="7" customWidth="1"/>
    <col min="8471" max="8708" width="9" style="7"/>
    <col min="8709" max="8709" width="8.625" style="7" customWidth="1"/>
    <col min="8710" max="8710" width="19.625" style="7" customWidth="1"/>
    <col min="8711" max="8711" width="8.625" style="7" customWidth="1"/>
    <col min="8712" max="8713" width="7.625" style="7" customWidth="1"/>
    <col min="8714" max="8714" width="11.125" style="7" customWidth="1"/>
    <col min="8715" max="8723" width="8.625" style="7" customWidth="1"/>
    <col min="8724" max="8724" width="11.125" style="7" customWidth="1"/>
    <col min="8725" max="8726" width="8.625" style="7" customWidth="1"/>
    <col min="8727" max="8964" width="9" style="7"/>
    <col min="8965" max="8965" width="8.625" style="7" customWidth="1"/>
    <col min="8966" max="8966" width="19.625" style="7" customWidth="1"/>
    <col min="8967" max="8967" width="8.625" style="7" customWidth="1"/>
    <col min="8968" max="8969" width="7.625" style="7" customWidth="1"/>
    <col min="8970" max="8970" width="11.125" style="7" customWidth="1"/>
    <col min="8971" max="8979" width="8.625" style="7" customWidth="1"/>
    <col min="8980" max="8980" width="11.125" style="7" customWidth="1"/>
    <col min="8981" max="8982" width="8.625" style="7" customWidth="1"/>
    <col min="8983" max="9220" width="9" style="7"/>
    <col min="9221" max="9221" width="8.625" style="7" customWidth="1"/>
    <col min="9222" max="9222" width="19.625" style="7" customWidth="1"/>
    <col min="9223" max="9223" width="8.625" style="7" customWidth="1"/>
    <col min="9224" max="9225" width="7.625" style="7" customWidth="1"/>
    <col min="9226" max="9226" width="11.125" style="7" customWidth="1"/>
    <col min="9227" max="9235" width="8.625" style="7" customWidth="1"/>
    <col min="9236" max="9236" width="11.125" style="7" customWidth="1"/>
    <col min="9237" max="9238" width="8.625" style="7" customWidth="1"/>
    <col min="9239" max="9476" width="9" style="7"/>
    <col min="9477" max="9477" width="8.625" style="7" customWidth="1"/>
    <col min="9478" max="9478" width="19.625" style="7" customWidth="1"/>
    <col min="9479" max="9479" width="8.625" style="7" customWidth="1"/>
    <col min="9480" max="9481" width="7.625" style="7" customWidth="1"/>
    <col min="9482" max="9482" width="11.125" style="7" customWidth="1"/>
    <col min="9483" max="9491" width="8.625" style="7" customWidth="1"/>
    <col min="9492" max="9492" width="11.125" style="7" customWidth="1"/>
    <col min="9493" max="9494" width="8.625" style="7" customWidth="1"/>
    <col min="9495" max="9732" width="9" style="7"/>
    <col min="9733" max="9733" width="8.625" style="7" customWidth="1"/>
    <col min="9734" max="9734" width="19.625" style="7" customWidth="1"/>
    <col min="9735" max="9735" width="8.625" style="7" customWidth="1"/>
    <col min="9736" max="9737" width="7.625" style="7" customWidth="1"/>
    <col min="9738" max="9738" width="11.125" style="7" customWidth="1"/>
    <col min="9739" max="9747" width="8.625" style="7" customWidth="1"/>
    <col min="9748" max="9748" width="11.125" style="7" customWidth="1"/>
    <col min="9749" max="9750" width="8.625" style="7" customWidth="1"/>
    <col min="9751" max="9988" width="9" style="7"/>
    <col min="9989" max="9989" width="8.625" style="7" customWidth="1"/>
    <col min="9990" max="9990" width="19.625" style="7" customWidth="1"/>
    <col min="9991" max="9991" width="8.625" style="7" customWidth="1"/>
    <col min="9992" max="9993" width="7.625" style="7" customWidth="1"/>
    <col min="9994" max="9994" width="11.125" style="7" customWidth="1"/>
    <col min="9995" max="10003" width="8.625" style="7" customWidth="1"/>
    <col min="10004" max="10004" width="11.125" style="7" customWidth="1"/>
    <col min="10005" max="10006" width="8.625" style="7" customWidth="1"/>
    <col min="10007" max="10244" width="9" style="7"/>
    <col min="10245" max="10245" width="8.625" style="7" customWidth="1"/>
    <col min="10246" max="10246" width="19.625" style="7" customWidth="1"/>
    <col min="10247" max="10247" width="8.625" style="7" customWidth="1"/>
    <col min="10248" max="10249" width="7.625" style="7" customWidth="1"/>
    <col min="10250" max="10250" width="11.125" style="7" customWidth="1"/>
    <col min="10251" max="10259" width="8.625" style="7" customWidth="1"/>
    <col min="10260" max="10260" width="11.125" style="7" customWidth="1"/>
    <col min="10261" max="10262" width="8.625" style="7" customWidth="1"/>
    <col min="10263" max="10500" width="9" style="7"/>
    <col min="10501" max="10501" width="8.625" style="7" customWidth="1"/>
    <col min="10502" max="10502" width="19.625" style="7" customWidth="1"/>
    <col min="10503" max="10503" width="8.625" style="7" customWidth="1"/>
    <col min="10504" max="10505" width="7.625" style="7" customWidth="1"/>
    <col min="10506" max="10506" width="11.125" style="7" customWidth="1"/>
    <col min="10507" max="10515" width="8.625" style="7" customWidth="1"/>
    <col min="10516" max="10516" width="11.125" style="7" customWidth="1"/>
    <col min="10517" max="10518" width="8.625" style="7" customWidth="1"/>
    <col min="10519" max="10756" width="9" style="7"/>
    <col min="10757" max="10757" width="8.625" style="7" customWidth="1"/>
    <col min="10758" max="10758" width="19.625" style="7" customWidth="1"/>
    <col min="10759" max="10759" width="8.625" style="7" customWidth="1"/>
    <col min="10760" max="10761" width="7.625" style="7" customWidth="1"/>
    <col min="10762" max="10762" width="11.125" style="7" customWidth="1"/>
    <col min="10763" max="10771" width="8.625" style="7" customWidth="1"/>
    <col min="10772" max="10772" width="11.125" style="7" customWidth="1"/>
    <col min="10773" max="10774" width="8.625" style="7" customWidth="1"/>
    <col min="10775" max="11012" width="9" style="7"/>
    <col min="11013" max="11013" width="8.625" style="7" customWidth="1"/>
    <col min="11014" max="11014" width="19.625" style="7" customWidth="1"/>
    <col min="11015" max="11015" width="8.625" style="7" customWidth="1"/>
    <col min="11016" max="11017" width="7.625" style="7" customWidth="1"/>
    <col min="11018" max="11018" width="11.125" style="7" customWidth="1"/>
    <col min="11019" max="11027" width="8.625" style="7" customWidth="1"/>
    <col min="11028" max="11028" width="11.125" style="7" customWidth="1"/>
    <col min="11029" max="11030" width="8.625" style="7" customWidth="1"/>
    <col min="11031" max="11268" width="9" style="7"/>
    <col min="11269" max="11269" width="8.625" style="7" customWidth="1"/>
    <col min="11270" max="11270" width="19.625" style="7" customWidth="1"/>
    <col min="11271" max="11271" width="8.625" style="7" customWidth="1"/>
    <col min="11272" max="11273" width="7.625" style="7" customWidth="1"/>
    <col min="11274" max="11274" width="11.125" style="7" customWidth="1"/>
    <col min="11275" max="11283" width="8.625" style="7" customWidth="1"/>
    <col min="11284" max="11284" width="11.125" style="7" customWidth="1"/>
    <col min="11285" max="11286" width="8.625" style="7" customWidth="1"/>
    <col min="11287" max="11524" width="9" style="7"/>
    <col min="11525" max="11525" width="8.625" style="7" customWidth="1"/>
    <col min="11526" max="11526" width="19.625" style="7" customWidth="1"/>
    <col min="11527" max="11527" width="8.625" style="7" customWidth="1"/>
    <col min="11528" max="11529" width="7.625" style="7" customWidth="1"/>
    <col min="11530" max="11530" width="11.125" style="7" customWidth="1"/>
    <col min="11531" max="11539" width="8.625" style="7" customWidth="1"/>
    <col min="11540" max="11540" width="11.125" style="7" customWidth="1"/>
    <col min="11541" max="11542" width="8.625" style="7" customWidth="1"/>
    <col min="11543" max="11780" width="9" style="7"/>
    <col min="11781" max="11781" width="8.625" style="7" customWidth="1"/>
    <col min="11782" max="11782" width="19.625" style="7" customWidth="1"/>
    <col min="11783" max="11783" width="8.625" style="7" customWidth="1"/>
    <col min="11784" max="11785" width="7.625" style="7" customWidth="1"/>
    <col min="11786" max="11786" width="11.125" style="7" customWidth="1"/>
    <col min="11787" max="11795" width="8.625" style="7" customWidth="1"/>
    <col min="11796" max="11796" width="11.125" style="7" customWidth="1"/>
    <col min="11797" max="11798" width="8.625" style="7" customWidth="1"/>
    <col min="11799" max="12036" width="9" style="7"/>
    <col min="12037" max="12037" width="8.625" style="7" customWidth="1"/>
    <col min="12038" max="12038" width="19.625" style="7" customWidth="1"/>
    <col min="12039" max="12039" width="8.625" style="7" customWidth="1"/>
    <col min="12040" max="12041" width="7.625" style="7" customWidth="1"/>
    <col min="12042" max="12042" width="11.125" style="7" customWidth="1"/>
    <col min="12043" max="12051" width="8.625" style="7" customWidth="1"/>
    <col min="12052" max="12052" width="11.125" style="7" customWidth="1"/>
    <col min="12053" max="12054" width="8.625" style="7" customWidth="1"/>
    <col min="12055" max="12292" width="9" style="7"/>
    <col min="12293" max="12293" width="8.625" style="7" customWidth="1"/>
    <col min="12294" max="12294" width="19.625" style="7" customWidth="1"/>
    <col min="12295" max="12295" width="8.625" style="7" customWidth="1"/>
    <col min="12296" max="12297" width="7.625" style="7" customWidth="1"/>
    <col min="12298" max="12298" width="11.125" style="7" customWidth="1"/>
    <col min="12299" max="12307" width="8.625" style="7" customWidth="1"/>
    <col min="12308" max="12308" width="11.125" style="7" customWidth="1"/>
    <col min="12309" max="12310" width="8.625" style="7" customWidth="1"/>
    <col min="12311" max="12548" width="9" style="7"/>
    <col min="12549" max="12549" width="8.625" style="7" customWidth="1"/>
    <col min="12550" max="12550" width="19.625" style="7" customWidth="1"/>
    <col min="12551" max="12551" width="8.625" style="7" customWidth="1"/>
    <col min="12552" max="12553" width="7.625" style="7" customWidth="1"/>
    <col min="12554" max="12554" width="11.125" style="7" customWidth="1"/>
    <col min="12555" max="12563" width="8.625" style="7" customWidth="1"/>
    <col min="12564" max="12564" width="11.125" style="7" customWidth="1"/>
    <col min="12565" max="12566" width="8.625" style="7" customWidth="1"/>
    <col min="12567" max="12804" width="9" style="7"/>
    <col min="12805" max="12805" width="8.625" style="7" customWidth="1"/>
    <col min="12806" max="12806" width="19.625" style="7" customWidth="1"/>
    <col min="12807" max="12807" width="8.625" style="7" customWidth="1"/>
    <col min="12808" max="12809" width="7.625" style="7" customWidth="1"/>
    <col min="12810" max="12810" width="11.125" style="7" customWidth="1"/>
    <col min="12811" max="12819" width="8.625" style="7" customWidth="1"/>
    <col min="12820" max="12820" width="11.125" style="7" customWidth="1"/>
    <col min="12821" max="12822" width="8.625" style="7" customWidth="1"/>
    <col min="12823" max="13060" width="9" style="7"/>
    <col min="13061" max="13061" width="8.625" style="7" customWidth="1"/>
    <col min="13062" max="13062" width="19.625" style="7" customWidth="1"/>
    <col min="13063" max="13063" width="8.625" style="7" customWidth="1"/>
    <col min="13064" max="13065" width="7.625" style="7" customWidth="1"/>
    <col min="13066" max="13066" width="11.125" style="7" customWidth="1"/>
    <col min="13067" max="13075" width="8.625" style="7" customWidth="1"/>
    <col min="13076" max="13076" width="11.125" style="7" customWidth="1"/>
    <col min="13077" max="13078" width="8.625" style="7" customWidth="1"/>
    <col min="13079" max="13316" width="9" style="7"/>
    <col min="13317" max="13317" width="8.625" style="7" customWidth="1"/>
    <col min="13318" max="13318" width="19.625" style="7" customWidth="1"/>
    <col min="13319" max="13319" width="8.625" style="7" customWidth="1"/>
    <col min="13320" max="13321" width="7.625" style="7" customWidth="1"/>
    <col min="13322" max="13322" width="11.125" style="7" customWidth="1"/>
    <col min="13323" max="13331" width="8.625" style="7" customWidth="1"/>
    <col min="13332" max="13332" width="11.125" style="7" customWidth="1"/>
    <col min="13333" max="13334" width="8.625" style="7" customWidth="1"/>
    <col min="13335" max="13572" width="9" style="7"/>
    <col min="13573" max="13573" width="8.625" style="7" customWidth="1"/>
    <col min="13574" max="13574" width="19.625" style="7" customWidth="1"/>
    <col min="13575" max="13575" width="8.625" style="7" customWidth="1"/>
    <col min="13576" max="13577" width="7.625" style="7" customWidth="1"/>
    <col min="13578" max="13578" width="11.125" style="7" customWidth="1"/>
    <col min="13579" max="13587" width="8.625" style="7" customWidth="1"/>
    <col min="13588" max="13588" width="11.125" style="7" customWidth="1"/>
    <col min="13589" max="13590" width="8.625" style="7" customWidth="1"/>
    <col min="13591" max="13828" width="9" style="7"/>
    <col min="13829" max="13829" width="8.625" style="7" customWidth="1"/>
    <col min="13830" max="13830" width="19.625" style="7" customWidth="1"/>
    <col min="13831" max="13831" width="8.625" style="7" customWidth="1"/>
    <col min="13832" max="13833" width="7.625" style="7" customWidth="1"/>
    <col min="13834" max="13834" width="11.125" style="7" customWidth="1"/>
    <col min="13835" max="13843" width="8.625" style="7" customWidth="1"/>
    <col min="13844" max="13844" width="11.125" style="7" customWidth="1"/>
    <col min="13845" max="13846" width="8.625" style="7" customWidth="1"/>
    <col min="13847" max="14084" width="9" style="7"/>
    <col min="14085" max="14085" width="8.625" style="7" customWidth="1"/>
    <col min="14086" max="14086" width="19.625" style="7" customWidth="1"/>
    <col min="14087" max="14087" width="8.625" style="7" customWidth="1"/>
    <col min="14088" max="14089" width="7.625" style="7" customWidth="1"/>
    <col min="14090" max="14090" width="11.125" style="7" customWidth="1"/>
    <col min="14091" max="14099" width="8.625" style="7" customWidth="1"/>
    <col min="14100" max="14100" width="11.125" style="7" customWidth="1"/>
    <col min="14101" max="14102" width="8.625" style="7" customWidth="1"/>
    <col min="14103" max="14340" width="9" style="7"/>
    <col min="14341" max="14341" width="8.625" style="7" customWidth="1"/>
    <col min="14342" max="14342" width="19.625" style="7" customWidth="1"/>
    <col min="14343" max="14343" width="8.625" style="7" customWidth="1"/>
    <col min="14344" max="14345" width="7.625" style="7" customWidth="1"/>
    <col min="14346" max="14346" width="11.125" style="7" customWidth="1"/>
    <col min="14347" max="14355" width="8.625" style="7" customWidth="1"/>
    <col min="14356" max="14356" width="11.125" style="7" customWidth="1"/>
    <col min="14357" max="14358" width="8.625" style="7" customWidth="1"/>
    <col min="14359" max="14596" width="9" style="7"/>
    <col min="14597" max="14597" width="8.625" style="7" customWidth="1"/>
    <col min="14598" max="14598" width="19.625" style="7" customWidth="1"/>
    <col min="14599" max="14599" width="8.625" style="7" customWidth="1"/>
    <col min="14600" max="14601" width="7.625" style="7" customWidth="1"/>
    <col min="14602" max="14602" width="11.125" style="7" customWidth="1"/>
    <col min="14603" max="14611" width="8.625" style="7" customWidth="1"/>
    <col min="14612" max="14612" width="11.125" style="7" customWidth="1"/>
    <col min="14613" max="14614" width="8.625" style="7" customWidth="1"/>
    <col min="14615" max="14852" width="9" style="7"/>
    <col min="14853" max="14853" width="8.625" style="7" customWidth="1"/>
    <col min="14854" max="14854" width="19.625" style="7" customWidth="1"/>
    <col min="14855" max="14855" width="8.625" style="7" customWidth="1"/>
    <col min="14856" max="14857" width="7.625" style="7" customWidth="1"/>
    <col min="14858" max="14858" width="11.125" style="7" customWidth="1"/>
    <col min="14859" max="14867" width="8.625" style="7" customWidth="1"/>
    <col min="14868" max="14868" width="11.125" style="7" customWidth="1"/>
    <col min="14869" max="14870" width="8.625" style="7" customWidth="1"/>
    <col min="14871" max="15108" width="9" style="7"/>
    <col min="15109" max="15109" width="8.625" style="7" customWidth="1"/>
    <col min="15110" max="15110" width="19.625" style="7" customWidth="1"/>
    <col min="15111" max="15111" width="8.625" style="7" customWidth="1"/>
    <col min="15112" max="15113" width="7.625" style="7" customWidth="1"/>
    <col min="15114" max="15114" width="11.125" style="7" customWidth="1"/>
    <col min="15115" max="15123" width="8.625" style="7" customWidth="1"/>
    <col min="15124" max="15124" width="11.125" style="7" customWidth="1"/>
    <col min="15125" max="15126" width="8.625" style="7" customWidth="1"/>
    <col min="15127" max="15364" width="9" style="7"/>
    <col min="15365" max="15365" width="8.625" style="7" customWidth="1"/>
    <col min="15366" max="15366" width="19.625" style="7" customWidth="1"/>
    <col min="15367" max="15367" width="8.625" style="7" customWidth="1"/>
    <col min="15368" max="15369" width="7.625" style="7" customWidth="1"/>
    <col min="15370" max="15370" width="11.125" style="7" customWidth="1"/>
    <col min="15371" max="15379" width="8.625" style="7" customWidth="1"/>
    <col min="15380" max="15380" width="11.125" style="7" customWidth="1"/>
    <col min="15381" max="15382" width="8.625" style="7" customWidth="1"/>
    <col min="15383" max="15620" width="9" style="7"/>
    <col min="15621" max="15621" width="8.625" style="7" customWidth="1"/>
    <col min="15622" max="15622" width="19.625" style="7" customWidth="1"/>
    <col min="15623" max="15623" width="8.625" style="7" customWidth="1"/>
    <col min="15624" max="15625" width="7.625" style="7" customWidth="1"/>
    <col min="15626" max="15626" width="11.125" style="7" customWidth="1"/>
    <col min="15627" max="15635" width="8.625" style="7" customWidth="1"/>
    <col min="15636" max="15636" width="11.125" style="7" customWidth="1"/>
    <col min="15637" max="15638" width="8.625" style="7" customWidth="1"/>
    <col min="15639" max="15876" width="9" style="7"/>
    <col min="15877" max="15877" width="8.625" style="7" customWidth="1"/>
    <col min="15878" max="15878" width="19.625" style="7" customWidth="1"/>
    <col min="15879" max="15879" width="8.625" style="7" customWidth="1"/>
    <col min="15880" max="15881" width="7.625" style="7" customWidth="1"/>
    <col min="15882" max="15882" width="11.125" style="7" customWidth="1"/>
    <col min="15883" max="15891" width="8.625" style="7" customWidth="1"/>
    <col min="15892" max="15892" width="11.125" style="7" customWidth="1"/>
    <col min="15893" max="15894" width="8.625" style="7" customWidth="1"/>
    <col min="15895" max="16132" width="9" style="7"/>
    <col min="16133" max="16133" width="8.625" style="7" customWidth="1"/>
    <col min="16134" max="16134" width="19.625" style="7" customWidth="1"/>
    <col min="16135" max="16135" width="8.625" style="7" customWidth="1"/>
    <col min="16136" max="16137" width="7.625" style="7" customWidth="1"/>
    <col min="16138" max="16138" width="11.125" style="7" customWidth="1"/>
    <col min="16139" max="16147" width="8.625" style="7" customWidth="1"/>
    <col min="16148" max="16148" width="11.125" style="7" customWidth="1"/>
    <col min="16149" max="16150" width="8.625" style="7" customWidth="1"/>
    <col min="16151" max="16384" width="9" style="7"/>
  </cols>
  <sheetData>
    <row r="1" spans="1:31" s="13" customFormat="1" ht="23.1" customHeight="1">
      <c r="A1" s="219" t="s">
        <v>0</v>
      </c>
      <c r="B1" s="220"/>
      <c r="C1" s="221" t="s">
        <v>35</v>
      </c>
      <c r="D1" s="222"/>
      <c r="E1" s="222"/>
      <c r="F1" s="222"/>
      <c r="G1" s="222"/>
      <c r="H1" s="223"/>
      <c r="I1" s="12" t="s">
        <v>25</v>
      </c>
      <c r="J1" s="224">
        <v>82000000</v>
      </c>
      <c r="K1" s="225"/>
      <c r="L1" s="225"/>
      <c r="M1" s="225"/>
      <c r="N1" s="225"/>
      <c r="O1" s="152"/>
      <c r="P1" s="152"/>
      <c r="Q1" s="321"/>
      <c r="R1" s="226"/>
      <c r="S1" s="227"/>
      <c r="T1" s="231" t="s">
        <v>1</v>
      </c>
      <c r="U1" s="231"/>
      <c r="V1" s="231"/>
    </row>
    <row r="2" spans="1:31" s="13" customFormat="1" ht="23.1" customHeight="1">
      <c r="A2" s="232" t="s">
        <v>26</v>
      </c>
      <c r="B2" s="233"/>
      <c r="C2" s="234" t="s">
        <v>36</v>
      </c>
      <c r="D2" s="235"/>
      <c r="E2" s="235"/>
      <c r="F2" s="235"/>
      <c r="G2" s="235"/>
      <c r="H2" s="236"/>
      <c r="I2" s="14" t="s">
        <v>27</v>
      </c>
      <c r="J2" s="237">
        <v>5634000</v>
      </c>
      <c r="K2" s="238"/>
      <c r="L2" s="238"/>
      <c r="M2" s="238"/>
      <c r="N2" s="238"/>
      <c r="O2" s="153"/>
      <c r="P2" s="153"/>
      <c r="Q2" s="322"/>
      <c r="R2" s="210"/>
      <c r="S2" s="228"/>
      <c r="T2" s="252">
        <v>45903</v>
      </c>
      <c r="U2" s="253"/>
      <c r="V2" s="254"/>
    </row>
    <row r="3" spans="1:31" s="13" customFormat="1" ht="23.1" customHeight="1" thickBot="1">
      <c r="A3" s="241" t="s">
        <v>2</v>
      </c>
      <c r="B3" s="242"/>
      <c r="C3" s="243">
        <f>J1-G141</f>
        <v>7049410</v>
      </c>
      <c r="D3" s="244"/>
      <c r="E3" s="244"/>
      <c r="F3" s="244"/>
      <c r="G3" s="244"/>
      <c r="H3" s="245"/>
      <c r="I3" s="15" t="s">
        <v>3</v>
      </c>
      <c r="J3" s="246">
        <f>SUM(J1:Q2)</f>
        <v>87634000</v>
      </c>
      <c r="K3" s="247"/>
      <c r="L3" s="247"/>
      <c r="M3" s="247"/>
      <c r="N3" s="247"/>
      <c r="O3" s="154"/>
      <c r="P3" s="154"/>
      <c r="Q3" s="323"/>
      <c r="R3" s="210"/>
      <c r="S3" s="228"/>
      <c r="T3" s="255"/>
      <c r="U3" s="256"/>
      <c r="V3" s="257"/>
    </row>
    <row r="4" spans="1:31" s="13" customFormat="1" ht="23.1" customHeight="1" thickBot="1">
      <c r="A4" s="248" t="s">
        <v>4</v>
      </c>
      <c r="B4" s="248"/>
      <c r="C4" s="249">
        <v>8.5999999999999993E-2</v>
      </c>
      <c r="D4" s="249"/>
      <c r="E4" s="250"/>
      <c r="F4" s="250"/>
      <c r="G4" s="250" t="s">
        <v>5</v>
      </c>
      <c r="H4" s="250"/>
      <c r="I4" s="16">
        <f>J3-I141</f>
        <v>5658680</v>
      </c>
      <c r="J4" s="209"/>
      <c r="K4" s="251"/>
      <c r="L4" s="251"/>
      <c r="M4" s="251"/>
      <c r="N4" s="251"/>
      <c r="O4" s="251"/>
      <c r="P4" s="251"/>
      <c r="Q4" s="251"/>
      <c r="R4" s="332"/>
      <c r="S4" s="334"/>
      <c r="T4" s="335"/>
      <c r="U4" s="336"/>
      <c r="V4" s="337"/>
    </row>
    <row r="5" spans="1:31" s="13" customFormat="1" ht="18" customHeight="1" thickBot="1">
      <c r="A5" s="199" t="s">
        <v>6</v>
      </c>
      <c r="B5" s="199"/>
      <c r="C5" s="201" t="s">
        <v>28</v>
      </c>
      <c r="D5" s="203" t="s">
        <v>29</v>
      </c>
      <c r="E5" s="205" t="s">
        <v>23</v>
      </c>
      <c r="F5" s="206"/>
      <c r="G5" s="205" t="s">
        <v>30</v>
      </c>
      <c r="H5" s="206"/>
      <c r="I5" s="216" t="s">
        <v>31</v>
      </c>
      <c r="J5" s="316">
        <v>2025</v>
      </c>
      <c r="K5" s="17"/>
      <c r="L5" s="17"/>
      <c r="M5" s="17"/>
      <c r="N5" s="17"/>
      <c r="O5" s="17"/>
      <c r="P5" s="17"/>
      <c r="Q5" s="318"/>
      <c r="R5" s="331" t="s">
        <v>7</v>
      </c>
      <c r="S5" s="333" t="s">
        <v>8</v>
      </c>
      <c r="T5" s="197" t="s">
        <v>9</v>
      </c>
      <c r="U5" s="212" t="s">
        <v>10</v>
      </c>
      <c r="V5" s="213" t="s">
        <v>11</v>
      </c>
      <c r="X5" s="326">
        <v>2025</v>
      </c>
      <c r="Y5" s="17"/>
      <c r="Z5" s="17"/>
      <c r="AA5" s="17"/>
      <c r="AB5" s="17"/>
      <c r="AC5" s="17"/>
      <c r="AD5" s="17"/>
      <c r="AE5" s="318"/>
    </row>
    <row r="6" spans="1:31" s="13" customFormat="1" ht="44.25" customHeight="1" thickBot="1">
      <c r="A6" s="263"/>
      <c r="B6" s="263"/>
      <c r="C6" s="264"/>
      <c r="D6" s="265"/>
      <c r="E6" s="266"/>
      <c r="F6" s="267"/>
      <c r="G6" s="266"/>
      <c r="H6" s="267"/>
      <c r="I6" s="268"/>
      <c r="J6" s="317" t="s">
        <v>136</v>
      </c>
      <c r="K6" s="317" t="s">
        <v>137</v>
      </c>
      <c r="L6" s="317" t="s">
        <v>138</v>
      </c>
      <c r="M6" s="317" t="s">
        <v>139</v>
      </c>
      <c r="N6" s="317" t="s">
        <v>140</v>
      </c>
      <c r="O6" s="317" t="s">
        <v>141</v>
      </c>
      <c r="P6" s="317" t="s">
        <v>142</v>
      </c>
      <c r="Q6" s="317" t="s">
        <v>143</v>
      </c>
      <c r="R6" s="319"/>
      <c r="S6" s="320"/>
      <c r="T6" s="198"/>
      <c r="U6" s="212"/>
      <c r="V6" s="213"/>
      <c r="X6" s="327" t="s">
        <v>136</v>
      </c>
      <c r="Y6" s="325" t="s">
        <v>137</v>
      </c>
      <c r="Z6" s="317" t="s">
        <v>138</v>
      </c>
      <c r="AA6" s="317" t="s">
        <v>139</v>
      </c>
      <c r="AB6" s="317" t="s">
        <v>140</v>
      </c>
      <c r="AC6" s="317" t="s">
        <v>141</v>
      </c>
      <c r="AD6" s="317" t="s">
        <v>142</v>
      </c>
      <c r="AE6" s="317" t="s">
        <v>143</v>
      </c>
    </row>
    <row r="7" spans="1:31" ht="18.95" customHeight="1" thickTop="1">
      <c r="A7" s="311" t="s">
        <v>37</v>
      </c>
      <c r="B7" s="269" t="s">
        <v>38</v>
      </c>
      <c r="C7" s="155" t="s">
        <v>39</v>
      </c>
      <c r="D7" s="270" t="s">
        <v>40</v>
      </c>
      <c r="E7" s="271">
        <v>450000</v>
      </c>
      <c r="F7" s="192"/>
      <c r="G7" s="271">
        <v>800000</v>
      </c>
      <c r="H7" s="192"/>
      <c r="I7" s="272">
        <v>800000</v>
      </c>
      <c r="J7" s="273">
        <v>0</v>
      </c>
      <c r="K7" s="273">
        <v>0</v>
      </c>
      <c r="L7" s="273">
        <v>300000</v>
      </c>
      <c r="M7" s="273">
        <v>210000</v>
      </c>
      <c r="N7" s="273">
        <v>0</v>
      </c>
      <c r="O7" s="273">
        <v>0</v>
      </c>
      <c r="P7" s="273">
        <v>0</v>
      </c>
      <c r="Q7" s="273">
        <v>0</v>
      </c>
      <c r="R7" s="274">
        <f>SUM(J7:Q7)</f>
        <v>510000</v>
      </c>
      <c r="S7" s="275">
        <f>I7-R7</f>
        <v>290000</v>
      </c>
      <c r="T7" s="276">
        <f>G7-I7</f>
        <v>0</v>
      </c>
      <c r="U7" s="277">
        <v>0</v>
      </c>
      <c r="V7" s="278" t="e">
        <f>R7/U7</f>
        <v>#DIV/0!</v>
      </c>
      <c r="X7" s="328"/>
      <c r="Y7" s="273"/>
      <c r="Z7" s="273"/>
      <c r="AA7" s="273"/>
      <c r="AB7" s="273"/>
      <c r="AC7" s="273"/>
      <c r="AD7" s="273"/>
      <c r="AE7" s="273"/>
    </row>
    <row r="8" spans="1:31" ht="18.95" customHeight="1">
      <c r="A8" s="312"/>
      <c r="B8" s="279" t="s">
        <v>41</v>
      </c>
      <c r="C8" s="280" t="s">
        <v>42</v>
      </c>
      <c r="D8" s="281" t="s">
        <v>43</v>
      </c>
      <c r="E8" s="282">
        <v>0</v>
      </c>
      <c r="F8" s="283"/>
      <c r="G8" s="282">
        <v>1925000</v>
      </c>
      <c r="H8" s="283"/>
      <c r="I8" s="284">
        <v>1137500</v>
      </c>
      <c r="J8" s="285">
        <v>0</v>
      </c>
      <c r="K8" s="285">
        <v>0</v>
      </c>
      <c r="L8" s="285">
        <v>0</v>
      </c>
      <c r="M8" s="285">
        <v>0</v>
      </c>
      <c r="N8" s="285">
        <v>0</v>
      </c>
      <c r="O8" s="285">
        <v>0</v>
      </c>
      <c r="P8" s="285">
        <v>0</v>
      </c>
      <c r="Q8" s="285">
        <v>0</v>
      </c>
      <c r="R8" s="286">
        <f>SUM(J8:Q8)</f>
        <v>0</v>
      </c>
      <c r="S8" s="287">
        <f>I8-R8</f>
        <v>1137500</v>
      </c>
      <c r="T8" s="288">
        <f>G8-I8</f>
        <v>787500</v>
      </c>
      <c r="U8" s="289">
        <v>0</v>
      </c>
      <c r="V8" s="290" t="e">
        <f t="shared" ref="V8:V71" si="0">R8/U8</f>
        <v>#DIV/0!</v>
      </c>
      <c r="X8" s="329"/>
      <c r="Y8" s="285"/>
      <c r="Z8" s="285"/>
      <c r="AA8" s="285"/>
      <c r="AB8" s="285"/>
      <c r="AC8" s="285"/>
      <c r="AD8" s="285"/>
      <c r="AE8" s="285"/>
    </row>
    <row r="9" spans="1:31" ht="18.95" customHeight="1">
      <c r="A9" s="312"/>
      <c r="B9" s="279" t="s">
        <v>44</v>
      </c>
      <c r="C9" s="280" t="s">
        <v>45</v>
      </c>
      <c r="D9" s="281" t="s">
        <v>43</v>
      </c>
      <c r="E9" s="282">
        <v>0</v>
      </c>
      <c r="F9" s="283"/>
      <c r="G9" s="282">
        <v>0</v>
      </c>
      <c r="H9" s="283"/>
      <c r="I9" s="284">
        <v>0</v>
      </c>
      <c r="J9" s="285">
        <v>0</v>
      </c>
      <c r="K9" s="285">
        <v>18400</v>
      </c>
      <c r="L9" s="285">
        <v>0</v>
      </c>
      <c r="M9" s="285">
        <v>0</v>
      </c>
      <c r="N9" s="285">
        <v>0</v>
      </c>
      <c r="O9" s="285">
        <v>0</v>
      </c>
      <c r="P9" s="285">
        <v>0</v>
      </c>
      <c r="Q9" s="285">
        <v>0</v>
      </c>
      <c r="R9" s="286">
        <f>SUM(J9:Q9)</f>
        <v>18400</v>
      </c>
      <c r="S9" s="287">
        <f>I9-R9</f>
        <v>-18400</v>
      </c>
      <c r="T9" s="288">
        <f>G9-I9</f>
        <v>0</v>
      </c>
      <c r="U9" s="289">
        <v>0</v>
      </c>
      <c r="V9" s="290" t="e">
        <f t="shared" si="0"/>
        <v>#DIV/0!</v>
      </c>
      <c r="X9" s="329"/>
      <c r="Y9" s="285"/>
      <c r="Z9" s="285"/>
      <c r="AA9" s="285"/>
      <c r="AB9" s="285"/>
      <c r="AC9" s="285"/>
      <c r="AD9" s="285"/>
      <c r="AE9" s="285"/>
    </row>
    <row r="10" spans="1:31" ht="18.95" customHeight="1">
      <c r="A10" s="312"/>
      <c r="B10" s="279" t="s">
        <v>46</v>
      </c>
      <c r="C10" s="280" t="s">
        <v>47</v>
      </c>
      <c r="D10" s="281" t="s">
        <v>48</v>
      </c>
      <c r="E10" s="282">
        <v>400000</v>
      </c>
      <c r="F10" s="283"/>
      <c r="G10" s="282">
        <v>400000</v>
      </c>
      <c r="H10" s="283"/>
      <c r="I10" s="284">
        <v>400000</v>
      </c>
      <c r="J10" s="285">
        <v>0</v>
      </c>
      <c r="K10" s="285">
        <v>0</v>
      </c>
      <c r="L10" s="285">
        <v>0</v>
      </c>
      <c r="M10" s="285">
        <v>216000</v>
      </c>
      <c r="N10" s="285">
        <v>0</v>
      </c>
      <c r="O10" s="285">
        <v>0</v>
      </c>
      <c r="P10" s="285">
        <v>0</v>
      </c>
      <c r="Q10" s="285">
        <v>0</v>
      </c>
      <c r="R10" s="286">
        <f>SUM(J10:Q10)</f>
        <v>216000</v>
      </c>
      <c r="S10" s="287">
        <f>I10-R10</f>
        <v>184000</v>
      </c>
      <c r="T10" s="288">
        <f>G10-I10</f>
        <v>0</v>
      </c>
      <c r="U10" s="289">
        <v>0</v>
      </c>
      <c r="V10" s="290" t="e">
        <f t="shared" si="0"/>
        <v>#DIV/0!</v>
      </c>
      <c r="X10" s="329"/>
      <c r="Y10" s="285"/>
      <c r="Z10" s="285"/>
      <c r="AA10" s="285"/>
      <c r="AB10" s="285"/>
      <c r="AC10" s="285"/>
      <c r="AD10" s="285"/>
      <c r="AE10" s="285"/>
    </row>
    <row r="11" spans="1:31" ht="18.95" customHeight="1">
      <c r="A11" s="312"/>
      <c r="B11" s="279" t="s">
        <v>49</v>
      </c>
      <c r="C11" s="280" t="s">
        <v>50</v>
      </c>
      <c r="D11" s="281" t="s">
        <v>43</v>
      </c>
      <c r="E11" s="282">
        <v>0</v>
      </c>
      <c r="F11" s="283"/>
      <c r="G11" s="282">
        <v>0</v>
      </c>
      <c r="H11" s="283"/>
      <c r="I11" s="284">
        <v>0</v>
      </c>
      <c r="J11" s="285">
        <v>0</v>
      </c>
      <c r="K11" s="285">
        <v>0</v>
      </c>
      <c r="L11" s="285">
        <v>0</v>
      </c>
      <c r="M11" s="285">
        <v>105000</v>
      </c>
      <c r="N11" s="285">
        <v>174500</v>
      </c>
      <c r="O11" s="285">
        <v>45000</v>
      </c>
      <c r="P11" s="285">
        <v>0</v>
      </c>
      <c r="Q11" s="285">
        <v>0</v>
      </c>
      <c r="R11" s="286">
        <f>SUM(J11:Q11)</f>
        <v>324500</v>
      </c>
      <c r="S11" s="287">
        <f>I11-R11</f>
        <v>-324500</v>
      </c>
      <c r="T11" s="288">
        <f>G11-I11</f>
        <v>0</v>
      </c>
      <c r="U11" s="289">
        <v>0</v>
      </c>
      <c r="V11" s="290" t="e">
        <f t="shared" si="0"/>
        <v>#DIV/0!</v>
      </c>
      <c r="X11" s="329"/>
      <c r="Y11" s="285"/>
      <c r="Z11" s="285"/>
      <c r="AA11" s="285"/>
      <c r="AB11" s="285"/>
      <c r="AC11" s="285"/>
      <c r="AD11" s="285"/>
      <c r="AE11" s="285"/>
    </row>
    <row r="12" spans="1:31" ht="18.95" customHeight="1">
      <c r="A12" s="312"/>
      <c r="B12" s="279" t="s">
        <v>51</v>
      </c>
      <c r="C12" s="280" t="s">
        <v>45</v>
      </c>
      <c r="D12" s="281" t="s">
        <v>43</v>
      </c>
      <c r="E12" s="282">
        <v>0</v>
      </c>
      <c r="F12" s="283"/>
      <c r="G12" s="282">
        <v>0</v>
      </c>
      <c r="H12" s="283"/>
      <c r="I12" s="284">
        <v>0</v>
      </c>
      <c r="J12" s="285">
        <v>0</v>
      </c>
      <c r="K12" s="285">
        <v>0</v>
      </c>
      <c r="L12" s="285">
        <v>29200</v>
      </c>
      <c r="M12" s="285">
        <v>0</v>
      </c>
      <c r="N12" s="285">
        <v>0</v>
      </c>
      <c r="O12" s="285">
        <v>0</v>
      </c>
      <c r="P12" s="285">
        <v>0</v>
      </c>
      <c r="Q12" s="285">
        <v>0</v>
      </c>
      <c r="R12" s="286">
        <f>SUM(J12:Q12)</f>
        <v>29200</v>
      </c>
      <c r="S12" s="287">
        <f>I12-R12</f>
        <v>-29200</v>
      </c>
      <c r="T12" s="288">
        <f>G12-I12</f>
        <v>0</v>
      </c>
      <c r="U12" s="289">
        <v>0</v>
      </c>
      <c r="V12" s="290" t="e">
        <f t="shared" si="0"/>
        <v>#DIV/0!</v>
      </c>
      <c r="X12" s="329"/>
      <c r="Y12" s="285"/>
      <c r="Z12" s="285"/>
      <c r="AA12" s="285"/>
      <c r="AB12" s="285"/>
      <c r="AC12" s="285"/>
      <c r="AD12" s="285"/>
      <c r="AE12" s="285"/>
    </row>
    <row r="13" spans="1:31" ht="18.95" customHeight="1">
      <c r="A13" s="312"/>
      <c r="B13" s="279" t="s">
        <v>52</v>
      </c>
      <c r="C13" s="280" t="s">
        <v>50</v>
      </c>
      <c r="D13" s="281" t="s">
        <v>43</v>
      </c>
      <c r="E13" s="282">
        <v>0</v>
      </c>
      <c r="F13" s="283"/>
      <c r="G13" s="282">
        <v>0</v>
      </c>
      <c r="H13" s="283"/>
      <c r="I13" s="284">
        <v>0</v>
      </c>
      <c r="J13" s="285">
        <v>0</v>
      </c>
      <c r="K13" s="285">
        <v>0</v>
      </c>
      <c r="L13" s="285">
        <v>0</v>
      </c>
      <c r="M13" s="285">
        <v>0</v>
      </c>
      <c r="N13" s="285">
        <v>1325</v>
      </c>
      <c r="O13" s="285">
        <v>0</v>
      </c>
      <c r="P13" s="285">
        <v>0</v>
      </c>
      <c r="Q13" s="285">
        <v>0</v>
      </c>
      <c r="R13" s="286">
        <f>SUM(J13:Q13)</f>
        <v>1325</v>
      </c>
      <c r="S13" s="287">
        <f>I13-R13</f>
        <v>-1325</v>
      </c>
      <c r="T13" s="288">
        <f>G13-I13</f>
        <v>0</v>
      </c>
      <c r="U13" s="289">
        <v>0</v>
      </c>
      <c r="V13" s="290" t="e">
        <f t="shared" si="0"/>
        <v>#DIV/0!</v>
      </c>
      <c r="X13" s="329"/>
      <c r="Y13" s="285"/>
      <c r="Z13" s="285"/>
      <c r="AA13" s="285"/>
      <c r="AB13" s="285"/>
      <c r="AC13" s="285"/>
      <c r="AD13" s="285"/>
      <c r="AE13" s="285"/>
    </row>
    <row r="14" spans="1:31" ht="18.95" customHeight="1">
      <c r="A14" s="312"/>
      <c r="B14" s="279" t="s">
        <v>53</v>
      </c>
      <c r="C14" s="280" t="s">
        <v>45</v>
      </c>
      <c r="D14" s="281" t="s">
        <v>43</v>
      </c>
      <c r="E14" s="282">
        <v>0</v>
      </c>
      <c r="F14" s="283"/>
      <c r="G14" s="282">
        <v>0</v>
      </c>
      <c r="H14" s="283"/>
      <c r="I14" s="284">
        <v>0</v>
      </c>
      <c r="J14" s="285">
        <v>0</v>
      </c>
      <c r="K14" s="285">
        <v>0</v>
      </c>
      <c r="L14" s="285">
        <v>32465</v>
      </c>
      <c r="M14" s="285">
        <v>0</v>
      </c>
      <c r="N14" s="285">
        <v>0</v>
      </c>
      <c r="O14" s="285">
        <v>0</v>
      </c>
      <c r="P14" s="285">
        <v>0</v>
      </c>
      <c r="Q14" s="285">
        <v>0</v>
      </c>
      <c r="R14" s="286">
        <f>SUM(J14:Q14)</f>
        <v>32465</v>
      </c>
      <c r="S14" s="287">
        <f>I14-R14</f>
        <v>-32465</v>
      </c>
      <c r="T14" s="288">
        <f>G14-I14</f>
        <v>0</v>
      </c>
      <c r="U14" s="289">
        <v>0</v>
      </c>
      <c r="V14" s="290" t="e">
        <f t="shared" si="0"/>
        <v>#DIV/0!</v>
      </c>
      <c r="X14" s="329"/>
      <c r="Y14" s="285"/>
      <c r="Z14" s="285"/>
      <c r="AA14" s="285"/>
      <c r="AB14" s="285"/>
      <c r="AC14" s="285"/>
      <c r="AD14" s="285"/>
      <c r="AE14" s="285"/>
    </row>
    <row r="15" spans="1:31" ht="18.95" customHeight="1">
      <c r="A15" s="312"/>
      <c r="B15" s="279" t="s">
        <v>54</v>
      </c>
      <c r="C15" s="280" t="s">
        <v>42</v>
      </c>
      <c r="D15" s="281" t="s">
        <v>43</v>
      </c>
      <c r="E15" s="282">
        <v>250000</v>
      </c>
      <c r="F15" s="283"/>
      <c r="G15" s="282">
        <v>250000</v>
      </c>
      <c r="H15" s="283"/>
      <c r="I15" s="284">
        <v>250000</v>
      </c>
      <c r="J15" s="285">
        <v>0</v>
      </c>
      <c r="K15" s="285">
        <v>0</v>
      </c>
      <c r="L15" s="285">
        <v>143000</v>
      </c>
      <c r="M15" s="285">
        <v>0</v>
      </c>
      <c r="N15" s="285">
        <v>0</v>
      </c>
      <c r="O15" s="285">
        <v>0</v>
      </c>
      <c r="P15" s="285">
        <v>0</v>
      </c>
      <c r="Q15" s="285">
        <v>0</v>
      </c>
      <c r="R15" s="286">
        <f>SUM(J15:Q15)</f>
        <v>143000</v>
      </c>
      <c r="S15" s="287">
        <f>I15-R15</f>
        <v>107000</v>
      </c>
      <c r="T15" s="288">
        <f>G15-I15</f>
        <v>0</v>
      </c>
      <c r="U15" s="289">
        <v>0</v>
      </c>
      <c r="V15" s="290" t="e">
        <f t="shared" si="0"/>
        <v>#DIV/0!</v>
      </c>
      <c r="X15" s="329"/>
      <c r="Y15" s="285"/>
      <c r="Z15" s="285"/>
      <c r="AA15" s="285"/>
      <c r="AB15" s="285"/>
      <c r="AC15" s="285"/>
      <c r="AD15" s="285"/>
      <c r="AE15" s="285"/>
    </row>
    <row r="16" spans="1:31" ht="18.95" customHeight="1">
      <c r="A16" s="312"/>
      <c r="B16" s="279" t="s">
        <v>55</v>
      </c>
      <c r="C16" s="280" t="s">
        <v>45</v>
      </c>
      <c r="D16" s="281" t="s">
        <v>43</v>
      </c>
      <c r="E16" s="282">
        <v>0</v>
      </c>
      <c r="F16" s="283"/>
      <c r="G16" s="282">
        <v>0</v>
      </c>
      <c r="H16" s="283"/>
      <c r="I16" s="284">
        <v>0</v>
      </c>
      <c r="J16" s="285">
        <v>0</v>
      </c>
      <c r="K16" s="285">
        <v>0</v>
      </c>
      <c r="L16" s="285">
        <v>37200</v>
      </c>
      <c r="M16" s="285">
        <v>58270</v>
      </c>
      <c r="N16" s="285">
        <v>0</v>
      </c>
      <c r="O16" s="285">
        <v>0</v>
      </c>
      <c r="P16" s="285">
        <v>0</v>
      </c>
      <c r="Q16" s="285">
        <v>0</v>
      </c>
      <c r="R16" s="286">
        <f>SUM(J16:Q16)</f>
        <v>95470</v>
      </c>
      <c r="S16" s="287">
        <f>I16-R16</f>
        <v>-95470</v>
      </c>
      <c r="T16" s="288">
        <f>G16-I16</f>
        <v>0</v>
      </c>
      <c r="U16" s="289">
        <v>0</v>
      </c>
      <c r="V16" s="290" t="e">
        <f t="shared" si="0"/>
        <v>#DIV/0!</v>
      </c>
      <c r="X16" s="329"/>
      <c r="Y16" s="285"/>
      <c r="Z16" s="285"/>
      <c r="AA16" s="285"/>
      <c r="AB16" s="285"/>
      <c r="AC16" s="285"/>
      <c r="AD16" s="285"/>
      <c r="AE16" s="285"/>
    </row>
    <row r="17" spans="1:31" ht="18.95" customHeight="1">
      <c r="A17" s="312"/>
      <c r="B17" s="279" t="s">
        <v>56</v>
      </c>
      <c r="C17" s="280" t="s">
        <v>57</v>
      </c>
      <c r="D17" s="281" t="s">
        <v>43</v>
      </c>
      <c r="E17" s="282">
        <v>0</v>
      </c>
      <c r="F17" s="283"/>
      <c r="G17" s="282">
        <v>0</v>
      </c>
      <c r="H17" s="283"/>
      <c r="I17" s="284">
        <v>0</v>
      </c>
      <c r="J17" s="285">
        <v>199000</v>
      </c>
      <c r="K17" s="285">
        <v>8000</v>
      </c>
      <c r="L17" s="285">
        <v>0</v>
      </c>
      <c r="M17" s="285">
        <v>0</v>
      </c>
      <c r="N17" s="285">
        <v>0</v>
      </c>
      <c r="O17" s="285">
        <v>0</v>
      </c>
      <c r="P17" s="285">
        <v>0</v>
      </c>
      <c r="Q17" s="285">
        <v>0</v>
      </c>
      <c r="R17" s="286">
        <f>SUM(J17:Q17)</f>
        <v>207000</v>
      </c>
      <c r="S17" s="287">
        <f>I17-R17</f>
        <v>-207000</v>
      </c>
      <c r="T17" s="288">
        <f>G17-I17</f>
        <v>0</v>
      </c>
      <c r="U17" s="289">
        <v>0</v>
      </c>
      <c r="V17" s="290" t="e">
        <f t="shared" si="0"/>
        <v>#DIV/0!</v>
      </c>
      <c r="X17" s="329"/>
      <c r="Y17" s="285"/>
      <c r="Z17" s="285"/>
      <c r="AA17" s="285"/>
      <c r="AB17" s="285"/>
      <c r="AC17" s="285"/>
      <c r="AD17" s="285"/>
      <c r="AE17" s="285"/>
    </row>
    <row r="18" spans="1:31" ht="18.95" customHeight="1">
      <c r="A18" s="312"/>
      <c r="B18" s="279" t="s">
        <v>58</v>
      </c>
      <c r="C18" s="280" t="s">
        <v>57</v>
      </c>
      <c r="D18" s="281" t="s">
        <v>43</v>
      </c>
      <c r="E18" s="282">
        <v>0</v>
      </c>
      <c r="F18" s="283"/>
      <c r="G18" s="282">
        <v>100000</v>
      </c>
      <c r="H18" s="283"/>
      <c r="I18" s="284">
        <v>195800</v>
      </c>
      <c r="J18" s="285">
        <v>0</v>
      </c>
      <c r="K18" s="285">
        <v>0</v>
      </c>
      <c r="L18" s="285">
        <v>103800</v>
      </c>
      <c r="M18" s="285">
        <v>32000</v>
      </c>
      <c r="N18" s="285">
        <v>20000</v>
      </c>
      <c r="O18" s="285">
        <v>20000</v>
      </c>
      <c r="P18" s="285">
        <v>0</v>
      </c>
      <c r="Q18" s="285">
        <v>0</v>
      </c>
      <c r="R18" s="286">
        <f>SUM(J18:Q18)</f>
        <v>175800</v>
      </c>
      <c r="S18" s="287">
        <f>I18-R18</f>
        <v>20000</v>
      </c>
      <c r="T18" s="288">
        <f>G18-I18</f>
        <v>-95800</v>
      </c>
      <c r="U18" s="289">
        <v>0</v>
      </c>
      <c r="V18" s="290" t="e">
        <f t="shared" si="0"/>
        <v>#DIV/0!</v>
      </c>
      <c r="X18" s="329"/>
      <c r="Y18" s="285"/>
      <c r="Z18" s="285"/>
      <c r="AA18" s="285"/>
      <c r="AB18" s="285"/>
      <c r="AC18" s="285"/>
      <c r="AD18" s="285"/>
      <c r="AE18" s="285"/>
    </row>
    <row r="19" spans="1:31" ht="18.95" customHeight="1">
      <c r="A19" s="312"/>
      <c r="B19" s="279" t="s">
        <v>59</v>
      </c>
      <c r="C19" s="280" t="s">
        <v>42</v>
      </c>
      <c r="D19" s="281" t="s">
        <v>43</v>
      </c>
      <c r="E19" s="282">
        <v>0</v>
      </c>
      <c r="F19" s="283"/>
      <c r="G19" s="282">
        <v>0</v>
      </c>
      <c r="H19" s="283"/>
      <c r="I19" s="284">
        <v>0</v>
      </c>
      <c r="J19" s="285">
        <v>0</v>
      </c>
      <c r="K19" s="285">
        <v>0</v>
      </c>
      <c r="L19" s="285">
        <v>558700</v>
      </c>
      <c r="M19" s="285">
        <v>409250</v>
      </c>
      <c r="N19" s="285">
        <v>130200</v>
      </c>
      <c r="O19" s="285">
        <v>105000</v>
      </c>
      <c r="P19" s="285">
        <v>0</v>
      </c>
      <c r="Q19" s="285">
        <v>0</v>
      </c>
      <c r="R19" s="286">
        <f>SUM(J19:Q19)</f>
        <v>1203150</v>
      </c>
      <c r="S19" s="287">
        <f>I19-R19</f>
        <v>-1203150</v>
      </c>
      <c r="T19" s="288">
        <f>G19-I19</f>
        <v>0</v>
      </c>
      <c r="U19" s="289">
        <v>0</v>
      </c>
      <c r="V19" s="290" t="e">
        <f t="shared" si="0"/>
        <v>#DIV/0!</v>
      </c>
      <c r="X19" s="329"/>
      <c r="Y19" s="285"/>
      <c r="Z19" s="285"/>
      <c r="AA19" s="285"/>
      <c r="AB19" s="285"/>
      <c r="AC19" s="285"/>
      <c r="AD19" s="285"/>
      <c r="AE19" s="285"/>
    </row>
    <row r="20" spans="1:31" ht="18.95" customHeight="1">
      <c r="A20" s="312"/>
      <c r="B20" s="279" t="s">
        <v>60</v>
      </c>
      <c r="C20" s="280" t="s">
        <v>39</v>
      </c>
      <c r="D20" s="281" t="s">
        <v>43</v>
      </c>
      <c r="E20" s="282">
        <v>0</v>
      </c>
      <c r="F20" s="283"/>
      <c r="G20" s="282">
        <v>0</v>
      </c>
      <c r="H20" s="283"/>
      <c r="I20" s="284">
        <v>0</v>
      </c>
      <c r="J20" s="285">
        <v>0</v>
      </c>
      <c r="K20" s="285">
        <v>0</v>
      </c>
      <c r="L20" s="285">
        <v>22000</v>
      </c>
      <c r="M20" s="285">
        <v>0</v>
      </c>
      <c r="N20" s="285">
        <v>0</v>
      </c>
      <c r="O20" s="285">
        <v>0</v>
      </c>
      <c r="P20" s="285">
        <v>0</v>
      </c>
      <c r="Q20" s="285">
        <v>0</v>
      </c>
      <c r="R20" s="286">
        <f>SUM(J20:Q20)</f>
        <v>22000</v>
      </c>
      <c r="S20" s="287">
        <f>I20-R20</f>
        <v>-22000</v>
      </c>
      <c r="T20" s="288">
        <f>G20-I20</f>
        <v>0</v>
      </c>
      <c r="U20" s="289">
        <v>0</v>
      </c>
      <c r="V20" s="290" t="e">
        <f t="shared" si="0"/>
        <v>#DIV/0!</v>
      </c>
      <c r="X20" s="329"/>
      <c r="Y20" s="285"/>
      <c r="Z20" s="285"/>
      <c r="AA20" s="285"/>
      <c r="AB20" s="285"/>
      <c r="AC20" s="285"/>
      <c r="AD20" s="285"/>
      <c r="AE20" s="285"/>
    </row>
    <row r="21" spans="1:31" ht="18.95" customHeight="1">
      <c r="A21" s="312"/>
      <c r="B21" s="279" t="s">
        <v>61</v>
      </c>
      <c r="C21" s="280" t="s">
        <v>57</v>
      </c>
      <c r="D21" s="281" t="s">
        <v>62</v>
      </c>
      <c r="E21" s="282">
        <v>530000</v>
      </c>
      <c r="F21" s="283"/>
      <c r="G21" s="282">
        <v>650000</v>
      </c>
      <c r="H21" s="283"/>
      <c r="I21" s="284">
        <v>650000</v>
      </c>
      <c r="J21" s="285">
        <v>0</v>
      </c>
      <c r="K21" s="285">
        <v>0</v>
      </c>
      <c r="L21" s="285">
        <v>351000</v>
      </c>
      <c r="M21" s="285">
        <v>0</v>
      </c>
      <c r="N21" s="285">
        <v>0</v>
      </c>
      <c r="O21" s="285">
        <v>0</v>
      </c>
      <c r="P21" s="285">
        <v>0</v>
      </c>
      <c r="Q21" s="285">
        <v>0</v>
      </c>
      <c r="R21" s="286">
        <f>SUM(J21:Q21)</f>
        <v>351000</v>
      </c>
      <c r="S21" s="287">
        <f>I21-R21</f>
        <v>299000</v>
      </c>
      <c r="T21" s="288">
        <f>G21-I21</f>
        <v>0</v>
      </c>
      <c r="U21" s="289">
        <v>1</v>
      </c>
      <c r="V21" s="290">
        <f t="shared" si="0"/>
        <v>351000</v>
      </c>
      <c r="X21" s="329"/>
      <c r="Y21" s="285"/>
      <c r="Z21" s="285"/>
      <c r="AA21" s="285"/>
      <c r="AB21" s="285"/>
      <c r="AC21" s="285"/>
      <c r="AD21" s="285"/>
      <c r="AE21" s="285"/>
    </row>
    <row r="22" spans="1:31" ht="18.95" customHeight="1">
      <c r="A22" s="312"/>
      <c r="B22" s="279" t="s">
        <v>61</v>
      </c>
      <c r="C22" s="280" t="s">
        <v>57</v>
      </c>
      <c r="D22" s="281" t="s">
        <v>43</v>
      </c>
      <c r="E22" s="282">
        <v>0</v>
      </c>
      <c r="F22" s="283"/>
      <c r="G22" s="282">
        <v>0</v>
      </c>
      <c r="H22" s="283"/>
      <c r="I22" s="284">
        <v>0</v>
      </c>
      <c r="J22" s="285">
        <v>0</v>
      </c>
      <c r="K22" s="285">
        <v>0</v>
      </c>
      <c r="L22" s="285">
        <v>0</v>
      </c>
      <c r="M22" s="285">
        <v>78392</v>
      </c>
      <c r="N22" s="285">
        <v>33674</v>
      </c>
      <c r="O22" s="285">
        <v>54816</v>
      </c>
      <c r="P22" s="285">
        <v>0</v>
      </c>
      <c r="Q22" s="285">
        <v>0</v>
      </c>
      <c r="R22" s="286">
        <f>SUM(J22:Q22)</f>
        <v>166882</v>
      </c>
      <c r="S22" s="287">
        <f>I22-R22</f>
        <v>-166882</v>
      </c>
      <c r="T22" s="288">
        <f>G22-I22</f>
        <v>0</v>
      </c>
      <c r="U22" s="289">
        <v>0</v>
      </c>
      <c r="V22" s="290" t="e">
        <f t="shared" si="0"/>
        <v>#DIV/0!</v>
      </c>
      <c r="X22" s="329"/>
      <c r="Y22" s="285"/>
      <c r="Z22" s="285"/>
      <c r="AA22" s="285"/>
      <c r="AB22" s="285"/>
      <c r="AC22" s="285"/>
      <c r="AD22" s="285"/>
      <c r="AE22" s="285"/>
    </row>
    <row r="23" spans="1:31" ht="18.95" customHeight="1">
      <c r="A23" s="312"/>
      <c r="B23" s="279" t="s">
        <v>63</v>
      </c>
      <c r="C23" s="280" t="s">
        <v>57</v>
      </c>
      <c r="D23" s="281" t="s">
        <v>43</v>
      </c>
      <c r="E23" s="282">
        <v>0</v>
      </c>
      <c r="F23" s="283"/>
      <c r="G23" s="282">
        <v>0</v>
      </c>
      <c r="H23" s="283"/>
      <c r="I23" s="284">
        <v>0</v>
      </c>
      <c r="J23" s="285">
        <v>0</v>
      </c>
      <c r="K23" s="285">
        <v>0</v>
      </c>
      <c r="L23" s="285">
        <v>128190</v>
      </c>
      <c r="M23" s="285">
        <v>0</v>
      </c>
      <c r="N23" s="285">
        <v>0</v>
      </c>
      <c r="O23" s="285">
        <v>0</v>
      </c>
      <c r="P23" s="285">
        <v>0</v>
      </c>
      <c r="Q23" s="285">
        <v>0</v>
      </c>
      <c r="R23" s="286">
        <f>SUM(J23:Q23)</f>
        <v>128190</v>
      </c>
      <c r="S23" s="287">
        <f>I23-R23</f>
        <v>-128190</v>
      </c>
      <c r="T23" s="288">
        <f>G23-I23</f>
        <v>0</v>
      </c>
      <c r="U23" s="289">
        <v>0</v>
      </c>
      <c r="V23" s="290" t="e">
        <f t="shared" si="0"/>
        <v>#DIV/0!</v>
      </c>
      <c r="X23" s="329"/>
      <c r="Y23" s="285"/>
      <c r="Z23" s="285"/>
      <c r="AA23" s="285"/>
      <c r="AB23" s="285"/>
      <c r="AC23" s="285"/>
      <c r="AD23" s="285"/>
      <c r="AE23" s="285"/>
    </row>
    <row r="24" spans="1:31" ht="18.95" customHeight="1">
      <c r="A24" s="312"/>
      <c r="B24" s="279"/>
      <c r="C24" s="280" t="s">
        <v>57</v>
      </c>
      <c r="D24" s="281" t="s">
        <v>43</v>
      </c>
      <c r="E24" s="282">
        <v>0</v>
      </c>
      <c r="F24" s="283"/>
      <c r="G24" s="282">
        <v>0</v>
      </c>
      <c r="H24" s="283"/>
      <c r="I24" s="284">
        <v>0</v>
      </c>
      <c r="J24" s="285">
        <v>0</v>
      </c>
      <c r="K24" s="285">
        <v>0</v>
      </c>
      <c r="L24" s="285">
        <v>0</v>
      </c>
      <c r="M24" s="285">
        <v>0</v>
      </c>
      <c r="N24" s="285">
        <v>0</v>
      </c>
      <c r="O24" s="285">
        <v>0</v>
      </c>
      <c r="P24" s="285">
        <v>0</v>
      </c>
      <c r="Q24" s="285">
        <v>0</v>
      </c>
      <c r="R24" s="286">
        <f>SUM(J24:Q24)</f>
        <v>0</v>
      </c>
      <c r="S24" s="287">
        <f>I24-R24</f>
        <v>0</v>
      </c>
      <c r="T24" s="288">
        <f>G24-I24</f>
        <v>0</v>
      </c>
      <c r="U24" s="289">
        <v>0</v>
      </c>
      <c r="V24" s="290" t="e">
        <f t="shared" si="0"/>
        <v>#DIV/0!</v>
      </c>
      <c r="X24" s="329"/>
      <c r="Y24" s="285"/>
      <c r="Z24" s="285"/>
      <c r="AA24" s="285"/>
      <c r="AB24" s="285"/>
      <c r="AC24" s="285"/>
      <c r="AD24" s="285"/>
      <c r="AE24" s="285"/>
    </row>
    <row r="25" spans="1:31" ht="18.95" customHeight="1">
      <c r="A25" s="312"/>
      <c r="B25" s="279"/>
      <c r="C25" s="280" t="s">
        <v>47</v>
      </c>
      <c r="D25" s="281" t="s">
        <v>43</v>
      </c>
      <c r="E25" s="282">
        <v>0</v>
      </c>
      <c r="F25" s="283"/>
      <c r="G25" s="282">
        <v>0</v>
      </c>
      <c r="H25" s="283"/>
      <c r="I25" s="284">
        <v>0</v>
      </c>
      <c r="J25" s="285">
        <v>0</v>
      </c>
      <c r="K25" s="285">
        <v>0</v>
      </c>
      <c r="L25" s="285">
        <v>0</v>
      </c>
      <c r="M25" s="285">
        <v>0</v>
      </c>
      <c r="N25" s="285">
        <v>0</v>
      </c>
      <c r="O25" s="285">
        <v>0</v>
      </c>
      <c r="P25" s="285">
        <v>0</v>
      </c>
      <c r="Q25" s="285">
        <v>0</v>
      </c>
      <c r="R25" s="286">
        <f>SUM(J25:Q25)</f>
        <v>0</v>
      </c>
      <c r="S25" s="287">
        <f>I25-R25</f>
        <v>0</v>
      </c>
      <c r="T25" s="288">
        <f>G25-I25</f>
        <v>0</v>
      </c>
      <c r="U25" s="289">
        <v>0</v>
      </c>
      <c r="V25" s="290" t="e">
        <f t="shared" si="0"/>
        <v>#DIV/0!</v>
      </c>
      <c r="X25" s="329"/>
      <c r="Y25" s="285"/>
      <c r="Z25" s="285"/>
      <c r="AA25" s="285"/>
      <c r="AB25" s="285"/>
      <c r="AC25" s="285"/>
      <c r="AD25" s="285"/>
      <c r="AE25" s="285"/>
    </row>
    <row r="26" spans="1:31" ht="18.95" customHeight="1">
      <c r="A26" s="312"/>
      <c r="B26" s="279"/>
      <c r="C26" s="280" t="s">
        <v>39</v>
      </c>
      <c r="D26" s="281" t="s">
        <v>43</v>
      </c>
      <c r="E26" s="282">
        <v>0</v>
      </c>
      <c r="F26" s="283"/>
      <c r="G26" s="282">
        <v>0</v>
      </c>
      <c r="H26" s="283"/>
      <c r="I26" s="284">
        <v>0</v>
      </c>
      <c r="J26" s="285">
        <v>0</v>
      </c>
      <c r="K26" s="285">
        <v>0</v>
      </c>
      <c r="L26" s="285">
        <v>0</v>
      </c>
      <c r="M26" s="285">
        <v>0</v>
      </c>
      <c r="N26" s="285">
        <v>0</v>
      </c>
      <c r="O26" s="285">
        <v>0</v>
      </c>
      <c r="P26" s="285">
        <v>0</v>
      </c>
      <c r="Q26" s="285">
        <v>0</v>
      </c>
      <c r="R26" s="286">
        <f>SUM(J26:Q26)</f>
        <v>0</v>
      </c>
      <c r="S26" s="287">
        <f>I26-R26</f>
        <v>0</v>
      </c>
      <c r="T26" s="288">
        <f>G26-I26</f>
        <v>0</v>
      </c>
      <c r="U26" s="289">
        <v>0</v>
      </c>
      <c r="V26" s="290" t="e">
        <f t="shared" si="0"/>
        <v>#DIV/0!</v>
      </c>
      <c r="X26" s="329"/>
      <c r="Y26" s="285"/>
      <c r="Z26" s="285"/>
      <c r="AA26" s="285"/>
      <c r="AB26" s="285"/>
      <c r="AC26" s="285"/>
      <c r="AD26" s="285"/>
      <c r="AE26" s="285"/>
    </row>
    <row r="27" spans="1:31" ht="18.95" customHeight="1">
      <c r="A27" s="312"/>
      <c r="B27" s="279"/>
      <c r="C27" s="280" t="s">
        <v>45</v>
      </c>
      <c r="D27" s="281" t="s">
        <v>43</v>
      </c>
      <c r="E27" s="282">
        <v>0</v>
      </c>
      <c r="F27" s="283"/>
      <c r="G27" s="282">
        <v>0</v>
      </c>
      <c r="H27" s="283"/>
      <c r="I27" s="284">
        <v>200000</v>
      </c>
      <c r="J27" s="285">
        <v>0</v>
      </c>
      <c r="K27" s="285">
        <v>0</v>
      </c>
      <c r="L27" s="285">
        <v>0</v>
      </c>
      <c r="M27" s="285">
        <v>0</v>
      </c>
      <c r="N27" s="285">
        <v>0</v>
      </c>
      <c r="O27" s="285">
        <v>0</v>
      </c>
      <c r="P27" s="285">
        <v>0</v>
      </c>
      <c r="Q27" s="285">
        <v>0</v>
      </c>
      <c r="R27" s="286">
        <f>SUM(J27:Q27)</f>
        <v>0</v>
      </c>
      <c r="S27" s="287">
        <f>I27-R27</f>
        <v>200000</v>
      </c>
      <c r="T27" s="288">
        <f>G27-I27</f>
        <v>-200000</v>
      </c>
      <c r="U27" s="289">
        <v>0</v>
      </c>
      <c r="V27" s="290" t="e">
        <f t="shared" si="0"/>
        <v>#DIV/0!</v>
      </c>
      <c r="X27" s="329"/>
      <c r="Y27" s="285"/>
      <c r="Z27" s="285"/>
      <c r="AA27" s="285"/>
      <c r="AB27" s="285"/>
      <c r="AC27" s="285"/>
      <c r="AD27" s="285"/>
      <c r="AE27" s="285"/>
    </row>
    <row r="28" spans="1:31" ht="18.95" customHeight="1">
      <c r="A28" s="312"/>
      <c r="B28" s="279"/>
      <c r="C28" s="280" t="s">
        <v>42</v>
      </c>
      <c r="D28" s="281" t="s">
        <v>43</v>
      </c>
      <c r="E28" s="282">
        <v>1609000</v>
      </c>
      <c r="F28" s="283"/>
      <c r="G28" s="282">
        <v>0</v>
      </c>
      <c r="H28" s="283"/>
      <c r="I28" s="284">
        <v>0</v>
      </c>
      <c r="J28" s="285">
        <v>0</v>
      </c>
      <c r="K28" s="285">
        <v>0</v>
      </c>
      <c r="L28" s="285">
        <v>0</v>
      </c>
      <c r="M28" s="285">
        <v>0</v>
      </c>
      <c r="N28" s="285">
        <v>0</v>
      </c>
      <c r="O28" s="285">
        <v>0</v>
      </c>
      <c r="P28" s="285">
        <v>0</v>
      </c>
      <c r="Q28" s="285">
        <v>0</v>
      </c>
      <c r="R28" s="286">
        <f>SUM(J28:Q28)</f>
        <v>0</v>
      </c>
      <c r="S28" s="287">
        <f>I28-R28</f>
        <v>0</v>
      </c>
      <c r="T28" s="288">
        <f>G28-I28</f>
        <v>0</v>
      </c>
      <c r="U28" s="289">
        <v>0</v>
      </c>
      <c r="V28" s="290" t="e">
        <f t="shared" si="0"/>
        <v>#DIV/0!</v>
      </c>
      <c r="X28" s="329"/>
      <c r="Y28" s="285"/>
      <c r="Z28" s="285"/>
      <c r="AA28" s="285"/>
      <c r="AB28" s="285"/>
      <c r="AC28" s="285"/>
      <c r="AD28" s="285"/>
      <c r="AE28" s="285"/>
    </row>
    <row r="29" spans="1:31" ht="18.95" customHeight="1">
      <c r="A29" s="312"/>
      <c r="B29" s="279"/>
      <c r="C29" s="280" t="s">
        <v>64</v>
      </c>
      <c r="D29" s="281" t="s">
        <v>43</v>
      </c>
      <c r="E29" s="282">
        <v>0</v>
      </c>
      <c r="F29" s="283"/>
      <c r="G29" s="282">
        <v>0</v>
      </c>
      <c r="H29" s="283"/>
      <c r="I29" s="284">
        <v>0</v>
      </c>
      <c r="J29" s="285">
        <v>0</v>
      </c>
      <c r="K29" s="285">
        <v>0</v>
      </c>
      <c r="L29" s="285">
        <v>0</v>
      </c>
      <c r="M29" s="285">
        <v>0</v>
      </c>
      <c r="N29" s="285">
        <v>0</v>
      </c>
      <c r="O29" s="285">
        <v>0</v>
      </c>
      <c r="P29" s="285">
        <v>0</v>
      </c>
      <c r="Q29" s="285">
        <v>0</v>
      </c>
      <c r="R29" s="286">
        <f>SUM(J29:Q29)</f>
        <v>0</v>
      </c>
      <c r="S29" s="287">
        <f>I29-R29</f>
        <v>0</v>
      </c>
      <c r="T29" s="288">
        <f>G29-I29</f>
        <v>0</v>
      </c>
      <c r="U29" s="289">
        <v>0</v>
      </c>
      <c r="V29" s="290" t="e">
        <f t="shared" si="0"/>
        <v>#DIV/0!</v>
      </c>
      <c r="X29" s="329"/>
      <c r="Y29" s="285"/>
      <c r="Z29" s="285"/>
      <c r="AA29" s="285"/>
      <c r="AB29" s="285"/>
      <c r="AC29" s="285"/>
      <c r="AD29" s="285"/>
      <c r="AE29" s="285"/>
    </row>
    <row r="30" spans="1:31" ht="18.95" customHeight="1">
      <c r="A30" s="313"/>
      <c r="B30" s="279"/>
      <c r="C30" s="280" t="s">
        <v>50</v>
      </c>
      <c r="D30" s="281" t="s">
        <v>43</v>
      </c>
      <c r="E30" s="282">
        <v>970000</v>
      </c>
      <c r="F30" s="283"/>
      <c r="G30" s="282">
        <v>900000</v>
      </c>
      <c r="H30" s="283"/>
      <c r="I30" s="284">
        <v>700000</v>
      </c>
      <c r="J30" s="285">
        <v>0</v>
      </c>
      <c r="K30" s="285">
        <v>0</v>
      </c>
      <c r="L30" s="285">
        <v>0</v>
      </c>
      <c r="M30" s="285">
        <v>0</v>
      </c>
      <c r="N30" s="285">
        <v>0</v>
      </c>
      <c r="O30" s="285">
        <v>0</v>
      </c>
      <c r="P30" s="285">
        <v>0</v>
      </c>
      <c r="Q30" s="285">
        <v>0</v>
      </c>
      <c r="R30" s="286">
        <f>SUM(J30:Q30)</f>
        <v>0</v>
      </c>
      <c r="S30" s="287">
        <f>I30-R30</f>
        <v>700000</v>
      </c>
      <c r="T30" s="288">
        <f>G30-I30</f>
        <v>200000</v>
      </c>
      <c r="U30" s="289">
        <v>0</v>
      </c>
      <c r="V30" s="290" t="e">
        <f t="shared" si="0"/>
        <v>#DIV/0!</v>
      </c>
      <c r="X30" s="329"/>
      <c r="Y30" s="285"/>
      <c r="Z30" s="285"/>
      <c r="AA30" s="285"/>
      <c r="AB30" s="285"/>
      <c r="AC30" s="285"/>
      <c r="AD30" s="285"/>
      <c r="AE30" s="285"/>
    </row>
    <row r="31" spans="1:31" ht="18.95" customHeight="1">
      <c r="A31" s="314" t="s">
        <v>65</v>
      </c>
      <c r="B31" s="291" t="s">
        <v>66</v>
      </c>
      <c r="C31" s="292" t="s">
        <v>67</v>
      </c>
      <c r="D31" s="293" t="s">
        <v>68</v>
      </c>
      <c r="E31" s="294">
        <v>10752500</v>
      </c>
      <c r="F31" s="295"/>
      <c r="G31" s="294">
        <v>10700000</v>
      </c>
      <c r="H31" s="295"/>
      <c r="I31" s="296">
        <v>10700000</v>
      </c>
      <c r="J31" s="273">
        <v>0</v>
      </c>
      <c r="K31" s="273">
        <v>0</v>
      </c>
      <c r="L31" s="273">
        <v>4333500</v>
      </c>
      <c r="M31" s="273">
        <v>1444500</v>
      </c>
      <c r="N31" s="273">
        <v>0</v>
      </c>
      <c r="O31" s="273">
        <v>0</v>
      </c>
      <c r="P31" s="273">
        <v>0</v>
      </c>
      <c r="Q31" s="273">
        <v>0</v>
      </c>
      <c r="R31" s="274">
        <f>SUM(J31:Q31)</f>
        <v>5778000</v>
      </c>
      <c r="S31" s="275">
        <f>I31-R31</f>
        <v>4922000</v>
      </c>
      <c r="T31" s="276">
        <f>G31-I31</f>
        <v>0</v>
      </c>
      <c r="U31" s="297">
        <v>106</v>
      </c>
      <c r="V31" s="278">
        <f t="shared" si="0"/>
        <v>54509.433962264149</v>
      </c>
      <c r="X31" s="328"/>
      <c r="Y31" s="273"/>
      <c r="Z31" s="273"/>
      <c r="AA31" s="273"/>
      <c r="AB31" s="273"/>
      <c r="AC31" s="273"/>
      <c r="AD31" s="273"/>
      <c r="AE31" s="273"/>
    </row>
    <row r="32" spans="1:31" ht="18.95" customHeight="1">
      <c r="A32" s="312"/>
      <c r="B32" s="279"/>
      <c r="C32" s="280" t="s">
        <v>67</v>
      </c>
      <c r="D32" s="281" t="s">
        <v>43</v>
      </c>
      <c r="E32" s="282">
        <v>0</v>
      </c>
      <c r="F32" s="283"/>
      <c r="G32" s="282">
        <v>0</v>
      </c>
      <c r="H32" s="283"/>
      <c r="I32" s="284">
        <v>0</v>
      </c>
      <c r="J32" s="285">
        <v>0</v>
      </c>
      <c r="K32" s="285">
        <v>0</v>
      </c>
      <c r="L32" s="285">
        <v>0</v>
      </c>
      <c r="M32" s="285">
        <v>0</v>
      </c>
      <c r="N32" s="285">
        <v>0</v>
      </c>
      <c r="O32" s="285">
        <v>0</v>
      </c>
      <c r="P32" s="285">
        <v>0</v>
      </c>
      <c r="Q32" s="285">
        <v>0</v>
      </c>
      <c r="R32" s="286">
        <f>SUM(J32:Q32)</f>
        <v>0</v>
      </c>
      <c r="S32" s="287">
        <f>I32-R32</f>
        <v>0</v>
      </c>
      <c r="T32" s="288">
        <f>G32-I32</f>
        <v>0</v>
      </c>
      <c r="U32" s="289">
        <v>0</v>
      </c>
      <c r="V32" s="290" t="e">
        <f t="shared" si="0"/>
        <v>#DIV/0!</v>
      </c>
      <c r="X32" s="329"/>
      <c r="Y32" s="285"/>
      <c r="Z32" s="285"/>
      <c r="AA32" s="285"/>
      <c r="AB32" s="285"/>
      <c r="AC32" s="285"/>
      <c r="AD32" s="285"/>
      <c r="AE32" s="285"/>
    </row>
    <row r="33" spans="1:31" ht="18.95" customHeight="1">
      <c r="A33" s="312"/>
      <c r="B33" s="279"/>
      <c r="C33" s="280" t="s">
        <v>69</v>
      </c>
      <c r="D33" s="281" t="s">
        <v>43</v>
      </c>
      <c r="E33" s="282">
        <v>0</v>
      </c>
      <c r="F33" s="283"/>
      <c r="G33" s="282">
        <v>0</v>
      </c>
      <c r="H33" s="283"/>
      <c r="I33" s="284">
        <v>0</v>
      </c>
      <c r="J33" s="285">
        <v>0</v>
      </c>
      <c r="K33" s="285">
        <v>0</v>
      </c>
      <c r="L33" s="285">
        <v>0</v>
      </c>
      <c r="M33" s="285">
        <v>0</v>
      </c>
      <c r="N33" s="285">
        <v>0</v>
      </c>
      <c r="O33" s="285">
        <v>0</v>
      </c>
      <c r="P33" s="285">
        <v>0</v>
      </c>
      <c r="Q33" s="285">
        <v>0</v>
      </c>
      <c r="R33" s="286">
        <f>SUM(J33:Q33)</f>
        <v>0</v>
      </c>
      <c r="S33" s="287">
        <f>I33-R33</f>
        <v>0</v>
      </c>
      <c r="T33" s="288">
        <f>G33-I33</f>
        <v>0</v>
      </c>
      <c r="U33" s="289">
        <v>0</v>
      </c>
      <c r="V33" s="290" t="e">
        <f t="shared" si="0"/>
        <v>#DIV/0!</v>
      </c>
      <c r="X33" s="329"/>
      <c r="Y33" s="285"/>
      <c r="Z33" s="285"/>
      <c r="AA33" s="285"/>
      <c r="AB33" s="285"/>
      <c r="AC33" s="285"/>
      <c r="AD33" s="285"/>
      <c r="AE33" s="285"/>
    </row>
    <row r="34" spans="1:31" ht="18.95" customHeight="1">
      <c r="A34" s="312"/>
      <c r="B34" s="279"/>
      <c r="C34" s="280" t="s">
        <v>70</v>
      </c>
      <c r="D34" s="281" t="s">
        <v>43</v>
      </c>
      <c r="E34" s="282">
        <v>126000</v>
      </c>
      <c r="F34" s="283"/>
      <c r="G34" s="282">
        <v>0</v>
      </c>
      <c r="H34" s="283"/>
      <c r="I34" s="284">
        <v>0</v>
      </c>
      <c r="J34" s="285">
        <v>0</v>
      </c>
      <c r="K34" s="285">
        <v>0</v>
      </c>
      <c r="L34" s="285">
        <v>0</v>
      </c>
      <c r="M34" s="285">
        <v>0</v>
      </c>
      <c r="N34" s="285">
        <v>0</v>
      </c>
      <c r="O34" s="285">
        <v>0</v>
      </c>
      <c r="P34" s="285">
        <v>0</v>
      </c>
      <c r="Q34" s="285">
        <v>0</v>
      </c>
      <c r="R34" s="286">
        <f>SUM(J34:Q34)</f>
        <v>0</v>
      </c>
      <c r="S34" s="287">
        <f>I34-R34</f>
        <v>0</v>
      </c>
      <c r="T34" s="288">
        <f>G34-I34</f>
        <v>0</v>
      </c>
      <c r="U34" s="289">
        <v>0</v>
      </c>
      <c r="V34" s="290" t="e">
        <f t="shared" si="0"/>
        <v>#DIV/0!</v>
      </c>
      <c r="X34" s="329"/>
      <c r="Y34" s="285"/>
      <c r="Z34" s="285"/>
      <c r="AA34" s="285"/>
      <c r="AB34" s="285"/>
      <c r="AC34" s="285"/>
      <c r="AD34" s="285"/>
      <c r="AE34" s="285"/>
    </row>
    <row r="35" spans="1:31" ht="18.95" customHeight="1">
      <c r="A35" s="312"/>
      <c r="B35" s="279"/>
      <c r="C35" s="280" t="s">
        <v>71</v>
      </c>
      <c r="D35" s="281" t="s">
        <v>43</v>
      </c>
      <c r="E35" s="282">
        <v>0</v>
      </c>
      <c r="F35" s="283"/>
      <c r="G35" s="282">
        <v>0</v>
      </c>
      <c r="H35" s="283"/>
      <c r="I35" s="284">
        <v>0</v>
      </c>
      <c r="J35" s="285">
        <v>0</v>
      </c>
      <c r="K35" s="285">
        <v>0</v>
      </c>
      <c r="L35" s="285">
        <v>0</v>
      </c>
      <c r="M35" s="285">
        <v>0</v>
      </c>
      <c r="N35" s="285">
        <v>0</v>
      </c>
      <c r="O35" s="285">
        <v>0</v>
      </c>
      <c r="P35" s="285">
        <v>0</v>
      </c>
      <c r="Q35" s="285">
        <v>0</v>
      </c>
      <c r="R35" s="286">
        <f>SUM(J35:Q35)</f>
        <v>0</v>
      </c>
      <c r="S35" s="287">
        <f>I35-R35</f>
        <v>0</v>
      </c>
      <c r="T35" s="288">
        <f>G35-I35</f>
        <v>0</v>
      </c>
      <c r="U35" s="289">
        <v>0</v>
      </c>
      <c r="V35" s="290" t="e">
        <f t="shared" si="0"/>
        <v>#DIV/0!</v>
      </c>
      <c r="X35" s="329"/>
      <c r="Y35" s="285"/>
      <c r="Z35" s="285"/>
      <c r="AA35" s="285"/>
      <c r="AB35" s="285"/>
      <c r="AC35" s="285"/>
      <c r="AD35" s="285"/>
      <c r="AE35" s="285"/>
    </row>
    <row r="36" spans="1:31" ht="18.95" customHeight="1">
      <c r="A36" s="312"/>
      <c r="B36" s="279"/>
      <c r="C36" s="280" t="s">
        <v>72</v>
      </c>
      <c r="D36" s="281" t="s">
        <v>43</v>
      </c>
      <c r="E36" s="282">
        <v>3750000</v>
      </c>
      <c r="F36" s="283"/>
      <c r="G36" s="282">
        <v>625000</v>
      </c>
      <c r="H36" s="283"/>
      <c r="I36" s="284">
        <v>375000</v>
      </c>
      <c r="J36" s="285">
        <v>0</v>
      </c>
      <c r="K36" s="285">
        <v>0</v>
      </c>
      <c r="L36" s="285">
        <v>0</v>
      </c>
      <c r="M36" s="285">
        <v>0</v>
      </c>
      <c r="N36" s="285">
        <v>0</v>
      </c>
      <c r="O36" s="285">
        <v>0</v>
      </c>
      <c r="P36" s="285">
        <v>0</v>
      </c>
      <c r="Q36" s="285">
        <v>0</v>
      </c>
      <c r="R36" s="286">
        <f>SUM(J36:Q36)</f>
        <v>0</v>
      </c>
      <c r="S36" s="287">
        <f>I36-R36</f>
        <v>375000</v>
      </c>
      <c r="T36" s="288">
        <f>G36-I36</f>
        <v>250000</v>
      </c>
      <c r="U36" s="289">
        <v>0</v>
      </c>
      <c r="V36" s="290" t="e">
        <f t="shared" si="0"/>
        <v>#DIV/0!</v>
      </c>
      <c r="X36" s="329"/>
      <c r="Y36" s="285"/>
      <c r="Z36" s="285"/>
      <c r="AA36" s="285"/>
      <c r="AB36" s="285"/>
      <c r="AC36" s="285"/>
      <c r="AD36" s="285"/>
      <c r="AE36" s="285"/>
    </row>
    <row r="37" spans="1:31" ht="18.95" customHeight="1">
      <c r="A37" s="313"/>
      <c r="B37" s="279"/>
      <c r="C37" s="280" t="s">
        <v>73</v>
      </c>
      <c r="D37" s="281" t="s">
        <v>43</v>
      </c>
      <c r="E37" s="282">
        <v>0</v>
      </c>
      <c r="F37" s="283"/>
      <c r="G37" s="282">
        <v>0</v>
      </c>
      <c r="H37" s="283"/>
      <c r="I37" s="284">
        <v>0</v>
      </c>
      <c r="J37" s="285">
        <v>0</v>
      </c>
      <c r="K37" s="285">
        <v>0</v>
      </c>
      <c r="L37" s="285">
        <v>0</v>
      </c>
      <c r="M37" s="285">
        <v>0</v>
      </c>
      <c r="N37" s="285">
        <v>0</v>
      </c>
      <c r="O37" s="285">
        <v>0</v>
      </c>
      <c r="P37" s="285">
        <v>0</v>
      </c>
      <c r="Q37" s="285">
        <v>0</v>
      </c>
      <c r="R37" s="286">
        <f>SUM(J37:Q37)</f>
        <v>0</v>
      </c>
      <c r="S37" s="287">
        <f>I37-R37</f>
        <v>0</v>
      </c>
      <c r="T37" s="288">
        <f>G37-I37</f>
        <v>0</v>
      </c>
      <c r="U37" s="289">
        <v>0</v>
      </c>
      <c r="V37" s="290" t="e">
        <f t="shared" si="0"/>
        <v>#DIV/0!</v>
      </c>
      <c r="X37" s="329"/>
      <c r="Y37" s="285"/>
      <c r="Z37" s="285"/>
      <c r="AA37" s="285"/>
      <c r="AB37" s="285"/>
      <c r="AC37" s="285"/>
      <c r="AD37" s="285"/>
      <c r="AE37" s="285"/>
    </row>
    <row r="38" spans="1:31" ht="18.95" customHeight="1">
      <c r="A38" s="314" t="s">
        <v>74</v>
      </c>
      <c r="B38" s="291" t="s">
        <v>38</v>
      </c>
      <c r="C38" s="292" t="s">
        <v>75</v>
      </c>
      <c r="D38" s="293" t="s">
        <v>40</v>
      </c>
      <c r="E38" s="294">
        <v>8049475</v>
      </c>
      <c r="F38" s="295"/>
      <c r="G38" s="294">
        <v>8583000</v>
      </c>
      <c r="H38" s="295"/>
      <c r="I38" s="296">
        <v>8583000</v>
      </c>
      <c r="J38" s="273">
        <v>0</v>
      </c>
      <c r="K38" s="273">
        <v>0</v>
      </c>
      <c r="L38" s="273">
        <v>1900000</v>
      </c>
      <c r="M38" s="273">
        <v>4270000</v>
      </c>
      <c r="N38" s="273">
        <v>1470000</v>
      </c>
      <c r="O38" s="273">
        <v>0</v>
      </c>
      <c r="P38" s="273">
        <v>0</v>
      </c>
      <c r="Q38" s="273">
        <v>0</v>
      </c>
      <c r="R38" s="274">
        <f>SUM(J38:Q38)</f>
        <v>7640000</v>
      </c>
      <c r="S38" s="275">
        <f>I38-R38</f>
        <v>943000</v>
      </c>
      <c r="T38" s="276">
        <f>G38-I38</f>
        <v>0</v>
      </c>
      <c r="U38" s="297">
        <v>128</v>
      </c>
      <c r="V38" s="278">
        <f t="shared" si="0"/>
        <v>59687.5</v>
      </c>
      <c r="X38" s="328"/>
      <c r="Y38" s="273"/>
      <c r="Z38" s="273"/>
      <c r="AA38" s="273"/>
      <c r="AB38" s="273"/>
      <c r="AC38" s="273"/>
      <c r="AD38" s="273"/>
      <c r="AE38" s="273"/>
    </row>
    <row r="39" spans="1:31" ht="18.95" customHeight="1">
      <c r="A39" s="312"/>
      <c r="B39" s="279" t="s">
        <v>38</v>
      </c>
      <c r="C39" s="280" t="s">
        <v>75</v>
      </c>
      <c r="D39" s="281" t="s">
        <v>43</v>
      </c>
      <c r="E39" s="282">
        <v>0</v>
      </c>
      <c r="F39" s="283"/>
      <c r="G39" s="282">
        <v>0</v>
      </c>
      <c r="H39" s="283"/>
      <c r="I39" s="284">
        <v>0</v>
      </c>
      <c r="J39" s="285">
        <v>0</v>
      </c>
      <c r="K39" s="285">
        <v>0</v>
      </c>
      <c r="L39" s="285">
        <v>0</v>
      </c>
      <c r="M39" s="285">
        <v>-235800</v>
      </c>
      <c r="N39" s="285">
        <v>-527600</v>
      </c>
      <c r="O39" s="285">
        <v>-399200</v>
      </c>
      <c r="P39" s="285">
        <v>0</v>
      </c>
      <c r="Q39" s="285">
        <v>0</v>
      </c>
      <c r="R39" s="286">
        <f>SUM(J39:Q39)</f>
        <v>-1162600</v>
      </c>
      <c r="S39" s="287">
        <f>I39-R39</f>
        <v>1162600</v>
      </c>
      <c r="T39" s="288">
        <f>G39-I39</f>
        <v>0</v>
      </c>
      <c r="U39" s="289">
        <v>0</v>
      </c>
      <c r="V39" s="290" t="e">
        <f t="shared" si="0"/>
        <v>#DIV/0!</v>
      </c>
      <c r="X39" s="329"/>
      <c r="Y39" s="285"/>
      <c r="Z39" s="285"/>
      <c r="AA39" s="285"/>
      <c r="AB39" s="285"/>
      <c r="AC39" s="285"/>
      <c r="AD39" s="285"/>
      <c r="AE39" s="285"/>
    </row>
    <row r="40" spans="1:31" ht="18.95" customHeight="1">
      <c r="A40" s="312"/>
      <c r="B40" s="279" t="s">
        <v>53</v>
      </c>
      <c r="C40" s="280" t="s">
        <v>76</v>
      </c>
      <c r="D40" s="281" t="s">
        <v>43</v>
      </c>
      <c r="E40" s="282">
        <v>0</v>
      </c>
      <c r="F40" s="283"/>
      <c r="G40" s="282">
        <v>0</v>
      </c>
      <c r="H40" s="283"/>
      <c r="I40" s="284">
        <v>0</v>
      </c>
      <c r="J40" s="285">
        <v>0</v>
      </c>
      <c r="K40" s="285">
        <v>0</v>
      </c>
      <c r="L40" s="285">
        <v>221600</v>
      </c>
      <c r="M40" s="285">
        <v>495200</v>
      </c>
      <c r="N40" s="285">
        <v>376200</v>
      </c>
      <c r="O40" s="285">
        <v>0</v>
      </c>
      <c r="P40" s="285">
        <v>0</v>
      </c>
      <c r="Q40" s="285">
        <v>0</v>
      </c>
      <c r="R40" s="286">
        <f>SUM(J40:Q40)</f>
        <v>1093000</v>
      </c>
      <c r="S40" s="287">
        <f>I40-R40</f>
        <v>-1093000</v>
      </c>
      <c r="T40" s="288">
        <f>G40-I40</f>
        <v>0</v>
      </c>
      <c r="U40" s="289">
        <v>0</v>
      </c>
      <c r="V40" s="290" t="e">
        <f t="shared" si="0"/>
        <v>#DIV/0!</v>
      </c>
      <c r="X40" s="329"/>
      <c r="Y40" s="285"/>
      <c r="Z40" s="285"/>
      <c r="AA40" s="285"/>
      <c r="AB40" s="285"/>
      <c r="AC40" s="285"/>
      <c r="AD40" s="285"/>
      <c r="AE40" s="285"/>
    </row>
    <row r="41" spans="1:31" ht="18.95" customHeight="1">
      <c r="A41" s="312"/>
      <c r="B41" s="279"/>
      <c r="C41" s="280" t="s">
        <v>75</v>
      </c>
      <c r="D41" s="281" t="s">
        <v>43</v>
      </c>
      <c r="E41" s="282">
        <v>0</v>
      </c>
      <c r="F41" s="283"/>
      <c r="G41" s="282">
        <v>0</v>
      </c>
      <c r="H41" s="283"/>
      <c r="I41" s="284">
        <v>0</v>
      </c>
      <c r="J41" s="285">
        <v>0</v>
      </c>
      <c r="K41" s="285">
        <v>0</v>
      </c>
      <c r="L41" s="285">
        <v>0</v>
      </c>
      <c r="M41" s="285">
        <v>0</v>
      </c>
      <c r="N41" s="285">
        <v>0</v>
      </c>
      <c r="O41" s="285">
        <v>0</v>
      </c>
      <c r="P41" s="285">
        <v>0</v>
      </c>
      <c r="Q41" s="285">
        <v>0</v>
      </c>
      <c r="R41" s="286">
        <f>SUM(J41:Q41)</f>
        <v>0</v>
      </c>
      <c r="S41" s="287">
        <f>I41-R41</f>
        <v>0</v>
      </c>
      <c r="T41" s="288">
        <f>G41-I41</f>
        <v>0</v>
      </c>
      <c r="U41" s="289">
        <v>0</v>
      </c>
      <c r="V41" s="290" t="e">
        <f t="shared" si="0"/>
        <v>#DIV/0!</v>
      </c>
      <c r="X41" s="329"/>
      <c r="Y41" s="285"/>
      <c r="Z41" s="285"/>
      <c r="AA41" s="285"/>
      <c r="AB41" s="285"/>
      <c r="AC41" s="285"/>
      <c r="AD41" s="285"/>
      <c r="AE41" s="285"/>
    </row>
    <row r="42" spans="1:31" ht="18.95" customHeight="1">
      <c r="A42" s="313"/>
      <c r="B42" s="279"/>
      <c r="C42" s="280" t="s">
        <v>76</v>
      </c>
      <c r="D42" s="281" t="s">
        <v>43</v>
      </c>
      <c r="E42" s="282">
        <v>0</v>
      </c>
      <c r="F42" s="283"/>
      <c r="G42" s="282">
        <v>0</v>
      </c>
      <c r="H42" s="283"/>
      <c r="I42" s="284">
        <v>0</v>
      </c>
      <c r="J42" s="285">
        <v>0</v>
      </c>
      <c r="K42" s="285">
        <v>0</v>
      </c>
      <c r="L42" s="285">
        <v>0</v>
      </c>
      <c r="M42" s="285">
        <v>0</v>
      </c>
      <c r="N42" s="285">
        <v>0</v>
      </c>
      <c r="O42" s="285">
        <v>0</v>
      </c>
      <c r="P42" s="285">
        <v>0</v>
      </c>
      <c r="Q42" s="285">
        <v>0</v>
      </c>
      <c r="R42" s="286">
        <f>SUM(J42:Q42)</f>
        <v>0</v>
      </c>
      <c r="S42" s="287">
        <f>I42-R42</f>
        <v>0</v>
      </c>
      <c r="T42" s="288">
        <f>G42-I42</f>
        <v>0</v>
      </c>
      <c r="U42" s="289">
        <v>0</v>
      </c>
      <c r="V42" s="290" t="e">
        <f t="shared" si="0"/>
        <v>#DIV/0!</v>
      </c>
      <c r="X42" s="329"/>
      <c r="Y42" s="285"/>
      <c r="Z42" s="285"/>
      <c r="AA42" s="285"/>
      <c r="AB42" s="285"/>
      <c r="AC42" s="285"/>
      <c r="AD42" s="285"/>
      <c r="AE42" s="285"/>
    </row>
    <row r="43" spans="1:31" ht="18.95" customHeight="1">
      <c r="A43" s="314" t="s">
        <v>77</v>
      </c>
      <c r="B43" s="291" t="s">
        <v>38</v>
      </c>
      <c r="C43" s="292" t="s">
        <v>78</v>
      </c>
      <c r="D43" s="293" t="s">
        <v>40</v>
      </c>
      <c r="E43" s="294">
        <v>822100</v>
      </c>
      <c r="F43" s="295"/>
      <c r="G43" s="294">
        <v>679200</v>
      </c>
      <c r="H43" s="295"/>
      <c r="I43" s="296">
        <v>679200</v>
      </c>
      <c r="J43" s="273">
        <v>0</v>
      </c>
      <c r="K43" s="273">
        <v>0</v>
      </c>
      <c r="L43" s="273">
        <v>0</v>
      </c>
      <c r="M43" s="273">
        <v>679200</v>
      </c>
      <c r="N43" s="273">
        <v>0</v>
      </c>
      <c r="O43" s="273">
        <v>0</v>
      </c>
      <c r="P43" s="273">
        <v>0</v>
      </c>
      <c r="Q43" s="273">
        <v>0</v>
      </c>
      <c r="R43" s="274">
        <f>SUM(J43:Q43)</f>
        <v>679200</v>
      </c>
      <c r="S43" s="275">
        <f>I43-R43</f>
        <v>0</v>
      </c>
      <c r="T43" s="276">
        <f>G43-I43</f>
        <v>0</v>
      </c>
      <c r="U43" s="297">
        <v>35</v>
      </c>
      <c r="V43" s="278">
        <f t="shared" si="0"/>
        <v>19405.714285714286</v>
      </c>
      <c r="X43" s="328"/>
      <c r="Y43" s="273"/>
      <c r="Z43" s="273"/>
      <c r="AA43" s="273"/>
      <c r="AB43" s="273"/>
      <c r="AC43" s="273"/>
      <c r="AD43" s="273"/>
      <c r="AE43" s="273"/>
    </row>
    <row r="44" spans="1:31" ht="18.95" customHeight="1">
      <c r="A44" s="312"/>
      <c r="B44" s="279" t="s">
        <v>38</v>
      </c>
      <c r="C44" s="280" t="s">
        <v>78</v>
      </c>
      <c r="D44" s="281" t="s">
        <v>43</v>
      </c>
      <c r="E44" s="282">
        <v>0</v>
      </c>
      <c r="F44" s="283"/>
      <c r="G44" s="282">
        <v>0</v>
      </c>
      <c r="H44" s="283"/>
      <c r="I44" s="284">
        <v>0</v>
      </c>
      <c r="J44" s="285">
        <v>0</v>
      </c>
      <c r="K44" s="285">
        <v>0</v>
      </c>
      <c r="L44" s="285">
        <v>325000</v>
      </c>
      <c r="M44" s="285">
        <v>0</v>
      </c>
      <c r="N44" s="285">
        <v>-54300</v>
      </c>
      <c r="O44" s="285">
        <v>0</v>
      </c>
      <c r="P44" s="285">
        <v>0</v>
      </c>
      <c r="Q44" s="285">
        <v>0</v>
      </c>
      <c r="R44" s="286">
        <f>SUM(J44:Q44)</f>
        <v>270700</v>
      </c>
      <c r="S44" s="287">
        <f>I44-R44</f>
        <v>-270700</v>
      </c>
      <c r="T44" s="288">
        <f>G44-I44</f>
        <v>0</v>
      </c>
      <c r="U44" s="289">
        <v>0</v>
      </c>
      <c r="V44" s="290" t="e">
        <f t="shared" si="0"/>
        <v>#DIV/0!</v>
      </c>
      <c r="X44" s="329"/>
      <c r="Y44" s="285"/>
      <c r="Z44" s="285"/>
      <c r="AA44" s="285"/>
      <c r="AB44" s="285"/>
      <c r="AC44" s="285"/>
      <c r="AD44" s="285"/>
      <c r="AE44" s="285"/>
    </row>
    <row r="45" spans="1:31" ht="18.95" customHeight="1">
      <c r="A45" s="312"/>
      <c r="B45" s="279" t="s">
        <v>38</v>
      </c>
      <c r="C45" s="280" t="s">
        <v>79</v>
      </c>
      <c r="D45" s="281" t="s">
        <v>40</v>
      </c>
      <c r="E45" s="282">
        <v>3684600</v>
      </c>
      <c r="F45" s="283"/>
      <c r="G45" s="282">
        <v>3756250</v>
      </c>
      <c r="H45" s="283"/>
      <c r="I45" s="284">
        <v>3756250</v>
      </c>
      <c r="J45" s="285">
        <v>0</v>
      </c>
      <c r="K45" s="285">
        <v>0</v>
      </c>
      <c r="L45" s="285">
        <v>0</v>
      </c>
      <c r="M45" s="285">
        <v>1280800</v>
      </c>
      <c r="N45" s="285">
        <v>1680000</v>
      </c>
      <c r="O45" s="285">
        <v>0</v>
      </c>
      <c r="P45" s="285">
        <v>0</v>
      </c>
      <c r="Q45" s="285">
        <v>0</v>
      </c>
      <c r="R45" s="286">
        <f>SUM(J45:Q45)</f>
        <v>2960800</v>
      </c>
      <c r="S45" s="287">
        <f>I45-R45</f>
        <v>795450</v>
      </c>
      <c r="T45" s="288">
        <f>G45-I45</f>
        <v>0</v>
      </c>
      <c r="U45" s="289">
        <v>30</v>
      </c>
      <c r="V45" s="290">
        <f t="shared" si="0"/>
        <v>98693.333333333328</v>
      </c>
      <c r="X45" s="329"/>
      <c r="Y45" s="285"/>
      <c r="Z45" s="285"/>
      <c r="AA45" s="285"/>
      <c r="AB45" s="285"/>
      <c r="AC45" s="285"/>
      <c r="AD45" s="285"/>
      <c r="AE45" s="285"/>
    </row>
    <row r="46" spans="1:31" ht="18.95" customHeight="1">
      <c r="A46" s="312"/>
      <c r="B46" s="279" t="s">
        <v>38</v>
      </c>
      <c r="C46" s="280" t="s">
        <v>79</v>
      </c>
      <c r="D46" s="281" t="s">
        <v>43</v>
      </c>
      <c r="E46" s="282">
        <v>0</v>
      </c>
      <c r="F46" s="283"/>
      <c r="G46" s="282">
        <v>0</v>
      </c>
      <c r="H46" s="283"/>
      <c r="I46" s="284">
        <v>0</v>
      </c>
      <c r="J46" s="285">
        <v>0</v>
      </c>
      <c r="K46" s="285">
        <v>0</v>
      </c>
      <c r="L46" s="285">
        <v>0</v>
      </c>
      <c r="M46" s="285">
        <v>259400</v>
      </c>
      <c r="N46" s="285">
        <v>0</v>
      </c>
      <c r="O46" s="285">
        <v>0</v>
      </c>
      <c r="P46" s="285">
        <v>0</v>
      </c>
      <c r="Q46" s="285">
        <v>0</v>
      </c>
      <c r="R46" s="286">
        <f>SUM(J46:Q46)</f>
        <v>259400</v>
      </c>
      <c r="S46" s="287">
        <f>I46-R46</f>
        <v>-259400</v>
      </c>
      <c r="T46" s="288">
        <f>G46-I46</f>
        <v>0</v>
      </c>
      <c r="U46" s="289">
        <v>0</v>
      </c>
      <c r="V46" s="290" t="e">
        <f t="shared" si="0"/>
        <v>#DIV/0!</v>
      </c>
      <c r="X46" s="329"/>
      <c r="Y46" s="285"/>
      <c r="Z46" s="285"/>
      <c r="AA46" s="285"/>
      <c r="AB46" s="285"/>
      <c r="AC46" s="285"/>
      <c r="AD46" s="285"/>
      <c r="AE46" s="285"/>
    </row>
    <row r="47" spans="1:31" ht="18.95" customHeight="1">
      <c r="A47" s="312"/>
      <c r="B47" s="279" t="s">
        <v>38</v>
      </c>
      <c r="C47" s="280" t="s">
        <v>80</v>
      </c>
      <c r="D47" s="281" t="s">
        <v>40</v>
      </c>
      <c r="E47" s="282">
        <v>1771450</v>
      </c>
      <c r="F47" s="283"/>
      <c r="G47" s="282">
        <v>1879290</v>
      </c>
      <c r="H47" s="283"/>
      <c r="I47" s="284">
        <v>1879290</v>
      </c>
      <c r="J47" s="285">
        <v>0</v>
      </c>
      <c r="K47" s="285">
        <v>0</v>
      </c>
      <c r="L47" s="285">
        <v>0</v>
      </c>
      <c r="M47" s="285">
        <v>0</v>
      </c>
      <c r="N47" s="285">
        <v>0</v>
      </c>
      <c r="O47" s="285">
        <v>0</v>
      </c>
      <c r="P47" s="285">
        <v>0</v>
      </c>
      <c r="Q47" s="285">
        <v>0</v>
      </c>
      <c r="R47" s="286">
        <f>SUM(J47:Q47)</f>
        <v>0</v>
      </c>
      <c r="S47" s="287">
        <f>I47-R47</f>
        <v>1879290</v>
      </c>
      <c r="T47" s="288">
        <f>G47-I47</f>
        <v>0</v>
      </c>
      <c r="U47" s="289">
        <v>10</v>
      </c>
      <c r="V47" s="290">
        <f t="shared" si="0"/>
        <v>0</v>
      </c>
      <c r="X47" s="329"/>
      <c r="Y47" s="285"/>
      <c r="Z47" s="285"/>
      <c r="AA47" s="285"/>
      <c r="AB47" s="285"/>
      <c r="AC47" s="285"/>
      <c r="AD47" s="285"/>
      <c r="AE47" s="285"/>
    </row>
    <row r="48" spans="1:31" ht="18.95" customHeight="1">
      <c r="A48" s="312"/>
      <c r="B48" s="279" t="s">
        <v>53</v>
      </c>
      <c r="C48" s="280" t="s">
        <v>81</v>
      </c>
      <c r="D48" s="281" t="s">
        <v>43</v>
      </c>
      <c r="E48" s="282">
        <v>0</v>
      </c>
      <c r="F48" s="283"/>
      <c r="G48" s="282">
        <v>0</v>
      </c>
      <c r="H48" s="283"/>
      <c r="I48" s="284">
        <v>0</v>
      </c>
      <c r="J48" s="285">
        <v>0</v>
      </c>
      <c r="K48" s="285">
        <v>0</v>
      </c>
      <c r="L48" s="285">
        <v>0</v>
      </c>
      <c r="M48" s="285">
        <v>48280</v>
      </c>
      <c r="N48" s="285">
        <v>0</v>
      </c>
      <c r="O48" s="285">
        <v>0</v>
      </c>
      <c r="P48" s="285">
        <v>0</v>
      </c>
      <c r="Q48" s="285">
        <v>0</v>
      </c>
      <c r="R48" s="286">
        <f>SUM(J48:Q48)</f>
        <v>48280</v>
      </c>
      <c r="S48" s="287">
        <f>I48-R48</f>
        <v>-48280</v>
      </c>
      <c r="T48" s="288">
        <f>G48-I48</f>
        <v>0</v>
      </c>
      <c r="U48" s="289">
        <v>0</v>
      </c>
      <c r="V48" s="290" t="e">
        <f t="shared" si="0"/>
        <v>#DIV/0!</v>
      </c>
      <c r="X48" s="329"/>
      <c r="Y48" s="285"/>
      <c r="Z48" s="285"/>
      <c r="AA48" s="285"/>
      <c r="AB48" s="285"/>
      <c r="AC48" s="285"/>
      <c r="AD48" s="285"/>
      <c r="AE48" s="285"/>
    </row>
    <row r="49" spans="1:31" ht="18.95" customHeight="1">
      <c r="A49" s="312"/>
      <c r="B49" s="279" t="s">
        <v>53</v>
      </c>
      <c r="C49" s="280" t="s">
        <v>82</v>
      </c>
      <c r="D49" s="281" t="s">
        <v>43</v>
      </c>
      <c r="E49" s="282">
        <v>0</v>
      </c>
      <c r="F49" s="283"/>
      <c r="G49" s="282">
        <v>0</v>
      </c>
      <c r="H49" s="283"/>
      <c r="I49" s="284">
        <v>0</v>
      </c>
      <c r="J49" s="285">
        <v>0</v>
      </c>
      <c r="K49" s="285">
        <v>0</v>
      </c>
      <c r="L49" s="285">
        <v>14700</v>
      </c>
      <c r="M49" s="285">
        <v>33880</v>
      </c>
      <c r="N49" s="285">
        <v>0</v>
      </c>
      <c r="O49" s="285">
        <v>0</v>
      </c>
      <c r="P49" s="285">
        <v>0</v>
      </c>
      <c r="Q49" s="285">
        <v>0</v>
      </c>
      <c r="R49" s="286">
        <f>SUM(J49:Q49)</f>
        <v>48580</v>
      </c>
      <c r="S49" s="287">
        <f>I49-R49</f>
        <v>-48580</v>
      </c>
      <c r="T49" s="288">
        <f>G49-I49</f>
        <v>0</v>
      </c>
      <c r="U49" s="289">
        <v>0</v>
      </c>
      <c r="V49" s="290" t="e">
        <f t="shared" si="0"/>
        <v>#DIV/0!</v>
      </c>
      <c r="X49" s="329"/>
      <c r="Y49" s="285"/>
      <c r="Z49" s="285"/>
      <c r="AA49" s="285"/>
      <c r="AB49" s="285"/>
      <c r="AC49" s="285"/>
      <c r="AD49" s="285"/>
      <c r="AE49" s="285"/>
    </row>
    <row r="50" spans="1:31" ht="18.95" customHeight="1">
      <c r="A50" s="312"/>
      <c r="B50" s="279" t="s">
        <v>83</v>
      </c>
      <c r="C50" s="280" t="s">
        <v>82</v>
      </c>
      <c r="D50" s="281" t="s">
        <v>43</v>
      </c>
      <c r="E50" s="282">
        <v>0</v>
      </c>
      <c r="F50" s="283"/>
      <c r="G50" s="282">
        <v>0</v>
      </c>
      <c r="H50" s="283"/>
      <c r="I50" s="284">
        <v>0</v>
      </c>
      <c r="J50" s="285">
        <v>0</v>
      </c>
      <c r="K50" s="285">
        <v>0</v>
      </c>
      <c r="L50" s="285">
        <v>0</v>
      </c>
      <c r="M50" s="285">
        <v>510900</v>
      </c>
      <c r="N50" s="285">
        <v>0</v>
      </c>
      <c r="O50" s="285">
        <v>0</v>
      </c>
      <c r="P50" s="285">
        <v>0</v>
      </c>
      <c r="Q50" s="285">
        <v>0</v>
      </c>
      <c r="R50" s="286">
        <f>SUM(J50:Q50)</f>
        <v>510900</v>
      </c>
      <c r="S50" s="287">
        <f>I50-R50</f>
        <v>-510900</v>
      </c>
      <c r="T50" s="288">
        <f>G50-I50</f>
        <v>0</v>
      </c>
      <c r="U50" s="289">
        <v>0</v>
      </c>
      <c r="V50" s="290" t="e">
        <f t="shared" si="0"/>
        <v>#DIV/0!</v>
      </c>
      <c r="X50" s="329"/>
      <c r="Y50" s="285"/>
      <c r="Z50" s="285"/>
      <c r="AA50" s="285"/>
      <c r="AB50" s="285"/>
      <c r="AC50" s="285"/>
      <c r="AD50" s="285"/>
      <c r="AE50" s="285"/>
    </row>
    <row r="51" spans="1:31" ht="18.95" customHeight="1">
      <c r="A51" s="312"/>
      <c r="B51" s="279" t="s">
        <v>55</v>
      </c>
      <c r="C51" s="280" t="s">
        <v>82</v>
      </c>
      <c r="D51" s="281" t="s">
        <v>43</v>
      </c>
      <c r="E51" s="282">
        <v>0</v>
      </c>
      <c r="F51" s="283"/>
      <c r="G51" s="282">
        <v>0</v>
      </c>
      <c r="H51" s="283"/>
      <c r="I51" s="284">
        <v>0</v>
      </c>
      <c r="J51" s="285">
        <v>0</v>
      </c>
      <c r="K51" s="285">
        <v>0</v>
      </c>
      <c r="L51" s="285">
        <v>0</v>
      </c>
      <c r="M51" s="285">
        <v>0</v>
      </c>
      <c r="N51" s="285">
        <v>17420</v>
      </c>
      <c r="O51" s="285">
        <v>0</v>
      </c>
      <c r="P51" s="285">
        <v>0</v>
      </c>
      <c r="Q51" s="285">
        <v>0</v>
      </c>
      <c r="R51" s="286">
        <f>SUM(J51:Q51)</f>
        <v>17420</v>
      </c>
      <c r="S51" s="287">
        <f>I51-R51</f>
        <v>-17420</v>
      </c>
      <c r="T51" s="288">
        <f>G51-I51</f>
        <v>0</v>
      </c>
      <c r="U51" s="289">
        <v>0</v>
      </c>
      <c r="V51" s="290" t="e">
        <f t="shared" si="0"/>
        <v>#DIV/0!</v>
      </c>
      <c r="X51" s="329"/>
      <c r="Y51" s="285"/>
      <c r="Z51" s="285"/>
      <c r="AA51" s="285"/>
      <c r="AB51" s="285"/>
      <c r="AC51" s="285"/>
      <c r="AD51" s="285"/>
      <c r="AE51" s="285"/>
    </row>
    <row r="52" spans="1:31" ht="18.95" customHeight="1">
      <c r="A52" s="312"/>
      <c r="B52" s="279" t="s">
        <v>84</v>
      </c>
      <c r="C52" s="280" t="s">
        <v>79</v>
      </c>
      <c r="D52" s="281" t="s">
        <v>43</v>
      </c>
      <c r="E52" s="282">
        <v>0</v>
      </c>
      <c r="F52" s="283"/>
      <c r="G52" s="282">
        <v>0</v>
      </c>
      <c r="H52" s="283"/>
      <c r="I52" s="284">
        <v>220000</v>
      </c>
      <c r="J52" s="285">
        <v>0</v>
      </c>
      <c r="K52" s="285">
        <v>0</v>
      </c>
      <c r="L52" s="285">
        <v>0</v>
      </c>
      <c r="M52" s="285">
        <v>0</v>
      </c>
      <c r="N52" s="285">
        <v>0</v>
      </c>
      <c r="O52" s="285">
        <v>220000</v>
      </c>
      <c r="P52" s="285">
        <v>0</v>
      </c>
      <c r="Q52" s="285">
        <v>0</v>
      </c>
      <c r="R52" s="286">
        <f>SUM(J52:Q52)</f>
        <v>220000</v>
      </c>
      <c r="S52" s="287">
        <f>I52-R52</f>
        <v>0</v>
      </c>
      <c r="T52" s="288">
        <f>G52-I52</f>
        <v>-220000</v>
      </c>
      <c r="U52" s="289">
        <v>0</v>
      </c>
      <c r="V52" s="290" t="e">
        <f t="shared" si="0"/>
        <v>#DIV/0!</v>
      </c>
      <c r="X52" s="329"/>
      <c r="Y52" s="285"/>
      <c r="Z52" s="285"/>
      <c r="AA52" s="285"/>
      <c r="AB52" s="285"/>
      <c r="AC52" s="285"/>
      <c r="AD52" s="285"/>
      <c r="AE52" s="285"/>
    </row>
    <row r="53" spans="1:31" ht="18.95" customHeight="1">
      <c r="A53" s="312"/>
      <c r="B53" s="279"/>
      <c r="C53" s="280" t="s">
        <v>78</v>
      </c>
      <c r="D53" s="281" t="s">
        <v>43</v>
      </c>
      <c r="E53" s="282">
        <v>0</v>
      </c>
      <c r="F53" s="283"/>
      <c r="G53" s="282">
        <v>250000</v>
      </c>
      <c r="H53" s="283"/>
      <c r="I53" s="284">
        <v>325000</v>
      </c>
      <c r="J53" s="285">
        <v>0</v>
      </c>
      <c r="K53" s="285">
        <v>0</v>
      </c>
      <c r="L53" s="285">
        <v>0</v>
      </c>
      <c r="M53" s="285">
        <v>0</v>
      </c>
      <c r="N53" s="285">
        <v>0</v>
      </c>
      <c r="O53" s="285">
        <v>0</v>
      </c>
      <c r="P53" s="285">
        <v>0</v>
      </c>
      <c r="Q53" s="285">
        <v>0</v>
      </c>
      <c r="R53" s="286">
        <f>SUM(J53:Q53)</f>
        <v>0</v>
      </c>
      <c r="S53" s="287">
        <f>I53-R53</f>
        <v>325000</v>
      </c>
      <c r="T53" s="288">
        <f>G53-I53</f>
        <v>-75000</v>
      </c>
      <c r="U53" s="289">
        <v>0</v>
      </c>
      <c r="V53" s="290" t="e">
        <f t="shared" si="0"/>
        <v>#DIV/0!</v>
      </c>
      <c r="X53" s="329"/>
      <c r="Y53" s="285"/>
      <c r="Z53" s="285"/>
      <c r="AA53" s="285"/>
      <c r="AB53" s="285"/>
      <c r="AC53" s="285"/>
      <c r="AD53" s="285"/>
      <c r="AE53" s="285"/>
    </row>
    <row r="54" spans="1:31" ht="18.95" customHeight="1">
      <c r="A54" s="312"/>
      <c r="B54" s="279"/>
      <c r="C54" s="280" t="s">
        <v>81</v>
      </c>
      <c r="D54" s="281" t="s">
        <v>43</v>
      </c>
      <c r="E54" s="282">
        <v>0</v>
      </c>
      <c r="F54" s="283"/>
      <c r="G54" s="282">
        <v>0</v>
      </c>
      <c r="H54" s="283"/>
      <c r="I54" s="284">
        <v>0</v>
      </c>
      <c r="J54" s="285">
        <v>0</v>
      </c>
      <c r="K54" s="285">
        <v>0</v>
      </c>
      <c r="L54" s="285">
        <v>0</v>
      </c>
      <c r="M54" s="285">
        <v>0</v>
      </c>
      <c r="N54" s="285">
        <v>0</v>
      </c>
      <c r="O54" s="285">
        <v>0</v>
      </c>
      <c r="P54" s="285">
        <v>0</v>
      </c>
      <c r="Q54" s="285">
        <v>0</v>
      </c>
      <c r="R54" s="286">
        <f>SUM(J54:Q54)</f>
        <v>0</v>
      </c>
      <c r="S54" s="287">
        <f>I54-R54</f>
        <v>0</v>
      </c>
      <c r="T54" s="288">
        <f>G54-I54</f>
        <v>0</v>
      </c>
      <c r="U54" s="289">
        <v>0</v>
      </c>
      <c r="V54" s="290" t="e">
        <f t="shared" si="0"/>
        <v>#DIV/0!</v>
      </c>
      <c r="X54" s="329"/>
      <c r="Y54" s="285"/>
      <c r="Z54" s="285"/>
      <c r="AA54" s="285"/>
      <c r="AB54" s="285"/>
      <c r="AC54" s="285"/>
      <c r="AD54" s="285"/>
      <c r="AE54" s="285"/>
    </row>
    <row r="55" spans="1:31" ht="18.95" customHeight="1">
      <c r="A55" s="312"/>
      <c r="B55" s="279"/>
      <c r="C55" s="280" t="s">
        <v>79</v>
      </c>
      <c r="D55" s="281" t="s">
        <v>43</v>
      </c>
      <c r="E55" s="282">
        <v>911360</v>
      </c>
      <c r="F55" s="283"/>
      <c r="G55" s="282">
        <v>945000</v>
      </c>
      <c r="H55" s="283"/>
      <c r="I55" s="284">
        <v>945000</v>
      </c>
      <c r="J55" s="285">
        <v>0</v>
      </c>
      <c r="K55" s="285">
        <v>0</v>
      </c>
      <c r="L55" s="285">
        <v>0</v>
      </c>
      <c r="M55" s="285">
        <v>0</v>
      </c>
      <c r="N55" s="285">
        <v>0</v>
      </c>
      <c r="O55" s="285">
        <v>0</v>
      </c>
      <c r="P55" s="285">
        <v>0</v>
      </c>
      <c r="Q55" s="285">
        <v>0</v>
      </c>
      <c r="R55" s="286">
        <f>SUM(J55:Q55)</f>
        <v>0</v>
      </c>
      <c r="S55" s="287">
        <f>I55-R55</f>
        <v>945000</v>
      </c>
      <c r="T55" s="288">
        <f>G55-I55</f>
        <v>0</v>
      </c>
      <c r="U55" s="289">
        <v>0</v>
      </c>
      <c r="V55" s="290" t="e">
        <f t="shared" si="0"/>
        <v>#DIV/0!</v>
      </c>
      <c r="X55" s="329"/>
      <c r="Y55" s="285"/>
      <c r="Z55" s="285"/>
      <c r="AA55" s="285"/>
      <c r="AB55" s="285"/>
      <c r="AC55" s="285"/>
      <c r="AD55" s="285"/>
      <c r="AE55" s="285"/>
    </row>
    <row r="56" spans="1:31" ht="18.95" customHeight="1">
      <c r="A56" s="312"/>
      <c r="B56" s="279"/>
      <c r="C56" s="280" t="s">
        <v>82</v>
      </c>
      <c r="D56" s="281" t="s">
        <v>43</v>
      </c>
      <c r="E56" s="282">
        <v>0</v>
      </c>
      <c r="F56" s="283"/>
      <c r="G56" s="282">
        <v>0</v>
      </c>
      <c r="H56" s="283"/>
      <c r="I56" s="284">
        <v>60000</v>
      </c>
      <c r="J56" s="285">
        <v>0</v>
      </c>
      <c r="K56" s="285">
        <v>0</v>
      </c>
      <c r="L56" s="285">
        <v>0</v>
      </c>
      <c r="M56" s="285">
        <v>0</v>
      </c>
      <c r="N56" s="285">
        <v>0</v>
      </c>
      <c r="O56" s="285">
        <v>0</v>
      </c>
      <c r="P56" s="285">
        <v>0</v>
      </c>
      <c r="Q56" s="285">
        <v>0</v>
      </c>
      <c r="R56" s="286">
        <f>SUM(J56:Q56)</f>
        <v>0</v>
      </c>
      <c r="S56" s="287">
        <f>I56-R56</f>
        <v>60000</v>
      </c>
      <c r="T56" s="288">
        <f>G56-I56</f>
        <v>-60000</v>
      </c>
      <c r="U56" s="289">
        <v>0</v>
      </c>
      <c r="V56" s="290" t="e">
        <f t="shared" si="0"/>
        <v>#DIV/0!</v>
      </c>
      <c r="X56" s="329"/>
      <c r="Y56" s="285"/>
      <c r="Z56" s="285"/>
      <c r="AA56" s="285"/>
      <c r="AB56" s="285"/>
      <c r="AC56" s="285"/>
      <c r="AD56" s="285"/>
      <c r="AE56" s="285"/>
    </row>
    <row r="57" spans="1:31" ht="18.95" customHeight="1">
      <c r="A57" s="312"/>
      <c r="B57" s="279"/>
      <c r="C57" s="280" t="s">
        <v>80</v>
      </c>
      <c r="D57" s="281" t="s">
        <v>43</v>
      </c>
      <c r="E57" s="282">
        <v>0</v>
      </c>
      <c r="F57" s="283"/>
      <c r="G57" s="282">
        <v>0</v>
      </c>
      <c r="H57" s="283"/>
      <c r="I57" s="284">
        <v>0</v>
      </c>
      <c r="J57" s="285">
        <v>0</v>
      </c>
      <c r="K57" s="285">
        <v>0</v>
      </c>
      <c r="L57" s="285">
        <v>0</v>
      </c>
      <c r="M57" s="285">
        <v>0</v>
      </c>
      <c r="N57" s="285">
        <v>0</v>
      </c>
      <c r="O57" s="285">
        <v>0</v>
      </c>
      <c r="P57" s="285">
        <v>0</v>
      </c>
      <c r="Q57" s="285">
        <v>0</v>
      </c>
      <c r="R57" s="286">
        <f>SUM(J57:Q57)</f>
        <v>0</v>
      </c>
      <c r="S57" s="287">
        <f>I57-R57</f>
        <v>0</v>
      </c>
      <c r="T57" s="288">
        <f>G57-I57</f>
        <v>0</v>
      </c>
      <c r="U57" s="289">
        <v>0</v>
      </c>
      <c r="V57" s="290" t="e">
        <f t="shared" si="0"/>
        <v>#DIV/0!</v>
      </c>
      <c r="X57" s="329"/>
      <c r="Y57" s="285"/>
      <c r="Z57" s="285"/>
      <c r="AA57" s="285"/>
      <c r="AB57" s="285"/>
      <c r="AC57" s="285"/>
      <c r="AD57" s="285"/>
      <c r="AE57" s="285"/>
    </row>
    <row r="58" spans="1:31" ht="18.95" customHeight="1">
      <c r="A58" s="313"/>
      <c r="B58" s="279"/>
      <c r="C58" s="280" t="s">
        <v>85</v>
      </c>
      <c r="D58" s="281" t="s">
        <v>43</v>
      </c>
      <c r="E58" s="282">
        <v>0</v>
      </c>
      <c r="F58" s="283"/>
      <c r="G58" s="282">
        <v>0</v>
      </c>
      <c r="H58" s="283"/>
      <c r="I58" s="284">
        <v>0</v>
      </c>
      <c r="J58" s="285">
        <v>0</v>
      </c>
      <c r="K58" s="285">
        <v>0</v>
      </c>
      <c r="L58" s="285">
        <v>0</v>
      </c>
      <c r="M58" s="285">
        <v>0</v>
      </c>
      <c r="N58" s="285">
        <v>0</v>
      </c>
      <c r="O58" s="285">
        <v>0</v>
      </c>
      <c r="P58" s="285">
        <v>0</v>
      </c>
      <c r="Q58" s="285">
        <v>0</v>
      </c>
      <c r="R58" s="286">
        <f>SUM(J58:Q58)</f>
        <v>0</v>
      </c>
      <c r="S58" s="287">
        <f>I58-R58</f>
        <v>0</v>
      </c>
      <c r="T58" s="288">
        <f>G58-I58</f>
        <v>0</v>
      </c>
      <c r="U58" s="289">
        <v>0</v>
      </c>
      <c r="V58" s="290" t="e">
        <f t="shared" si="0"/>
        <v>#DIV/0!</v>
      </c>
      <c r="X58" s="329"/>
      <c r="Y58" s="285"/>
      <c r="Z58" s="285"/>
      <c r="AA58" s="285"/>
      <c r="AB58" s="285"/>
      <c r="AC58" s="285"/>
      <c r="AD58" s="285"/>
      <c r="AE58" s="285"/>
    </row>
    <row r="59" spans="1:31" ht="18.95" customHeight="1">
      <c r="A59" s="314" t="s">
        <v>86</v>
      </c>
      <c r="B59" s="291" t="s">
        <v>38</v>
      </c>
      <c r="C59" s="292" t="s">
        <v>87</v>
      </c>
      <c r="D59" s="293" t="s">
        <v>40</v>
      </c>
      <c r="E59" s="294">
        <v>2752050</v>
      </c>
      <c r="F59" s="295"/>
      <c r="G59" s="294">
        <v>2659000</v>
      </c>
      <c r="H59" s="295"/>
      <c r="I59" s="296">
        <v>2659000</v>
      </c>
      <c r="J59" s="273">
        <v>0</v>
      </c>
      <c r="K59" s="273">
        <v>0</v>
      </c>
      <c r="L59" s="273">
        <v>0</v>
      </c>
      <c r="M59" s="273">
        <v>0</v>
      </c>
      <c r="N59" s="273">
        <v>710000</v>
      </c>
      <c r="O59" s="273">
        <v>1910000</v>
      </c>
      <c r="P59" s="273">
        <v>0</v>
      </c>
      <c r="Q59" s="273">
        <v>0</v>
      </c>
      <c r="R59" s="274">
        <f>SUM(J59:Q59)</f>
        <v>2620000</v>
      </c>
      <c r="S59" s="275">
        <f>I59-R59</f>
        <v>39000</v>
      </c>
      <c r="T59" s="276">
        <f>G59-I59</f>
        <v>0</v>
      </c>
      <c r="U59" s="297">
        <v>0</v>
      </c>
      <c r="V59" s="278" t="e">
        <f t="shared" si="0"/>
        <v>#DIV/0!</v>
      </c>
      <c r="X59" s="328"/>
      <c r="Y59" s="273"/>
      <c r="Z59" s="273"/>
      <c r="AA59" s="273"/>
      <c r="AB59" s="273"/>
      <c r="AC59" s="273"/>
      <c r="AD59" s="273"/>
      <c r="AE59" s="273"/>
    </row>
    <row r="60" spans="1:31" ht="18.95" customHeight="1">
      <c r="A60" s="312"/>
      <c r="B60" s="279" t="s">
        <v>53</v>
      </c>
      <c r="C60" s="280" t="s">
        <v>88</v>
      </c>
      <c r="D60" s="281" t="s">
        <v>43</v>
      </c>
      <c r="E60" s="282">
        <v>0</v>
      </c>
      <c r="F60" s="283"/>
      <c r="G60" s="282">
        <v>0</v>
      </c>
      <c r="H60" s="283"/>
      <c r="I60" s="284">
        <v>0</v>
      </c>
      <c r="J60" s="285">
        <v>0</v>
      </c>
      <c r="K60" s="285">
        <v>0</v>
      </c>
      <c r="L60" s="285">
        <v>0</v>
      </c>
      <c r="M60" s="285">
        <v>0</v>
      </c>
      <c r="N60" s="285">
        <v>0</v>
      </c>
      <c r="O60" s="285">
        <v>1260</v>
      </c>
      <c r="P60" s="285">
        <v>0</v>
      </c>
      <c r="Q60" s="285">
        <v>0</v>
      </c>
      <c r="R60" s="286">
        <f>SUM(J60:Q60)</f>
        <v>1260</v>
      </c>
      <c r="S60" s="287">
        <f>I60-R60</f>
        <v>-1260</v>
      </c>
      <c r="T60" s="288">
        <f>G60-I60</f>
        <v>0</v>
      </c>
      <c r="U60" s="289">
        <v>0</v>
      </c>
      <c r="V60" s="290" t="e">
        <f t="shared" si="0"/>
        <v>#DIV/0!</v>
      </c>
      <c r="X60" s="329"/>
      <c r="Y60" s="285"/>
      <c r="Z60" s="285"/>
      <c r="AA60" s="285"/>
      <c r="AB60" s="285"/>
      <c r="AC60" s="285"/>
      <c r="AD60" s="285"/>
      <c r="AE60" s="285"/>
    </row>
    <row r="61" spans="1:31" ht="18.95" customHeight="1">
      <c r="A61" s="312"/>
      <c r="B61" s="279" t="s">
        <v>89</v>
      </c>
      <c r="C61" s="280" t="s">
        <v>88</v>
      </c>
      <c r="D61" s="281" t="s">
        <v>43</v>
      </c>
      <c r="E61" s="282">
        <v>0</v>
      </c>
      <c r="F61" s="283"/>
      <c r="G61" s="282">
        <v>0</v>
      </c>
      <c r="H61" s="283"/>
      <c r="I61" s="284">
        <v>0</v>
      </c>
      <c r="J61" s="285">
        <v>0</v>
      </c>
      <c r="K61" s="285">
        <v>0</v>
      </c>
      <c r="L61" s="285">
        <v>19900</v>
      </c>
      <c r="M61" s="285">
        <v>0</v>
      </c>
      <c r="N61" s="285">
        <v>474400</v>
      </c>
      <c r="O61" s="285">
        <v>217600</v>
      </c>
      <c r="P61" s="285">
        <v>0</v>
      </c>
      <c r="Q61" s="285">
        <v>0</v>
      </c>
      <c r="R61" s="286">
        <f>SUM(J61:Q61)</f>
        <v>711900</v>
      </c>
      <c r="S61" s="287">
        <f>I61-R61</f>
        <v>-711900</v>
      </c>
      <c r="T61" s="288">
        <f>G61-I61</f>
        <v>0</v>
      </c>
      <c r="U61" s="289">
        <v>0</v>
      </c>
      <c r="V61" s="290" t="e">
        <f t="shared" si="0"/>
        <v>#DIV/0!</v>
      </c>
      <c r="X61" s="329"/>
      <c r="Y61" s="285"/>
      <c r="Z61" s="285"/>
      <c r="AA61" s="285"/>
      <c r="AB61" s="285"/>
      <c r="AC61" s="285"/>
      <c r="AD61" s="285"/>
      <c r="AE61" s="285"/>
    </row>
    <row r="62" spans="1:31" ht="18.95" customHeight="1">
      <c r="A62" s="312"/>
      <c r="B62" s="279"/>
      <c r="C62" s="280" t="s">
        <v>87</v>
      </c>
      <c r="D62" s="281" t="s">
        <v>43</v>
      </c>
      <c r="E62" s="282">
        <v>0</v>
      </c>
      <c r="F62" s="283"/>
      <c r="G62" s="282">
        <v>50000</v>
      </c>
      <c r="H62" s="283"/>
      <c r="I62" s="284">
        <v>50000</v>
      </c>
      <c r="J62" s="285">
        <v>0</v>
      </c>
      <c r="K62" s="285">
        <v>0</v>
      </c>
      <c r="L62" s="285">
        <v>0</v>
      </c>
      <c r="M62" s="285">
        <v>0</v>
      </c>
      <c r="N62" s="285">
        <v>0</v>
      </c>
      <c r="O62" s="285">
        <v>0</v>
      </c>
      <c r="P62" s="285">
        <v>0</v>
      </c>
      <c r="Q62" s="285">
        <v>0</v>
      </c>
      <c r="R62" s="286">
        <f>SUM(J62:Q62)</f>
        <v>0</v>
      </c>
      <c r="S62" s="287">
        <f>I62-R62</f>
        <v>50000</v>
      </c>
      <c r="T62" s="288">
        <f>G62-I62</f>
        <v>0</v>
      </c>
      <c r="U62" s="289">
        <v>0</v>
      </c>
      <c r="V62" s="290" t="e">
        <f t="shared" si="0"/>
        <v>#DIV/0!</v>
      </c>
      <c r="X62" s="329"/>
      <c r="Y62" s="285"/>
      <c r="Z62" s="285"/>
      <c r="AA62" s="285"/>
      <c r="AB62" s="285"/>
      <c r="AC62" s="285"/>
      <c r="AD62" s="285"/>
      <c r="AE62" s="285"/>
    </row>
    <row r="63" spans="1:31" ht="18.95" customHeight="1">
      <c r="A63" s="313"/>
      <c r="B63" s="279"/>
      <c r="C63" s="280" t="s">
        <v>88</v>
      </c>
      <c r="D63" s="281" t="s">
        <v>43</v>
      </c>
      <c r="E63" s="282">
        <v>715800</v>
      </c>
      <c r="F63" s="283"/>
      <c r="G63" s="282">
        <v>715800</v>
      </c>
      <c r="H63" s="283"/>
      <c r="I63" s="284">
        <v>815800</v>
      </c>
      <c r="J63" s="285">
        <v>0</v>
      </c>
      <c r="K63" s="285">
        <v>0</v>
      </c>
      <c r="L63" s="285">
        <v>0</v>
      </c>
      <c r="M63" s="285">
        <v>0</v>
      </c>
      <c r="N63" s="285">
        <v>0</v>
      </c>
      <c r="O63" s="285">
        <v>0</v>
      </c>
      <c r="P63" s="285">
        <v>0</v>
      </c>
      <c r="Q63" s="285">
        <v>0</v>
      </c>
      <c r="R63" s="286">
        <f>SUM(J63:Q63)</f>
        <v>0</v>
      </c>
      <c r="S63" s="287">
        <f>I63-R63</f>
        <v>815800</v>
      </c>
      <c r="T63" s="288">
        <f>G63-I63</f>
        <v>-100000</v>
      </c>
      <c r="U63" s="289">
        <v>0</v>
      </c>
      <c r="V63" s="290" t="e">
        <f t="shared" si="0"/>
        <v>#DIV/0!</v>
      </c>
      <c r="X63" s="329"/>
      <c r="Y63" s="285"/>
      <c r="Z63" s="285"/>
      <c r="AA63" s="285"/>
      <c r="AB63" s="285"/>
      <c r="AC63" s="285"/>
      <c r="AD63" s="285"/>
      <c r="AE63" s="285"/>
    </row>
    <row r="64" spans="1:31" ht="18.95" customHeight="1">
      <c r="A64" s="314" t="s">
        <v>90</v>
      </c>
      <c r="B64" s="291" t="s">
        <v>38</v>
      </c>
      <c r="C64" s="292" t="s">
        <v>91</v>
      </c>
      <c r="D64" s="293" t="s">
        <v>40</v>
      </c>
      <c r="E64" s="294">
        <v>2083500</v>
      </c>
      <c r="F64" s="295"/>
      <c r="G64" s="294">
        <v>2152500</v>
      </c>
      <c r="H64" s="295"/>
      <c r="I64" s="296">
        <v>2152500</v>
      </c>
      <c r="J64" s="273">
        <v>0</v>
      </c>
      <c r="K64" s="273">
        <v>0</v>
      </c>
      <c r="L64" s="273">
        <v>500000</v>
      </c>
      <c r="M64" s="273">
        <v>1080000</v>
      </c>
      <c r="N64" s="273">
        <v>100000</v>
      </c>
      <c r="O64" s="273">
        <v>120000</v>
      </c>
      <c r="P64" s="273">
        <v>0</v>
      </c>
      <c r="Q64" s="273">
        <v>0</v>
      </c>
      <c r="R64" s="274">
        <f>SUM(J64:Q64)</f>
        <v>1800000</v>
      </c>
      <c r="S64" s="275">
        <f>I64-R64</f>
        <v>352500</v>
      </c>
      <c r="T64" s="276">
        <f>G64-I64</f>
        <v>0</v>
      </c>
      <c r="U64" s="297">
        <v>86</v>
      </c>
      <c r="V64" s="278">
        <f t="shared" si="0"/>
        <v>20930.232558139534</v>
      </c>
      <c r="X64" s="328"/>
      <c r="Y64" s="273"/>
      <c r="Z64" s="273"/>
      <c r="AA64" s="273"/>
      <c r="AB64" s="273"/>
      <c r="AC64" s="273"/>
      <c r="AD64" s="273"/>
      <c r="AE64" s="273"/>
    </row>
    <row r="65" spans="1:31" ht="18.95" customHeight="1">
      <c r="A65" s="312"/>
      <c r="B65" s="279" t="s">
        <v>38</v>
      </c>
      <c r="C65" s="280" t="s">
        <v>92</v>
      </c>
      <c r="D65" s="281" t="s">
        <v>40</v>
      </c>
      <c r="E65" s="282">
        <v>60000</v>
      </c>
      <c r="F65" s="283"/>
      <c r="G65" s="282">
        <v>52500</v>
      </c>
      <c r="H65" s="283"/>
      <c r="I65" s="284">
        <v>52500</v>
      </c>
      <c r="J65" s="285">
        <v>0</v>
      </c>
      <c r="K65" s="285">
        <v>0</v>
      </c>
      <c r="L65" s="285">
        <v>0</v>
      </c>
      <c r="M65" s="285">
        <v>0</v>
      </c>
      <c r="N65" s="285">
        <v>0</v>
      </c>
      <c r="O65" s="285">
        <v>0</v>
      </c>
      <c r="P65" s="285">
        <v>0</v>
      </c>
      <c r="Q65" s="285">
        <v>0</v>
      </c>
      <c r="R65" s="286">
        <f>SUM(J65:Q65)</f>
        <v>0</v>
      </c>
      <c r="S65" s="287">
        <f>I65-R65</f>
        <v>52500</v>
      </c>
      <c r="T65" s="288">
        <f>G65-I65</f>
        <v>0</v>
      </c>
      <c r="U65" s="289">
        <v>0</v>
      </c>
      <c r="V65" s="290" t="e">
        <f t="shared" si="0"/>
        <v>#DIV/0!</v>
      </c>
      <c r="X65" s="329"/>
      <c r="Y65" s="285"/>
      <c r="Z65" s="285"/>
      <c r="AA65" s="285"/>
      <c r="AB65" s="285"/>
      <c r="AC65" s="285"/>
      <c r="AD65" s="285"/>
      <c r="AE65" s="285"/>
    </row>
    <row r="66" spans="1:31" ht="18.95" customHeight="1">
      <c r="A66" s="312"/>
      <c r="B66" s="279" t="s">
        <v>89</v>
      </c>
      <c r="C66" s="280" t="s">
        <v>93</v>
      </c>
      <c r="D66" s="281" t="s">
        <v>43</v>
      </c>
      <c r="E66" s="282">
        <v>0</v>
      </c>
      <c r="F66" s="283"/>
      <c r="G66" s="282">
        <v>0</v>
      </c>
      <c r="H66" s="283"/>
      <c r="I66" s="284">
        <v>0</v>
      </c>
      <c r="J66" s="285">
        <v>0</v>
      </c>
      <c r="K66" s="285">
        <v>0</v>
      </c>
      <c r="L66" s="285">
        <v>123300</v>
      </c>
      <c r="M66" s="285">
        <v>185400</v>
      </c>
      <c r="N66" s="285">
        <v>0</v>
      </c>
      <c r="O66" s="285">
        <v>0</v>
      </c>
      <c r="P66" s="285">
        <v>0</v>
      </c>
      <c r="Q66" s="285">
        <v>0</v>
      </c>
      <c r="R66" s="286">
        <f>SUM(J66:Q66)</f>
        <v>308700</v>
      </c>
      <c r="S66" s="287">
        <f>I66-R66</f>
        <v>-308700</v>
      </c>
      <c r="T66" s="288">
        <f>G66-I66</f>
        <v>0</v>
      </c>
      <c r="U66" s="289">
        <v>0</v>
      </c>
      <c r="V66" s="290" t="e">
        <f t="shared" si="0"/>
        <v>#DIV/0!</v>
      </c>
      <c r="X66" s="329"/>
      <c r="Y66" s="285"/>
      <c r="Z66" s="285"/>
      <c r="AA66" s="285"/>
      <c r="AB66" s="285"/>
      <c r="AC66" s="285"/>
      <c r="AD66" s="285"/>
      <c r="AE66" s="285"/>
    </row>
    <row r="67" spans="1:31" ht="18.95" customHeight="1">
      <c r="A67" s="312"/>
      <c r="B67" s="279"/>
      <c r="C67" s="280" t="s">
        <v>91</v>
      </c>
      <c r="D67" s="281" t="s">
        <v>43</v>
      </c>
      <c r="E67" s="282">
        <v>0</v>
      </c>
      <c r="F67" s="283"/>
      <c r="G67" s="282">
        <v>0</v>
      </c>
      <c r="H67" s="283"/>
      <c r="I67" s="284">
        <v>0</v>
      </c>
      <c r="J67" s="285">
        <v>0</v>
      </c>
      <c r="K67" s="285">
        <v>0</v>
      </c>
      <c r="L67" s="285">
        <v>0</v>
      </c>
      <c r="M67" s="285">
        <v>0</v>
      </c>
      <c r="N67" s="285">
        <v>0</v>
      </c>
      <c r="O67" s="285">
        <v>0</v>
      </c>
      <c r="P67" s="285">
        <v>0</v>
      </c>
      <c r="Q67" s="285">
        <v>0</v>
      </c>
      <c r="R67" s="286">
        <f>SUM(J67:Q67)</f>
        <v>0</v>
      </c>
      <c r="S67" s="287">
        <f>I67-R67</f>
        <v>0</v>
      </c>
      <c r="T67" s="288">
        <f>G67-I67</f>
        <v>0</v>
      </c>
      <c r="U67" s="289">
        <v>0</v>
      </c>
      <c r="V67" s="290" t="e">
        <f t="shared" si="0"/>
        <v>#DIV/0!</v>
      </c>
      <c r="X67" s="329"/>
      <c r="Y67" s="285"/>
      <c r="Z67" s="285"/>
      <c r="AA67" s="285"/>
      <c r="AB67" s="285"/>
      <c r="AC67" s="285"/>
      <c r="AD67" s="285"/>
      <c r="AE67" s="285"/>
    </row>
    <row r="68" spans="1:31" ht="18.95" customHeight="1">
      <c r="A68" s="312"/>
      <c r="B68" s="279"/>
      <c r="C68" s="280" t="s">
        <v>93</v>
      </c>
      <c r="D68" s="281" t="s">
        <v>43</v>
      </c>
      <c r="E68" s="282">
        <v>118300</v>
      </c>
      <c r="F68" s="283"/>
      <c r="G68" s="282">
        <v>539300</v>
      </c>
      <c r="H68" s="283"/>
      <c r="I68" s="284">
        <v>439300</v>
      </c>
      <c r="J68" s="285">
        <v>0</v>
      </c>
      <c r="K68" s="285">
        <v>0</v>
      </c>
      <c r="L68" s="285">
        <v>0</v>
      </c>
      <c r="M68" s="285">
        <v>0</v>
      </c>
      <c r="N68" s="285">
        <v>0</v>
      </c>
      <c r="O68" s="285">
        <v>0</v>
      </c>
      <c r="P68" s="285">
        <v>0</v>
      </c>
      <c r="Q68" s="285">
        <v>0</v>
      </c>
      <c r="R68" s="286">
        <f>SUM(J68:Q68)</f>
        <v>0</v>
      </c>
      <c r="S68" s="287">
        <f>I68-R68</f>
        <v>439300</v>
      </c>
      <c r="T68" s="288">
        <f>G68-I68</f>
        <v>100000</v>
      </c>
      <c r="U68" s="289">
        <v>0</v>
      </c>
      <c r="V68" s="290" t="e">
        <f t="shared" si="0"/>
        <v>#DIV/0!</v>
      </c>
      <c r="X68" s="329"/>
      <c r="Y68" s="285"/>
      <c r="Z68" s="285"/>
      <c r="AA68" s="285"/>
      <c r="AB68" s="285"/>
      <c r="AC68" s="285"/>
      <c r="AD68" s="285"/>
      <c r="AE68" s="285"/>
    </row>
    <row r="69" spans="1:31" ht="18.95" customHeight="1">
      <c r="A69" s="312"/>
      <c r="B69" s="279"/>
      <c r="C69" s="280" t="s">
        <v>92</v>
      </c>
      <c r="D69" s="281" t="s">
        <v>43</v>
      </c>
      <c r="E69" s="282">
        <v>0</v>
      </c>
      <c r="F69" s="283"/>
      <c r="G69" s="282">
        <v>0</v>
      </c>
      <c r="H69" s="283"/>
      <c r="I69" s="284">
        <v>0</v>
      </c>
      <c r="J69" s="285">
        <v>0</v>
      </c>
      <c r="K69" s="285">
        <v>0</v>
      </c>
      <c r="L69" s="285">
        <v>0</v>
      </c>
      <c r="M69" s="285">
        <v>0</v>
      </c>
      <c r="N69" s="285">
        <v>0</v>
      </c>
      <c r="O69" s="285">
        <v>0</v>
      </c>
      <c r="P69" s="285">
        <v>0</v>
      </c>
      <c r="Q69" s="285">
        <v>0</v>
      </c>
      <c r="R69" s="286">
        <f>SUM(J69:Q69)</f>
        <v>0</v>
      </c>
      <c r="S69" s="287">
        <f>I69-R69</f>
        <v>0</v>
      </c>
      <c r="T69" s="288">
        <f>G69-I69</f>
        <v>0</v>
      </c>
      <c r="U69" s="289">
        <v>0</v>
      </c>
      <c r="V69" s="290" t="e">
        <f t="shared" si="0"/>
        <v>#DIV/0!</v>
      </c>
      <c r="X69" s="329"/>
      <c r="Y69" s="285"/>
      <c r="Z69" s="285"/>
      <c r="AA69" s="285"/>
      <c r="AB69" s="285"/>
      <c r="AC69" s="285"/>
      <c r="AD69" s="285"/>
      <c r="AE69" s="285"/>
    </row>
    <row r="70" spans="1:31" ht="18.95" customHeight="1">
      <c r="A70" s="313"/>
      <c r="B70" s="279"/>
      <c r="C70" s="280" t="s">
        <v>94</v>
      </c>
      <c r="D70" s="281" t="s">
        <v>43</v>
      </c>
      <c r="E70" s="282">
        <v>0</v>
      </c>
      <c r="F70" s="283"/>
      <c r="G70" s="282">
        <v>0</v>
      </c>
      <c r="H70" s="283"/>
      <c r="I70" s="284">
        <v>0</v>
      </c>
      <c r="J70" s="285">
        <v>0</v>
      </c>
      <c r="K70" s="285">
        <v>0</v>
      </c>
      <c r="L70" s="285">
        <v>0</v>
      </c>
      <c r="M70" s="285">
        <v>0</v>
      </c>
      <c r="N70" s="285">
        <v>0</v>
      </c>
      <c r="O70" s="285">
        <v>0</v>
      </c>
      <c r="P70" s="285">
        <v>0</v>
      </c>
      <c r="Q70" s="285">
        <v>0</v>
      </c>
      <c r="R70" s="286">
        <f>SUM(J70:Q70)</f>
        <v>0</v>
      </c>
      <c r="S70" s="287">
        <f>I70-R70</f>
        <v>0</v>
      </c>
      <c r="T70" s="288">
        <f>G70-I70</f>
        <v>0</v>
      </c>
      <c r="U70" s="289">
        <v>0</v>
      </c>
      <c r="V70" s="290" t="e">
        <f t="shared" si="0"/>
        <v>#DIV/0!</v>
      </c>
      <c r="X70" s="329"/>
      <c r="Y70" s="285"/>
      <c r="Z70" s="285"/>
      <c r="AA70" s="285"/>
      <c r="AB70" s="285"/>
      <c r="AC70" s="285"/>
      <c r="AD70" s="285"/>
      <c r="AE70" s="285"/>
    </row>
    <row r="71" spans="1:31" ht="18.95" customHeight="1">
      <c r="A71" s="314" t="s">
        <v>95</v>
      </c>
      <c r="B71" s="291" t="s">
        <v>38</v>
      </c>
      <c r="C71" s="292" t="s">
        <v>96</v>
      </c>
      <c r="D71" s="293" t="s">
        <v>40</v>
      </c>
      <c r="E71" s="294">
        <v>267800</v>
      </c>
      <c r="F71" s="295"/>
      <c r="G71" s="294">
        <v>282240</v>
      </c>
      <c r="H71" s="295"/>
      <c r="I71" s="296">
        <v>282240</v>
      </c>
      <c r="J71" s="273">
        <v>0</v>
      </c>
      <c r="K71" s="273">
        <v>0</v>
      </c>
      <c r="L71" s="273">
        <v>0</v>
      </c>
      <c r="M71" s="273">
        <v>0</v>
      </c>
      <c r="N71" s="273">
        <v>0</v>
      </c>
      <c r="O71" s="273">
        <v>0</v>
      </c>
      <c r="P71" s="273">
        <v>0</v>
      </c>
      <c r="Q71" s="273">
        <v>0</v>
      </c>
      <c r="R71" s="274">
        <f>SUM(J71:Q71)</f>
        <v>0</v>
      </c>
      <c r="S71" s="275">
        <f>I71-R71</f>
        <v>282240</v>
      </c>
      <c r="T71" s="276">
        <f>G71-I71</f>
        <v>0</v>
      </c>
      <c r="U71" s="297">
        <v>0</v>
      </c>
      <c r="V71" s="278" t="e">
        <f t="shared" si="0"/>
        <v>#DIV/0!</v>
      </c>
      <c r="X71" s="328"/>
      <c r="Y71" s="273"/>
      <c r="Z71" s="273"/>
      <c r="AA71" s="273"/>
      <c r="AB71" s="273"/>
      <c r="AC71" s="273"/>
      <c r="AD71" s="273"/>
      <c r="AE71" s="273"/>
    </row>
    <row r="72" spans="1:31" ht="18.95" customHeight="1">
      <c r="A72" s="312"/>
      <c r="B72" s="279" t="s">
        <v>38</v>
      </c>
      <c r="C72" s="280" t="s">
        <v>97</v>
      </c>
      <c r="D72" s="281" t="s">
        <v>40</v>
      </c>
      <c r="E72" s="282">
        <v>1378700</v>
      </c>
      <c r="F72" s="283"/>
      <c r="G72" s="282">
        <v>3052820</v>
      </c>
      <c r="H72" s="283"/>
      <c r="I72" s="284">
        <v>1652820</v>
      </c>
      <c r="J72" s="285">
        <v>0</v>
      </c>
      <c r="K72" s="285">
        <v>0</v>
      </c>
      <c r="L72" s="285">
        <v>0</v>
      </c>
      <c r="M72" s="285">
        <v>0</v>
      </c>
      <c r="N72" s="285">
        <v>0</v>
      </c>
      <c r="O72" s="285">
        <v>0</v>
      </c>
      <c r="P72" s="285">
        <v>0</v>
      </c>
      <c r="Q72" s="285">
        <v>0</v>
      </c>
      <c r="R72" s="286">
        <f>SUM(J72:Q72)</f>
        <v>0</v>
      </c>
      <c r="S72" s="287">
        <f>I72-R72</f>
        <v>1652820</v>
      </c>
      <c r="T72" s="288">
        <f>G72-I72</f>
        <v>1400000</v>
      </c>
      <c r="U72" s="289">
        <v>0</v>
      </c>
      <c r="V72" s="290" t="e">
        <f t="shared" ref="V72:V117" si="1">R72/U72</f>
        <v>#DIV/0!</v>
      </c>
      <c r="X72" s="329"/>
      <c r="Y72" s="285"/>
      <c r="Z72" s="285"/>
      <c r="AA72" s="285"/>
      <c r="AB72" s="285"/>
      <c r="AC72" s="285"/>
      <c r="AD72" s="285"/>
      <c r="AE72" s="285"/>
    </row>
    <row r="73" spans="1:31" ht="18.95" customHeight="1">
      <c r="A73" s="312"/>
      <c r="B73" s="279" t="s">
        <v>53</v>
      </c>
      <c r="C73" s="280" t="s">
        <v>98</v>
      </c>
      <c r="D73" s="281" t="s">
        <v>43</v>
      </c>
      <c r="E73" s="282">
        <v>0</v>
      </c>
      <c r="F73" s="283"/>
      <c r="G73" s="282">
        <v>0</v>
      </c>
      <c r="H73" s="283"/>
      <c r="I73" s="284">
        <v>0</v>
      </c>
      <c r="J73" s="285">
        <v>0</v>
      </c>
      <c r="K73" s="285">
        <v>0</v>
      </c>
      <c r="L73" s="285">
        <v>0</v>
      </c>
      <c r="M73" s="285">
        <v>0</v>
      </c>
      <c r="N73" s="285">
        <v>0</v>
      </c>
      <c r="O73" s="285">
        <v>69620</v>
      </c>
      <c r="P73" s="285">
        <v>0</v>
      </c>
      <c r="Q73" s="285">
        <v>0</v>
      </c>
      <c r="R73" s="286">
        <f>SUM(J73:Q73)</f>
        <v>69620</v>
      </c>
      <c r="S73" s="287">
        <f>I73-R73</f>
        <v>-69620</v>
      </c>
      <c r="T73" s="288">
        <f>G73-I73</f>
        <v>0</v>
      </c>
      <c r="U73" s="289">
        <v>0</v>
      </c>
      <c r="V73" s="290" t="e">
        <f t="shared" si="1"/>
        <v>#DIV/0!</v>
      </c>
      <c r="X73" s="329"/>
      <c r="Y73" s="285"/>
      <c r="Z73" s="285"/>
      <c r="AA73" s="285"/>
      <c r="AB73" s="285"/>
      <c r="AC73" s="285"/>
      <c r="AD73" s="285"/>
      <c r="AE73" s="285"/>
    </row>
    <row r="74" spans="1:31" ht="18.95" customHeight="1">
      <c r="A74" s="312"/>
      <c r="B74" s="279" t="s">
        <v>99</v>
      </c>
      <c r="C74" s="280" t="s">
        <v>97</v>
      </c>
      <c r="D74" s="281" t="s">
        <v>100</v>
      </c>
      <c r="E74" s="282">
        <v>540000</v>
      </c>
      <c r="F74" s="283"/>
      <c r="G74" s="282">
        <v>0</v>
      </c>
      <c r="H74" s="283"/>
      <c r="I74" s="284">
        <v>331000</v>
      </c>
      <c r="J74" s="285">
        <v>0</v>
      </c>
      <c r="K74" s="285">
        <v>0</v>
      </c>
      <c r="L74" s="285">
        <v>0</v>
      </c>
      <c r="M74" s="285">
        <v>0</v>
      </c>
      <c r="N74" s="285">
        <v>331000</v>
      </c>
      <c r="O74" s="285">
        <v>0</v>
      </c>
      <c r="P74" s="285">
        <v>0</v>
      </c>
      <c r="Q74" s="285">
        <v>0</v>
      </c>
      <c r="R74" s="286">
        <f>SUM(J74:Q74)</f>
        <v>331000</v>
      </c>
      <c r="S74" s="287">
        <f>I74-R74</f>
        <v>0</v>
      </c>
      <c r="T74" s="288">
        <f>G74-I74</f>
        <v>-331000</v>
      </c>
      <c r="U74" s="289">
        <v>0</v>
      </c>
      <c r="V74" s="290" t="e">
        <f t="shared" si="1"/>
        <v>#DIV/0!</v>
      </c>
      <c r="X74" s="329"/>
      <c r="Y74" s="285"/>
      <c r="Z74" s="285"/>
      <c r="AA74" s="285"/>
      <c r="AB74" s="285"/>
      <c r="AC74" s="285"/>
      <c r="AD74" s="285"/>
      <c r="AE74" s="285"/>
    </row>
    <row r="75" spans="1:31" ht="18.95" customHeight="1">
      <c r="A75" s="312"/>
      <c r="B75" s="279" t="s">
        <v>99</v>
      </c>
      <c r="C75" s="280" t="s">
        <v>97</v>
      </c>
      <c r="D75" s="281" t="s">
        <v>101</v>
      </c>
      <c r="E75" s="282">
        <v>0</v>
      </c>
      <c r="F75" s="283"/>
      <c r="G75" s="282">
        <v>0</v>
      </c>
      <c r="H75" s="283"/>
      <c r="I75" s="284">
        <v>603000</v>
      </c>
      <c r="J75" s="285">
        <v>0</v>
      </c>
      <c r="K75" s="285">
        <v>0</v>
      </c>
      <c r="L75" s="285">
        <v>0</v>
      </c>
      <c r="M75" s="285">
        <v>0</v>
      </c>
      <c r="N75" s="285">
        <v>0</v>
      </c>
      <c r="O75" s="285">
        <v>603000</v>
      </c>
      <c r="P75" s="285">
        <v>0</v>
      </c>
      <c r="Q75" s="285">
        <v>0</v>
      </c>
      <c r="R75" s="286">
        <f>SUM(J75:Q75)</f>
        <v>603000</v>
      </c>
      <c r="S75" s="287">
        <f>I75-R75</f>
        <v>0</v>
      </c>
      <c r="T75" s="288">
        <f>G75-I75</f>
        <v>-603000</v>
      </c>
      <c r="U75" s="289">
        <v>0</v>
      </c>
      <c r="V75" s="290" t="e">
        <f t="shared" si="1"/>
        <v>#DIV/0!</v>
      </c>
      <c r="X75" s="329"/>
      <c r="Y75" s="285"/>
      <c r="Z75" s="285"/>
      <c r="AA75" s="285"/>
      <c r="AB75" s="285"/>
      <c r="AC75" s="285"/>
      <c r="AD75" s="285"/>
      <c r="AE75" s="285"/>
    </row>
    <row r="76" spans="1:31" ht="18.95" customHeight="1">
      <c r="A76" s="312"/>
      <c r="B76" s="279" t="s">
        <v>102</v>
      </c>
      <c r="C76" s="280" t="s">
        <v>96</v>
      </c>
      <c r="D76" s="281" t="s">
        <v>43</v>
      </c>
      <c r="E76" s="282">
        <v>0</v>
      </c>
      <c r="F76" s="283"/>
      <c r="G76" s="282">
        <v>0</v>
      </c>
      <c r="H76" s="283"/>
      <c r="I76" s="284">
        <v>0</v>
      </c>
      <c r="J76" s="285">
        <v>0</v>
      </c>
      <c r="K76" s="285">
        <v>0</v>
      </c>
      <c r="L76" s="285">
        <v>0</v>
      </c>
      <c r="M76" s="285">
        <v>0</v>
      </c>
      <c r="N76" s="285">
        <v>0</v>
      </c>
      <c r="O76" s="285">
        <v>0</v>
      </c>
      <c r="P76" s="285">
        <v>-74360</v>
      </c>
      <c r="Q76" s="285">
        <v>0</v>
      </c>
      <c r="R76" s="286">
        <f>SUM(J76:Q76)</f>
        <v>-74360</v>
      </c>
      <c r="S76" s="287">
        <f>I76-R76</f>
        <v>74360</v>
      </c>
      <c r="T76" s="288">
        <f>G76-I76</f>
        <v>0</v>
      </c>
      <c r="U76" s="289">
        <v>0</v>
      </c>
      <c r="V76" s="290" t="e">
        <f t="shared" si="1"/>
        <v>#DIV/0!</v>
      </c>
      <c r="X76" s="329"/>
      <c r="Y76" s="285"/>
      <c r="Z76" s="285"/>
      <c r="AA76" s="285"/>
      <c r="AB76" s="285"/>
      <c r="AC76" s="285"/>
      <c r="AD76" s="285"/>
      <c r="AE76" s="285"/>
    </row>
    <row r="77" spans="1:31" ht="18.95" customHeight="1">
      <c r="A77" s="312"/>
      <c r="B77" s="279" t="s">
        <v>102</v>
      </c>
      <c r="C77" s="280" t="s">
        <v>103</v>
      </c>
      <c r="D77" s="281" t="s">
        <v>104</v>
      </c>
      <c r="E77" s="282">
        <v>0</v>
      </c>
      <c r="F77" s="283"/>
      <c r="G77" s="282">
        <v>0</v>
      </c>
      <c r="H77" s="283"/>
      <c r="I77" s="284">
        <v>8150000</v>
      </c>
      <c r="J77" s="285">
        <v>0</v>
      </c>
      <c r="K77" s="285">
        <v>0</v>
      </c>
      <c r="L77" s="285">
        <v>0</v>
      </c>
      <c r="M77" s="285">
        <v>0</v>
      </c>
      <c r="N77" s="285">
        <v>4914450</v>
      </c>
      <c r="O77" s="285">
        <v>2273850</v>
      </c>
      <c r="P77" s="285">
        <v>0</v>
      </c>
      <c r="Q77" s="285">
        <v>0</v>
      </c>
      <c r="R77" s="286">
        <f>SUM(J77:Q77)</f>
        <v>7188300</v>
      </c>
      <c r="S77" s="287">
        <f>I77-R77</f>
        <v>961700</v>
      </c>
      <c r="T77" s="288">
        <f>G77-I77</f>
        <v>-8150000</v>
      </c>
      <c r="U77" s="289">
        <v>0</v>
      </c>
      <c r="V77" s="290" t="e">
        <f t="shared" si="1"/>
        <v>#DIV/0!</v>
      </c>
      <c r="X77" s="329"/>
      <c r="Y77" s="285"/>
      <c r="Z77" s="285"/>
      <c r="AA77" s="285"/>
      <c r="AB77" s="285"/>
      <c r="AC77" s="285"/>
      <c r="AD77" s="285"/>
      <c r="AE77" s="285"/>
    </row>
    <row r="78" spans="1:31" ht="18.95" customHeight="1">
      <c r="A78" s="312"/>
      <c r="B78" s="279"/>
      <c r="C78" s="280" t="s">
        <v>96</v>
      </c>
      <c r="D78" s="281" t="s">
        <v>43</v>
      </c>
      <c r="E78" s="282">
        <v>0</v>
      </c>
      <c r="F78" s="283"/>
      <c r="G78" s="282">
        <v>0</v>
      </c>
      <c r="H78" s="283"/>
      <c r="I78" s="284">
        <v>0</v>
      </c>
      <c r="J78" s="285">
        <v>0</v>
      </c>
      <c r="K78" s="285">
        <v>0</v>
      </c>
      <c r="L78" s="285">
        <v>0</v>
      </c>
      <c r="M78" s="285">
        <v>0</v>
      </c>
      <c r="N78" s="285">
        <v>0</v>
      </c>
      <c r="O78" s="285">
        <v>0</v>
      </c>
      <c r="P78" s="285">
        <v>0</v>
      </c>
      <c r="Q78" s="285">
        <v>0</v>
      </c>
      <c r="R78" s="286">
        <f>SUM(J78:Q78)</f>
        <v>0</v>
      </c>
      <c r="S78" s="287">
        <f>I78-R78</f>
        <v>0</v>
      </c>
      <c r="T78" s="288">
        <f>G78-I78</f>
        <v>0</v>
      </c>
      <c r="U78" s="289">
        <v>0</v>
      </c>
      <c r="V78" s="290" t="e">
        <f t="shared" si="1"/>
        <v>#DIV/0!</v>
      </c>
      <c r="X78" s="329"/>
      <c r="Y78" s="285"/>
      <c r="Z78" s="285"/>
      <c r="AA78" s="285"/>
      <c r="AB78" s="285"/>
      <c r="AC78" s="285"/>
      <c r="AD78" s="285"/>
      <c r="AE78" s="285"/>
    </row>
    <row r="79" spans="1:31" ht="18.95" customHeight="1">
      <c r="A79" s="312"/>
      <c r="B79" s="279"/>
      <c r="C79" s="280" t="s">
        <v>98</v>
      </c>
      <c r="D79" s="281" t="s">
        <v>43</v>
      </c>
      <c r="E79" s="282">
        <v>0</v>
      </c>
      <c r="F79" s="283"/>
      <c r="G79" s="282">
        <v>0</v>
      </c>
      <c r="H79" s="283"/>
      <c r="I79" s="284">
        <v>0</v>
      </c>
      <c r="J79" s="285">
        <v>0</v>
      </c>
      <c r="K79" s="285">
        <v>0</v>
      </c>
      <c r="L79" s="285">
        <v>0</v>
      </c>
      <c r="M79" s="285">
        <v>0</v>
      </c>
      <c r="N79" s="285">
        <v>0</v>
      </c>
      <c r="O79" s="285">
        <v>0</v>
      </c>
      <c r="P79" s="285">
        <v>0</v>
      </c>
      <c r="Q79" s="285">
        <v>0</v>
      </c>
      <c r="R79" s="286">
        <f>SUM(J79:Q79)</f>
        <v>0</v>
      </c>
      <c r="S79" s="287">
        <f>I79-R79</f>
        <v>0</v>
      </c>
      <c r="T79" s="288">
        <f>G79-I79</f>
        <v>0</v>
      </c>
      <c r="U79" s="289">
        <v>0</v>
      </c>
      <c r="V79" s="290" t="e">
        <f t="shared" si="1"/>
        <v>#DIV/0!</v>
      </c>
      <c r="X79" s="329"/>
      <c r="Y79" s="285"/>
      <c r="Z79" s="285"/>
      <c r="AA79" s="285"/>
      <c r="AB79" s="285"/>
      <c r="AC79" s="285"/>
      <c r="AD79" s="285"/>
      <c r="AE79" s="285"/>
    </row>
    <row r="80" spans="1:31" ht="18.95" customHeight="1">
      <c r="A80" s="312"/>
      <c r="B80" s="279"/>
      <c r="C80" s="280" t="s">
        <v>97</v>
      </c>
      <c r="D80" s="281" t="s">
        <v>43</v>
      </c>
      <c r="E80" s="282">
        <v>1070000</v>
      </c>
      <c r="F80" s="283"/>
      <c r="G80" s="282">
        <v>0</v>
      </c>
      <c r="H80" s="283"/>
      <c r="I80" s="284">
        <v>0</v>
      </c>
      <c r="J80" s="285">
        <v>0</v>
      </c>
      <c r="K80" s="285">
        <v>0</v>
      </c>
      <c r="L80" s="285">
        <v>0</v>
      </c>
      <c r="M80" s="285">
        <v>0</v>
      </c>
      <c r="N80" s="285">
        <v>0</v>
      </c>
      <c r="O80" s="285">
        <v>0</v>
      </c>
      <c r="P80" s="285">
        <v>0</v>
      </c>
      <c r="Q80" s="285">
        <v>0</v>
      </c>
      <c r="R80" s="286">
        <f>SUM(J80:Q80)</f>
        <v>0</v>
      </c>
      <c r="S80" s="287">
        <f>I80-R80</f>
        <v>0</v>
      </c>
      <c r="T80" s="288">
        <f>G80-I80</f>
        <v>0</v>
      </c>
      <c r="U80" s="289">
        <v>0</v>
      </c>
      <c r="V80" s="290" t="e">
        <f t="shared" si="1"/>
        <v>#DIV/0!</v>
      </c>
      <c r="X80" s="329"/>
      <c r="Y80" s="285"/>
      <c r="Z80" s="285"/>
      <c r="AA80" s="285"/>
      <c r="AB80" s="285"/>
      <c r="AC80" s="285"/>
      <c r="AD80" s="285"/>
      <c r="AE80" s="285"/>
    </row>
    <row r="81" spans="1:31" ht="18.95" customHeight="1">
      <c r="A81" s="313"/>
      <c r="B81" s="279"/>
      <c r="C81" s="280" t="s">
        <v>105</v>
      </c>
      <c r="D81" s="281" t="s">
        <v>43</v>
      </c>
      <c r="E81" s="282">
        <v>0</v>
      </c>
      <c r="F81" s="283"/>
      <c r="G81" s="282">
        <v>0</v>
      </c>
      <c r="H81" s="283"/>
      <c r="I81" s="284">
        <v>0</v>
      </c>
      <c r="J81" s="285">
        <v>0</v>
      </c>
      <c r="K81" s="285">
        <v>0</v>
      </c>
      <c r="L81" s="285">
        <v>0</v>
      </c>
      <c r="M81" s="285">
        <v>0</v>
      </c>
      <c r="N81" s="285">
        <v>0</v>
      </c>
      <c r="O81" s="285">
        <v>0</v>
      </c>
      <c r="P81" s="285">
        <v>0</v>
      </c>
      <c r="Q81" s="285">
        <v>0</v>
      </c>
      <c r="R81" s="286">
        <f>SUM(J81:Q81)</f>
        <v>0</v>
      </c>
      <c r="S81" s="287">
        <f>I81-R81</f>
        <v>0</v>
      </c>
      <c r="T81" s="288">
        <f>G81-I81</f>
        <v>0</v>
      </c>
      <c r="U81" s="289">
        <v>0</v>
      </c>
      <c r="V81" s="290" t="e">
        <f t="shared" si="1"/>
        <v>#DIV/0!</v>
      </c>
      <c r="X81" s="329"/>
      <c r="Y81" s="285"/>
      <c r="Z81" s="285"/>
      <c r="AA81" s="285"/>
      <c r="AB81" s="285"/>
      <c r="AC81" s="285"/>
      <c r="AD81" s="285"/>
      <c r="AE81" s="285"/>
    </row>
    <row r="82" spans="1:31" ht="18.95" customHeight="1">
      <c r="A82" s="314" t="s">
        <v>106</v>
      </c>
      <c r="B82" s="291" t="s">
        <v>38</v>
      </c>
      <c r="C82" s="292" t="s">
        <v>107</v>
      </c>
      <c r="D82" s="293" t="s">
        <v>40</v>
      </c>
      <c r="E82" s="294">
        <v>884700</v>
      </c>
      <c r="F82" s="295"/>
      <c r="G82" s="294">
        <v>1071750</v>
      </c>
      <c r="H82" s="295"/>
      <c r="I82" s="296">
        <v>1071750</v>
      </c>
      <c r="J82" s="273">
        <v>0</v>
      </c>
      <c r="K82" s="273">
        <v>0</v>
      </c>
      <c r="L82" s="273">
        <v>0</v>
      </c>
      <c r="M82" s="273">
        <v>0</v>
      </c>
      <c r="N82" s="273">
        <v>0</v>
      </c>
      <c r="O82" s="273">
        <v>0</v>
      </c>
      <c r="P82" s="273">
        <v>0</v>
      </c>
      <c r="Q82" s="273">
        <v>0</v>
      </c>
      <c r="R82" s="274">
        <f>SUM(J82:Q82)</f>
        <v>0</v>
      </c>
      <c r="S82" s="275">
        <f>I82-R82</f>
        <v>1071750</v>
      </c>
      <c r="T82" s="276">
        <f>G82-I82</f>
        <v>0</v>
      </c>
      <c r="U82" s="297">
        <v>8</v>
      </c>
      <c r="V82" s="278">
        <f t="shared" si="1"/>
        <v>0</v>
      </c>
      <c r="X82" s="328"/>
      <c r="Y82" s="273"/>
      <c r="Z82" s="273"/>
      <c r="AA82" s="273"/>
      <c r="AB82" s="273"/>
      <c r="AC82" s="273"/>
      <c r="AD82" s="273"/>
      <c r="AE82" s="273"/>
    </row>
    <row r="83" spans="1:31" ht="18.95" customHeight="1">
      <c r="A83" s="312"/>
      <c r="B83" s="279"/>
      <c r="C83" s="280" t="s">
        <v>107</v>
      </c>
      <c r="D83" s="281" t="s">
        <v>43</v>
      </c>
      <c r="E83" s="282">
        <v>0</v>
      </c>
      <c r="F83" s="283"/>
      <c r="G83" s="282">
        <v>0</v>
      </c>
      <c r="H83" s="283"/>
      <c r="I83" s="284">
        <v>0</v>
      </c>
      <c r="J83" s="285">
        <v>0</v>
      </c>
      <c r="K83" s="285">
        <v>0</v>
      </c>
      <c r="L83" s="285">
        <v>0</v>
      </c>
      <c r="M83" s="285">
        <v>0</v>
      </c>
      <c r="N83" s="285">
        <v>0</v>
      </c>
      <c r="O83" s="285">
        <v>0</v>
      </c>
      <c r="P83" s="285">
        <v>0</v>
      </c>
      <c r="Q83" s="285">
        <v>0</v>
      </c>
      <c r="R83" s="286">
        <f>SUM(J83:Q83)</f>
        <v>0</v>
      </c>
      <c r="S83" s="287">
        <f>I83-R83</f>
        <v>0</v>
      </c>
      <c r="T83" s="288">
        <f>G83-I83</f>
        <v>0</v>
      </c>
      <c r="U83" s="289">
        <v>0</v>
      </c>
      <c r="V83" s="290" t="e">
        <f t="shared" si="1"/>
        <v>#DIV/0!</v>
      </c>
      <c r="X83" s="329"/>
      <c r="Y83" s="285"/>
      <c r="Z83" s="285"/>
      <c r="AA83" s="285"/>
      <c r="AB83" s="285"/>
      <c r="AC83" s="285"/>
      <c r="AD83" s="285"/>
      <c r="AE83" s="285"/>
    </row>
    <row r="84" spans="1:31" ht="18.95" customHeight="1">
      <c r="A84" s="313"/>
      <c r="B84" s="279"/>
      <c r="C84" s="280" t="s">
        <v>108</v>
      </c>
      <c r="D84" s="281" t="s">
        <v>43</v>
      </c>
      <c r="E84" s="282">
        <v>0</v>
      </c>
      <c r="F84" s="283"/>
      <c r="G84" s="282">
        <v>0</v>
      </c>
      <c r="H84" s="283"/>
      <c r="I84" s="284">
        <v>0</v>
      </c>
      <c r="J84" s="285">
        <v>0</v>
      </c>
      <c r="K84" s="285">
        <v>0</v>
      </c>
      <c r="L84" s="285">
        <v>0</v>
      </c>
      <c r="M84" s="285">
        <v>0</v>
      </c>
      <c r="N84" s="285">
        <v>0</v>
      </c>
      <c r="O84" s="285">
        <v>0</v>
      </c>
      <c r="P84" s="285">
        <v>0</v>
      </c>
      <c r="Q84" s="285">
        <v>0</v>
      </c>
      <c r="R84" s="286">
        <f>SUM(J84:Q84)</f>
        <v>0</v>
      </c>
      <c r="S84" s="287">
        <f>I84-R84</f>
        <v>0</v>
      </c>
      <c r="T84" s="288">
        <f>G84-I84</f>
        <v>0</v>
      </c>
      <c r="U84" s="289">
        <v>0</v>
      </c>
      <c r="V84" s="290" t="e">
        <f t="shared" si="1"/>
        <v>#DIV/0!</v>
      </c>
      <c r="X84" s="329"/>
      <c r="Y84" s="285"/>
      <c r="Z84" s="285"/>
      <c r="AA84" s="285"/>
      <c r="AB84" s="285"/>
      <c r="AC84" s="285"/>
      <c r="AD84" s="285"/>
      <c r="AE84" s="285"/>
    </row>
    <row r="85" spans="1:31" ht="18.95" customHeight="1">
      <c r="A85" s="314" t="s">
        <v>109</v>
      </c>
      <c r="B85" s="291" t="s">
        <v>38</v>
      </c>
      <c r="C85" s="292" t="s">
        <v>110</v>
      </c>
      <c r="D85" s="293" t="s">
        <v>40</v>
      </c>
      <c r="E85" s="294">
        <v>4145400</v>
      </c>
      <c r="F85" s="295"/>
      <c r="G85" s="294">
        <v>4604830</v>
      </c>
      <c r="H85" s="295"/>
      <c r="I85" s="296">
        <v>4545390</v>
      </c>
      <c r="J85" s="273">
        <v>0</v>
      </c>
      <c r="K85" s="273">
        <v>0</v>
      </c>
      <c r="L85" s="273">
        <v>2800000</v>
      </c>
      <c r="M85" s="273">
        <v>0</v>
      </c>
      <c r="N85" s="273">
        <v>0</v>
      </c>
      <c r="O85" s="273">
        <v>1141700</v>
      </c>
      <c r="P85" s="273">
        <v>0</v>
      </c>
      <c r="Q85" s="273">
        <v>0</v>
      </c>
      <c r="R85" s="274">
        <f>SUM(J85:Q85)</f>
        <v>3941700</v>
      </c>
      <c r="S85" s="275">
        <f>I85-R85</f>
        <v>603690</v>
      </c>
      <c r="T85" s="276">
        <f>G85-I85</f>
        <v>59440</v>
      </c>
      <c r="U85" s="297">
        <v>2</v>
      </c>
      <c r="V85" s="278">
        <f t="shared" si="1"/>
        <v>1970850</v>
      </c>
      <c r="X85" s="328"/>
      <c r="Y85" s="273"/>
      <c r="Z85" s="273"/>
      <c r="AA85" s="273"/>
      <c r="AB85" s="273"/>
      <c r="AC85" s="273"/>
      <c r="AD85" s="273"/>
      <c r="AE85" s="273"/>
    </row>
    <row r="86" spans="1:31" ht="18.95" customHeight="1">
      <c r="A86" s="312"/>
      <c r="B86" s="279" t="s">
        <v>38</v>
      </c>
      <c r="C86" s="280" t="s">
        <v>110</v>
      </c>
      <c r="D86" s="281" t="s">
        <v>43</v>
      </c>
      <c r="E86" s="282">
        <v>0</v>
      </c>
      <c r="F86" s="283"/>
      <c r="G86" s="282">
        <v>0</v>
      </c>
      <c r="H86" s="283"/>
      <c r="I86" s="284">
        <v>0</v>
      </c>
      <c r="J86" s="285">
        <v>0</v>
      </c>
      <c r="K86" s="285">
        <v>0</v>
      </c>
      <c r="L86" s="285">
        <v>0</v>
      </c>
      <c r="M86" s="285">
        <v>0</v>
      </c>
      <c r="N86" s="285">
        <v>-158100</v>
      </c>
      <c r="O86" s="285">
        <v>-479500</v>
      </c>
      <c r="P86" s="285">
        <v>-727180</v>
      </c>
      <c r="Q86" s="285">
        <v>0</v>
      </c>
      <c r="R86" s="286">
        <f>SUM(J86:Q86)</f>
        <v>-1364780</v>
      </c>
      <c r="S86" s="287">
        <f>I86-R86</f>
        <v>1364780</v>
      </c>
      <c r="T86" s="288">
        <f>G86-I86</f>
        <v>0</v>
      </c>
      <c r="U86" s="289">
        <v>0</v>
      </c>
      <c r="V86" s="290" t="e">
        <f t="shared" si="1"/>
        <v>#DIV/0!</v>
      </c>
      <c r="X86" s="329"/>
      <c r="Y86" s="285"/>
      <c r="Z86" s="285"/>
      <c r="AA86" s="285"/>
      <c r="AB86" s="285"/>
      <c r="AC86" s="285"/>
      <c r="AD86" s="285"/>
      <c r="AE86" s="285"/>
    </row>
    <row r="87" spans="1:31" ht="18.95" customHeight="1">
      <c r="A87" s="312"/>
      <c r="B87" s="279" t="s">
        <v>38</v>
      </c>
      <c r="C87" s="280" t="s">
        <v>111</v>
      </c>
      <c r="D87" s="281" t="s">
        <v>40</v>
      </c>
      <c r="E87" s="282">
        <v>4275800</v>
      </c>
      <c r="F87" s="283"/>
      <c r="G87" s="282">
        <v>4366500</v>
      </c>
      <c r="H87" s="283"/>
      <c r="I87" s="284">
        <v>4366500</v>
      </c>
      <c r="J87" s="285">
        <v>0</v>
      </c>
      <c r="K87" s="285">
        <v>0</v>
      </c>
      <c r="L87" s="285">
        <v>0</v>
      </c>
      <c r="M87" s="285">
        <v>1840000</v>
      </c>
      <c r="N87" s="285">
        <v>1860000</v>
      </c>
      <c r="O87" s="285">
        <v>0</v>
      </c>
      <c r="P87" s="285">
        <v>0</v>
      </c>
      <c r="Q87" s="285">
        <v>0</v>
      </c>
      <c r="R87" s="286">
        <f>SUM(J87:Q87)</f>
        <v>3700000</v>
      </c>
      <c r="S87" s="287">
        <f>I87-R87</f>
        <v>666500</v>
      </c>
      <c r="T87" s="288">
        <f>G87-I87</f>
        <v>0</v>
      </c>
      <c r="U87" s="289">
        <v>21</v>
      </c>
      <c r="V87" s="290">
        <f t="shared" si="1"/>
        <v>176190.47619047618</v>
      </c>
      <c r="X87" s="329"/>
      <c r="Y87" s="285"/>
      <c r="Z87" s="285"/>
      <c r="AA87" s="285"/>
      <c r="AB87" s="285"/>
      <c r="AC87" s="285"/>
      <c r="AD87" s="285"/>
      <c r="AE87" s="285"/>
    </row>
    <row r="88" spans="1:31" ht="18.95" customHeight="1">
      <c r="A88" s="312"/>
      <c r="B88" s="279" t="s">
        <v>53</v>
      </c>
      <c r="C88" s="280" t="s">
        <v>112</v>
      </c>
      <c r="D88" s="281" t="s">
        <v>43</v>
      </c>
      <c r="E88" s="282">
        <v>0</v>
      </c>
      <c r="F88" s="283"/>
      <c r="G88" s="282">
        <v>0</v>
      </c>
      <c r="H88" s="283"/>
      <c r="I88" s="284">
        <v>0</v>
      </c>
      <c r="J88" s="285">
        <v>0</v>
      </c>
      <c r="K88" s="285">
        <v>0</v>
      </c>
      <c r="L88" s="285">
        <v>0</v>
      </c>
      <c r="M88" s="285">
        <v>149560</v>
      </c>
      <c r="N88" s="285">
        <v>803080</v>
      </c>
      <c r="O88" s="285">
        <v>688060</v>
      </c>
      <c r="P88" s="285">
        <v>0</v>
      </c>
      <c r="Q88" s="285">
        <v>0</v>
      </c>
      <c r="R88" s="286">
        <f>SUM(J88:Q88)</f>
        <v>1640700</v>
      </c>
      <c r="S88" s="287">
        <f>I88-R88</f>
        <v>-1640700</v>
      </c>
      <c r="T88" s="288">
        <f>G88-I88</f>
        <v>0</v>
      </c>
      <c r="U88" s="289">
        <v>0</v>
      </c>
      <c r="V88" s="290" t="e">
        <f t="shared" si="1"/>
        <v>#DIV/0!</v>
      </c>
      <c r="X88" s="329"/>
      <c r="Y88" s="285"/>
      <c r="Z88" s="285"/>
      <c r="AA88" s="285"/>
      <c r="AB88" s="285"/>
      <c r="AC88" s="285"/>
      <c r="AD88" s="285"/>
      <c r="AE88" s="285"/>
    </row>
    <row r="89" spans="1:31" ht="18.95" customHeight="1">
      <c r="A89" s="312"/>
      <c r="B89" s="279" t="s">
        <v>102</v>
      </c>
      <c r="C89" s="280" t="s">
        <v>110</v>
      </c>
      <c r="D89" s="281" t="s">
        <v>43</v>
      </c>
      <c r="E89" s="282">
        <v>0</v>
      </c>
      <c r="F89" s="283"/>
      <c r="G89" s="282">
        <v>0</v>
      </c>
      <c r="H89" s="283"/>
      <c r="I89" s="284">
        <v>0</v>
      </c>
      <c r="J89" s="285">
        <v>0</v>
      </c>
      <c r="K89" s="285">
        <v>0</v>
      </c>
      <c r="L89" s="285">
        <v>0</v>
      </c>
      <c r="M89" s="285">
        <v>0</v>
      </c>
      <c r="N89" s="285">
        <v>0</v>
      </c>
      <c r="O89" s="285">
        <v>-368600</v>
      </c>
      <c r="P89" s="285">
        <v>0</v>
      </c>
      <c r="Q89" s="285">
        <v>0</v>
      </c>
      <c r="R89" s="286">
        <f>SUM(J89:Q89)</f>
        <v>-368600</v>
      </c>
      <c r="S89" s="287">
        <f>I89-R89</f>
        <v>368600</v>
      </c>
      <c r="T89" s="288">
        <f>G89-I89</f>
        <v>0</v>
      </c>
      <c r="U89" s="289">
        <v>0</v>
      </c>
      <c r="V89" s="290" t="e">
        <f t="shared" si="1"/>
        <v>#DIV/0!</v>
      </c>
      <c r="X89" s="329"/>
      <c r="Y89" s="285"/>
      <c r="Z89" s="285"/>
      <c r="AA89" s="285"/>
      <c r="AB89" s="285"/>
      <c r="AC89" s="285"/>
      <c r="AD89" s="285"/>
      <c r="AE89" s="285"/>
    </row>
    <row r="90" spans="1:31" ht="18.95" customHeight="1">
      <c r="A90" s="312"/>
      <c r="B90" s="279"/>
      <c r="C90" s="280" t="s">
        <v>110</v>
      </c>
      <c r="D90" s="281" t="s">
        <v>43</v>
      </c>
      <c r="E90" s="282">
        <v>81200</v>
      </c>
      <c r="F90" s="283"/>
      <c r="G90" s="282">
        <v>0</v>
      </c>
      <c r="H90" s="283"/>
      <c r="I90" s="284">
        <v>0</v>
      </c>
      <c r="J90" s="285">
        <v>0</v>
      </c>
      <c r="K90" s="285">
        <v>0</v>
      </c>
      <c r="L90" s="285">
        <v>0</v>
      </c>
      <c r="M90" s="285">
        <v>0</v>
      </c>
      <c r="N90" s="285">
        <v>0</v>
      </c>
      <c r="O90" s="285">
        <v>0</v>
      </c>
      <c r="P90" s="285">
        <v>0</v>
      </c>
      <c r="Q90" s="285">
        <v>0</v>
      </c>
      <c r="R90" s="286">
        <f>SUM(J90:Q90)</f>
        <v>0</v>
      </c>
      <c r="S90" s="287">
        <f>I90-R90</f>
        <v>0</v>
      </c>
      <c r="T90" s="288">
        <f>G90-I90</f>
        <v>0</v>
      </c>
      <c r="U90" s="289">
        <v>0</v>
      </c>
      <c r="V90" s="290" t="e">
        <f t="shared" si="1"/>
        <v>#DIV/0!</v>
      </c>
      <c r="X90" s="329"/>
      <c r="Y90" s="285"/>
      <c r="Z90" s="285"/>
      <c r="AA90" s="285"/>
      <c r="AB90" s="285"/>
      <c r="AC90" s="285"/>
      <c r="AD90" s="285"/>
      <c r="AE90" s="285"/>
    </row>
    <row r="91" spans="1:31" ht="18.95" customHeight="1">
      <c r="A91" s="312"/>
      <c r="B91" s="279"/>
      <c r="C91" s="280" t="s">
        <v>112</v>
      </c>
      <c r="D91" s="281" t="s">
        <v>43</v>
      </c>
      <c r="E91" s="282">
        <v>0</v>
      </c>
      <c r="F91" s="283"/>
      <c r="G91" s="282">
        <v>0</v>
      </c>
      <c r="H91" s="283"/>
      <c r="I91" s="284">
        <v>0</v>
      </c>
      <c r="J91" s="285">
        <v>0</v>
      </c>
      <c r="K91" s="285">
        <v>0</v>
      </c>
      <c r="L91" s="285">
        <v>0</v>
      </c>
      <c r="M91" s="285">
        <v>0</v>
      </c>
      <c r="N91" s="285">
        <v>0</v>
      </c>
      <c r="O91" s="285">
        <v>0</v>
      </c>
      <c r="P91" s="285">
        <v>0</v>
      </c>
      <c r="Q91" s="285">
        <v>0</v>
      </c>
      <c r="R91" s="286">
        <f>SUM(J91:Q91)</f>
        <v>0</v>
      </c>
      <c r="S91" s="287">
        <f>I91-R91</f>
        <v>0</v>
      </c>
      <c r="T91" s="288">
        <f>G91-I91</f>
        <v>0</v>
      </c>
      <c r="U91" s="289">
        <v>0</v>
      </c>
      <c r="V91" s="290" t="e">
        <f t="shared" si="1"/>
        <v>#DIV/0!</v>
      </c>
      <c r="X91" s="329"/>
      <c r="Y91" s="285"/>
      <c r="Z91" s="285"/>
      <c r="AA91" s="285"/>
      <c r="AB91" s="285"/>
      <c r="AC91" s="285"/>
      <c r="AD91" s="285"/>
      <c r="AE91" s="285"/>
    </row>
    <row r="92" spans="1:31" ht="18.95" customHeight="1">
      <c r="A92" s="312"/>
      <c r="B92" s="279"/>
      <c r="C92" s="280" t="s">
        <v>111</v>
      </c>
      <c r="D92" s="281" t="s">
        <v>43</v>
      </c>
      <c r="E92" s="282">
        <v>0</v>
      </c>
      <c r="F92" s="283"/>
      <c r="G92" s="282">
        <v>0</v>
      </c>
      <c r="H92" s="283"/>
      <c r="I92" s="284">
        <v>0</v>
      </c>
      <c r="J92" s="285">
        <v>0</v>
      </c>
      <c r="K92" s="285">
        <v>0</v>
      </c>
      <c r="L92" s="285">
        <v>0</v>
      </c>
      <c r="M92" s="285">
        <v>0</v>
      </c>
      <c r="N92" s="285">
        <v>0</v>
      </c>
      <c r="O92" s="285">
        <v>0</v>
      </c>
      <c r="P92" s="285">
        <v>0</v>
      </c>
      <c r="Q92" s="285">
        <v>0</v>
      </c>
      <c r="R92" s="286">
        <f>SUM(J92:Q92)</f>
        <v>0</v>
      </c>
      <c r="S92" s="287">
        <f>I92-R92</f>
        <v>0</v>
      </c>
      <c r="T92" s="288">
        <f>G92-I92</f>
        <v>0</v>
      </c>
      <c r="U92" s="289">
        <v>0</v>
      </c>
      <c r="V92" s="290" t="e">
        <f t="shared" si="1"/>
        <v>#DIV/0!</v>
      </c>
      <c r="X92" s="329"/>
      <c r="Y92" s="285"/>
      <c r="Z92" s="285"/>
      <c r="AA92" s="285"/>
      <c r="AB92" s="285"/>
      <c r="AC92" s="285"/>
      <c r="AD92" s="285"/>
      <c r="AE92" s="285"/>
    </row>
    <row r="93" spans="1:31" ht="18.95" customHeight="1">
      <c r="A93" s="313"/>
      <c r="B93" s="279"/>
      <c r="C93" s="280" t="s">
        <v>113</v>
      </c>
      <c r="D93" s="281" t="s">
        <v>43</v>
      </c>
      <c r="E93" s="282">
        <v>0</v>
      </c>
      <c r="F93" s="283"/>
      <c r="G93" s="282">
        <v>0</v>
      </c>
      <c r="H93" s="283"/>
      <c r="I93" s="284">
        <v>0</v>
      </c>
      <c r="J93" s="285">
        <v>0</v>
      </c>
      <c r="K93" s="285">
        <v>0</v>
      </c>
      <c r="L93" s="285">
        <v>0</v>
      </c>
      <c r="M93" s="285">
        <v>0</v>
      </c>
      <c r="N93" s="285">
        <v>0</v>
      </c>
      <c r="O93" s="285">
        <v>0</v>
      </c>
      <c r="P93" s="285">
        <v>0</v>
      </c>
      <c r="Q93" s="285">
        <v>0</v>
      </c>
      <c r="R93" s="286">
        <f>SUM(J93:Q93)</f>
        <v>0</v>
      </c>
      <c r="S93" s="287">
        <f>I93-R93</f>
        <v>0</v>
      </c>
      <c r="T93" s="288">
        <f>G93-I93</f>
        <v>0</v>
      </c>
      <c r="U93" s="289">
        <v>0</v>
      </c>
      <c r="V93" s="290" t="e">
        <f t="shared" si="1"/>
        <v>#DIV/0!</v>
      </c>
      <c r="X93" s="329"/>
      <c r="Y93" s="285"/>
      <c r="Z93" s="285"/>
      <c r="AA93" s="285"/>
      <c r="AB93" s="285"/>
      <c r="AC93" s="285"/>
      <c r="AD93" s="285"/>
      <c r="AE93" s="285"/>
    </row>
    <row r="94" spans="1:31" ht="18.95" customHeight="1">
      <c r="A94" s="314" t="s">
        <v>114</v>
      </c>
      <c r="B94" s="291" t="s">
        <v>38</v>
      </c>
      <c r="C94" s="292" t="s">
        <v>115</v>
      </c>
      <c r="D94" s="293" t="s">
        <v>40</v>
      </c>
      <c r="E94" s="294">
        <v>2843500</v>
      </c>
      <c r="F94" s="295"/>
      <c r="G94" s="294">
        <v>3056300</v>
      </c>
      <c r="H94" s="295"/>
      <c r="I94" s="296">
        <v>3056300</v>
      </c>
      <c r="J94" s="273">
        <v>0</v>
      </c>
      <c r="K94" s="273">
        <v>0</v>
      </c>
      <c r="L94" s="273">
        <v>0</v>
      </c>
      <c r="M94" s="273">
        <v>0</v>
      </c>
      <c r="N94" s="273">
        <v>0</v>
      </c>
      <c r="O94" s="273">
        <v>3056300</v>
      </c>
      <c r="P94" s="273">
        <v>0</v>
      </c>
      <c r="Q94" s="273">
        <v>0</v>
      </c>
      <c r="R94" s="274">
        <f>SUM(J94:Q94)</f>
        <v>3056300</v>
      </c>
      <c r="S94" s="275">
        <f>I94-R94</f>
        <v>0</v>
      </c>
      <c r="T94" s="276">
        <f>G94-I94</f>
        <v>0</v>
      </c>
      <c r="U94" s="297">
        <v>0</v>
      </c>
      <c r="V94" s="278" t="e">
        <f t="shared" si="1"/>
        <v>#DIV/0!</v>
      </c>
      <c r="X94" s="328"/>
      <c r="Y94" s="273"/>
      <c r="Z94" s="273"/>
      <c r="AA94" s="273"/>
      <c r="AB94" s="273"/>
      <c r="AC94" s="273"/>
      <c r="AD94" s="273"/>
      <c r="AE94" s="273"/>
    </row>
    <row r="95" spans="1:31" ht="18.95" customHeight="1">
      <c r="A95" s="312"/>
      <c r="B95" s="279" t="s">
        <v>38</v>
      </c>
      <c r="C95" s="280" t="s">
        <v>116</v>
      </c>
      <c r="D95" s="281" t="s">
        <v>40</v>
      </c>
      <c r="E95" s="282">
        <v>3837900</v>
      </c>
      <c r="F95" s="283"/>
      <c r="G95" s="282">
        <v>3892000</v>
      </c>
      <c r="H95" s="283"/>
      <c r="I95" s="284">
        <v>3892000</v>
      </c>
      <c r="J95" s="285">
        <v>0</v>
      </c>
      <c r="K95" s="285">
        <v>0</v>
      </c>
      <c r="L95" s="285">
        <v>0</v>
      </c>
      <c r="M95" s="285">
        <v>0</v>
      </c>
      <c r="N95" s="285">
        <v>0</v>
      </c>
      <c r="O95" s="285">
        <v>3892000</v>
      </c>
      <c r="P95" s="285">
        <v>0</v>
      </c>
      <c r="Q95" s="285">
        <v>0</v>
      </c>
      <c r="R95" s="286">
        <f>SUM(J95:Q95)</f>
        <v>3892000</v>
      </c>
      <c r="S95" s="287">
        <f>I95-R95</f>
        <v>0</v>
      </c>
      <c r="T95" s="288">
        <f>G95-I95</f>
        <v>0</v>
      </c>
      <c r="U95" s="289">
        <v>17</v>
      </c>
      <c r="V95" s="290">
        <f t="shared" si="1"/>
        <v>228941.17647058822</v>
      </c>
      <c r="X95" s="329"/>
      <c r="Y95" s="285"/>
      <c r="Z95" s="285"/>
      <c r="AA95" s="285"/>
      <c r="AB95" s="285"/>
      <c r="AC95" s="285"/>
      <c r="AD95" s="285"/>
      <c r="AE95" s="285"/>
    </row>
    <row r="96" spans="1:31" ht="18.95" customHeight="1">
      <c r="A96" s="312"/>
      <c r="B96" s="279"/>
      <c r="C96" s="280" t="s">
        <v>115</v>
      </c>
      <c r="D96" s="281" t="s">
        <v>43</v>
      </c>
      <c r="E96" s="282">
        <v>62300</v>
      </c>
      <c r="F96" s="283"/>
      <c r="G96" s="282">
        <v>0</v>
      </c>
      <c r="H96" s="283"/>
      <c r="I96" s="284">
        <v>0</v>
      </c>
      <c r="J96" s="285">
        <v>0</v>
      </c>
      <c r="K96" s="285">
        <v>0</v>
      </c>
      <c r="L96" s="285">
        <v>0</v>
      </c>
      <c r="M96" s="285">
        <v>0</v>
      </c>
      <c r="N96" s="285">
        <v>0</v>
      </c>
      <c r="O96" s="285">
        <v>0</v>
      </c>
      <c r="P96" s="285">
        <v>0</v>
      </c>
      <c r="Q96" s="285">
        <v>0</v>
      </c>
      <c r="R96" s="286">
        <f>SUM(J96:Q96)</f>
        <v>0</v>
      </c>
      <c r="S96" s="287">
        <f>I96-R96</f>
        <v>0</v>
      </c>
      <c r="T96" s="288">
        <f>G96-I96</f>
        <v>0</v>
      </c>
      <c r="U96" s="289">
        <v>0</v>
      </c>
      <c r="V96" s="290" t="e">
        <f t="shared" si="1"/>
        <v>#DIV/0!</v>
      </c>
      <c r="X96" s="329"/>
      <c r="Y96" s="285"/>
      <c r="Z96" s="285"/>
      <c r="AA96" s="285"/>
      <c r="AB96" s="285"/>
      <c r="AC96" s="285"/>
      <c r="AD96" s="285"/>
      <c r="AE96" s="285"/>
    </row>
    <row r="97" spans="1:31" ht="18.95" customHeight="1">
      <c r="A97" s="312"/>
      <c r="B97" s="279"/>
      <c r="C97" s="280" t="s">
        <v>117</v>
      </c>
      <c r="D97" s="281" t="s">
        <v>43</v>
      </c>
      <c r="E97" s="282">
        <v>0</v>
      </c>
      <c r="F97" s="283"/>
      <c r="G97" s="282">
        <v>0</v>
      </c>
      <c r="H97" s="283"/>
      <c r="I97" s="284">
        <v>0</v>
      </c>
      <c r="J97" s="285">
        <v>0</v>
      </c>
      <c r="K97" s="285">
        <v>0</v>
      </c>
      <c r="L97" s="285">
        <v>0</v>
      </c>
      <c r="M97" s="285">
        <v>0</v>
      </c>
      <c r="N97" s="285">
        <v>0</v>
      </c>
      <c r="O97" s="285">
        <v>0</v>
      </c>
      <c r="P97" s="285">
        <v>0</v>
      </c>
      <c r="Q97" s="285">
        <v>0</v>
      </c>
      <c r="R97" s="286">
        <f>SUM(J97:Q97)</f>
        <v>0</v>
      </c>
      <c r="S97" s="287">
        <f>I97-R97</f>
        <v>0</v>
      </c>
      <c r="T97" s="288">
        <f>G97-I97</f>
        <v>0</v>
      </c>
      <c r="U97" s="289">
        <v>0</v>
      </c>
      <c r="V97" s="290" t="e">
        <f t="shared" si="1"/>
        <v>#DIV/0!</v>
      </c>
      <c r="X97" s="329"/>
      <c r="Y97" s="285"/>
      <c r="Z97" s="285"/>
      <c r="AA97" s="285"/>
      <c r="AB97" s="285"/>
      <c r="AC97" s="285"/>
      <c r="AD97" s="285"/>
      <c r="AE97" s="285"/>
    </row>
    <row r="98" spans="1:31" ht="18.95" customHeight="1">
      <c r="A98" s="312"/>
      <c r="B98" s="279"/>
      <c r="C98" s="280" t="s">
        <v>116</v>
      </c>
      <c r="D98" s="281" t="s">
        <v>43</v>
      </c>
      <c r="E98" s="282">
        <v>0</v>
      </c>
      <c r="F98" s="283"/>
      <c r="G98" s="282">
        <v>0</v>
      </c>
      <c r="H98" s="283"/>
      <c r="I98" s="284">
        <v>0</v>
      </c>
      <c r="J98" s="285">
        <v>0</v>
      </c>
      <c r="K98" s="285">
        <v>0</v>
      </c>
      <c r="L98" s="285">
        <v>0</v>
      </c>
      <c r="M98" s="285">
        <v>0</v>
      </c>
      <c r="N98" s="285">
        <v>0</v>
      </c>
      <c r="O98" s="285">
        <v>0</v>
      </c>
      <c r="P98" s="285">
        <v>0</v>
      </c>
      <c r="Q98" s="285">
        <v>0</v>
      </c>
      <c r="R98" s="286">
        <f>SUM(J98:Q98)</f>
        <v>0</v>
      </c>
      <c r="S98" s="287">
        <f>I98-R98</f>
        <v>0</v>
      </c>
      <c r="T98" s="288">
        <f>G98-I98</f>
        <v>0</v>
      </c>
      <c r="U98" s="289">
        <v>0</v>
      </c>
      <c r="V98" s="290" t="e">
        <f t="shared" si="1"/>
        <v>#DIV/0!</v>
      </c>
      <c r="X98" s="329"/>
      <c r="Y98" s="285"/>
      <c r="Z98" s="285"/>
      <c r="AA98" s="285"/>
      <c r="AB98" s="285"/>
      <c r="AC98" s="285"/>
      <c r="AD98" s="285"/>
      <c r="AE98" s="285"/>
    </row>
    <row r="99" spans="1:31" ht="18.95" customHeight="1">
      <c r="A99" s="313"/>
      <c r="B99" s="279"/>
      <c r="C99" s="280" t="s">
        <v>118</v>
      </c>
      <c r="D99" s="281" t="s">
        <v>43</v>
      </c>
      <c r="E99" s="282">
        <v>0</v>
      </c>
      <c r="F99" s="283"/>
      <c r="G99" s="282">
        <v>0</v>
      </c>
      <c r="H99" s="283"/>
      <c r="I99" s="284">
        <v>0</v>
      </c>
      <c r="J99" s="285">
        <v>0</v>
      </c>
      <c r="K99" s="285">
        <v>0</v>
      </c>
      <c r="L99" s="285">
        <v>0</v>
      </c>
      <c r="M99" s="285">
        <v>0</v>
      </c>
      <c r="N99" s="285">
        <v>0</v>
      </c>
      <c r="O99" s="285">
        <v>0</v>
      </c>
      <c r="P99" s="285">
        <v>0</v>
      </c>
      <c r="Q99" s="285">
        <v>0</v>
      </c>
      <c r="R99" s="286">
        <f>SUM(J99:Q99)</f>
        <v>0</v>
      </c>
      <c r="S99" s="287">
        <f>I99-R99</f>
        <v>0</v>
      </c>
      <c r="T99" s="288">
        <f>G99-I99</f>
        <v>0</v>
      </c>
      <c r="U99" s="289">
        <v>0</v>
      </c>
      <c r="V99" s="290" t="e">
        <f t="shared" si="1"/>
        <v>#DIV/0!</v>
      </c>
      <c r="X99" s="329"/>
      <c r="Y99" s="285"/>
      <c r="Z99" s="285"/>
      <c r="AA99" s="285"/>
      <c r="AB99" s="285"/>
      <c r="AC99" s="285"/>
      <c r="AD99" s="285"/>
      <c r="AE99" s="285"/>
    </row>
    <row r="100" spans="1:31" ht="18.95" customHeight="1">
      <c r="A100" s="314" t="s">
        <v>119</v>
      </c>
      <c r="B100" s="291" t="s">
        <v>38</v>
      </c>
      <c r="C100" s="292" t="s">
        <v>120</v>
      </c>
      <c r="D100" s="293" t="s">
        <v>40</v>
      </c>
      <c r="E100" s="294">
        <v>1539000</v>
      </c>
      <c r="F100" s="295"/>
      <c r="G100" s="294">
        <v>1556560</v>
      </c>
      <c r="H100" s="295"/>
      <c r="I100" s="296">
        <v>1556560</v>
      </c>
      <c r="J100" s="273">
        <v>0</v>
      </c>
      <c r="K100" s="273">
        <v>0</v>
      </c>
      <c r="L100" s="273">
        <v>0</v>
      </c>
      <c r="M100" s="273">
        <v>0</v>
      </c>
      <c r="N100" s="273">
        <v>0</v>
      </c>
      <c r="O100" s="273">
        <v>0</v>
      </c>
      <c r="P100" s="273">
        <v>0</v>
      </c>
      <c r="Q100" s="273">
        <v>0</v>
      </c>
      <c r="R100" s="274">
        <f>SUM(J100:Q100)</f>
        <v>0</v>
      </c>
      <c r="S100" s="275">
        <f>I100-R100</f>
        <v>1556560</v>
      </c>
      <c r="T100" s="276">
        <f>G100-I100</f>
        <v>0</v>
      </c>
      <c r="U100" s="297">
        <v>0</v>
      </c>
      <c r="V100" s="278" t="e">
        <f t="shared" si="1"/>
        <v>#DIV/0!</v>
      </c>
      <c r="X100" s="328"/>
      <c r="Y100" s="273"/>
      <c r="Z100" s="273"/>
      <c r="AA100" s="273"/>
      <c r="AB100" s="273"/>
      <c r="AC100" s="273"/>
      <c r="AD100" s="273"/>
      <c r="AE100" s="273"/>
    </row>
    <row r="101" spans="1:31" ht="18.95" customHeight="1">
      <c r="A101" s="312"/>
      <c r="B101" s="279"/>
      <c r="C101" s="280" t="s">
        <v>120</v>
      </c>
      <c r="D101" s="281" t="s">
        <v>43</v>
      </c>
      <c r="E101" s="282">
        <v>0</v>
      </c>
      <c r="F101" s="283"/>
      <c r="G101" s="282">
        <v>0</v>
      </c>
      <c r="H101" s="283"/>
      <c r="I101" s="284">
        <v>0</v>
      </c>
      <c r="J101" s="285">
        <v>0</v>
      </c>
      <c r="K101" s="285">
        <v>0</v>
      </c>
      <c r="L101" s="285">
        <v>0</v>
      </c>
      <c r="M101" s="285">
        <v>0</v>
      </c>
      <c r="N101" s="285">
        <v>0</v>
      </c>
      <c r="O101" s="285">
        <v>0</v>
      </c>
      <c r="P101" s="285">
        <v>0</v>
      </c>
      <c r="Q101" s="285">
        <v>0</v>
      </c>
      <c r="R101" s="286">
        <f>SUM(J101:Q101)</f>
        <v>0</v>
      </c>
      <c r="S101" s="287">
        <f>I101-R101</f>
        <v>0</v>
      </c>
      <c r="T101" s="288">
        <f>G101-I101</f>
        <v>0</v>
      </c>
      <c r="U101" s="289">
        <v>0</v>
      </c>
      <c r="V101" s="290" t="e">
        <f t="shared" si="1"/>
        <v>#DIV/0!</v>
      </c>
      <c r="X101" s="329"/>
      <c r="Y101" s="285"/>
      <c r="Z101" s="285"/>
      <c r="AA101" s="285"/>
      <c r="AB101" s="285"/>
      <c r="AC101" s="285"/>
      <c r="AD101" s="285"/>
      <c r="AE101" s="285"/>
    </row>
    <row r="102" spans="1:31" ht="18.95" customHeight="1">
      <c r="A102" s="313"/>
      <c r="B102" s="279"/>
      <c r="C102" s="280" t="s">
        <v>121</v>
      </c>
      <c r="D102" s="281" t="s">
        <v>43</v>
      </c>
      <c r="E102" s="282">
        <v>0</v>
      </c>
      <c r="F102" s="283"/>
      <c r="G102" s="282">
        <v>0</v>
      </c>
      <c r="H102" s="283"/>
      <c r="I102" s="284">
        <v>0</v>
      </c>
      <c r="J102" s="285">
        <v>0</v>
      </c>
      <c r="K102" s="285">
        <v>0</v>
      </c>
      <c r="L102" s="285">
        <v>0</v>
      </c>
      <c r="M102" s="285">
        <v>0</v>
      </c>
      <c r="N102" s="285">
        <v>0</v>
      </c>
      <c r="O102" s="285">
        <v>0</v>
      </c>
      <c r="P102" s="285">
        <v>0</v>
      </c>
      <c r="Q102" s="285">
        <v>0</v>
      </c>
      <c r="R102" s="286">
        <f>SUM(J102:Q102)</f>
        <v>0</v>
      </c>
      <c r="S102" s="287">
        <f>I102-R102</f>
        <v>0</v>
      </c>
      <c r="T102" s="288">
        <f>G102-I102</f>
        <v>0</v>
      </c>
      <c r="U102" s="289">
        <v>0</v>
      </c>
      <c r="V102" s="290" t="e">
        <f t="shared" si="1"/>
        <v>#DIV/0!</v>
      </c>
      <c r="X102" s="329"/>
      <c r="Y102" s="285"/>
      <c r="Z102" s="285"/>
      <c r="AA102" s="285"/>
      <c r="AB102" s="285"/>
      <c r="AC102" s="285"/>
      <c r="AD102" s="285"/>
      <c r="AE102" s="285"/>
    </row>
    <row r="103" spans="1:31" ht="18.95" customHeight="1">
      <c r="A103" s="314" t="s">
        <v>122</v>
      </c>
      <c r="B103" s="291" t="s">
        <v>38</v>
      </c>
      <c r="C103" s="292" t="s">
        <v>123</v>
      </c>
      <c r="D103" s="293" t="s">
        <v>40</v>
      </c>
      <c r="E103" s="294">
        <v>2525000</v>
      </c>
      <c r="F103" s="295"/>
      <c r="G103" s="294">
        <v>3351500</v>
      </c>
      <c r="H103" s="295"/>
      <c r="I103" s="296">
        <v>2851450</v>
      </c>
      <c r="J103" s="273">
        <v>0</v>
      </c>
      <c r="K103" s="273">
        <v>0</v>
      </c>
      <c r="L103" s="273">
        <v>600000</v>
      </c>
      <c r="M103" s="273">
        <v>90000</v>
      </c>
      <c r="N103" s="273">
        <v>0</v>
      </c>
      <c r="O103" s="273">
        <v>690000</v>
      </c>
      <c r="P103" s="273">
        <v>0</v>
      </c>
      <c r="Q103" s="273">
        <v>0</v>
      </c>
      <c r="R103" s="274">
        <f>SUM(J103:Q103)</f>
        <v>1380000</v>
      </c>
      <c r="S103" s="275">
        <f>I103-R103</f>
        <v>1471450</v>
      </c>
      <c r="T103" s="276">
        <f>G103-I103</f>
        <v>500050</v>
      </c>
      <c r="U103" s="297">
        <v>27</v>
      </c>
      <c r="V103" s="278">
        <f t="shared" si="1"/>
        <v>51111.111111111109</v>
      </c>
      <c r="X103" s="328"/>
      <c r="Y103" s="273"/>
      <c r="Z103" s="273"/>
      <c r="AA103" s="273"/>
      <c r="AB103" s="273"/>
      <c r="AC103" s="273"/>
      <c r="AD103" s="273"/>
      <c r="AE103" s="273"/>
    </row>
    <row r="104" spans="1:31" ht="18.95" customHeight="1">
      <c r="A104" s="312"/>
      <c r="B104" s="279" t="s">
        <v>124</v>
      </c>
      <c r="C104" s="280" t="s">
        <v>123</v>
      </c>
      <c r="D104" s="281" t="s">
        <v>125</v>
      </c>
      <c r="E104" s="282">
        <v>500000</v>
      </c>
      <c r="F104" s="283"/>
      <c r="G104" s="282">
        <v>0</v>
      </c>
      <c r="H104" s="283"/>
      <c r="I104" s="284">
        <v>527000</v>
      </c>
      <c r="J104" s="285">
        <v>0</v>
      </c>
      <c r="K104" s="285">
        <v>0</v>
      </c>
      <c r="L104" s="285">
        <v>0</v>
      </c>
      <c r="M104" s="285">
        <v>0</v>
      </c>
      <c r="N104" s="285">
        <v>0</v>
      </c>
      <c r="O104" s="285">
        <v>527000</v>
      </c>
      <c r="P104" s="285">
        <v>0</v>
      </c>
      <c r="Q104" s="285">
        <v>0</v>
      </c>
      <c r="R104" s="286">
        <f>SUM(J104:Q104)</f>
        <v>527000</v>
      </c>
      <c r="S104" s="287">
        <f>I104-R104</f>
        <v>0</v>
      </c>
      <c r="T104" s="288">
        <f>G104-I104</f>
        <v>-527000</v>
      </c>
      <c r="U104" s="289">
        <v>0</v>
      </c>
      <c r="V104" s="290" t="e">
        <f t="shared" si="1"/>
        <v>#DIV/0!</v>
      </c>
      <c r="X104" s="329"/>
      <c r="Y104" s="285"/>
      <c r="Z104" s="285"/>
      <c r="AA104" s="285"/>
      <c r="AB104" s="285"/>
      <c r="AC104" s="285"/>
      <c r="AD104" s="285"/>
      <c r="AE104" s="285"/>
    </row>
    <row r="105" spans="1:31" ht="18.95" customHeight="1">
      <c r="A105" s="312"/>
      <c r="B105" s="279" t="s">
        <v>124</v>
      </c>
      <c r="C105" s="280" t="s">
        <v>123</v>
      </c>
      <c r="D105" s="281" t="s">
        <v>43</v>
      </c>
      <c r="E105" s="282">
        <v>0</v>
      </c>
      <c r="F105" s="283"/>
      <c r="G105" s="282">
        <v>0</v>
      </c>
      <c r="H105" s="283"/>
      <c r="I105" s="284">
        <v>0</v>
      </c>
      <c r="J105" s="285">
        <v>0</v>
      </c>
      <c r="K105" s="285">
        <v>0</v>
      </c>
      <c r="L105" s="285">
        <v>0</v>
      </c>
      <c r="M105" s="285">
        <v>0</v>
      </c>
      <c r="N105" s="285">
        <v>30000</v>
      </c>
      <c r="O105" s="285">
        <v>0</v>
      </c>
      <c r="P105" s="285">
        <v>0</v>
      </c>
      <c r="Q105" s="285">
        <v>0</v>
      </c>
      <c r="R105" s="286">
        <f>SUM(J105:Q105)</f>
        <v>30000</v>
      </c>
      <c r="S105" s="287">
        <f>I105-R105</f>
        <v>-30000</v>
      </c>
      <c r="T105" s="288">
        <f>G105-I105</f>
        <v>0</v>
      </c>
      <c r="U105" s="289">
        <v>0</v>
      </c>
      <c r="V105" s="290" t="e">
        <f t="shared" si="1"/>
        <v>#DIV/0!</v>
      </c>
      <c r="X105" s="329"/>
      <c r="Y105" s="285"/>
      <c r="Z105" s="285"/>
      <c r="AA105" s="285"/>
      <c r="AB105" s="285"/>
      <c r="AC105" s="285"/>
      <c r="AD105" s="285"/>
      <c r="AE105" s="285"/>
    </row>
    <row r="106" spans="1:31" ht="18.95" customHeight="1">
      <c r="A106" s="312"/>
      <c r="B106" s="279" t="s">
        <v>46</v>
      </c>
      <c r="C106" s="280" t="s">
        <v>126</v>
      </c>
      <c r="D106" s="281" t="s">
        <v>127</v>
      </c>
      <c r="E106" s="282">
        <v>3285050</v>
      </c>
      <c r="F106" s="283"/>
      <c r="G106" s="282">
        <v>2000000</v>
      </c>
      <c r="H106" s="283"/>
      <c r="I106" s="284">
        <v>2000000</v>
      </c>
      <c r="J106" s="285">
        <v>0</v>
      </c>
      <c r="K106" s="285">
        <v>0</v>
      </c>
      <c r="L106" s="285">
        <v>0</v>
      </c>
      <c r="M106" s="285">
        <v>0</v>
      </c>
      <c r="N106" s="285">
        <v>0</v>
      </c>
      <c r="O106" s="285">
        <v>0</v>
      </c>
      <c r="P106" s="285">
        <v>0</v>
      </c>
      <c r="Q106" s="285">
        <v>0</v>
      </c>
      <c r="R106" s="286">
        <f>SUM(J106:Q106)</f>
        <v>0</v>
      </c>
      <c r="S106" s="287">
        <f>I106-R106</f>
        <v>2000000</v>
      </c>
      <c r="T106" s="288">
        <f>G106-I106</f>
        <v>0</v>
      </c>
      <c r="U106" s="289">
        <v>0</v>
      </c>
      <c r="V106" s="290" t="e">
        <f t="shared" si="1"/>
        <v>#DIV/0!</v>
      </c>
      <c r="X106" s="329"/>
      <c r="Y106" s="285"/>
      <c r="Z106" s="285"/>
      <c r="AA106" s="285"/>
      <c r="AB106" s="285"/>
      <c r="AC106" s="285"/>
      <c r="AD106" s="285"/>
      <c r="AE106" s="285"/>
    </row>
    <row r="107" spans="1:31" ht="18.95" customHeight="1">
      <c r="A107" s="312"/>
      <c r="B107" s="279" t="s">
        <v>46</v>
      </c>
      <c r="C107" s="280" t="s">
        <v>123</v>
      </c>
      <c r="D107" s="281" t="s">
        <v>43</v>
      </c>
      <c r="E107" s="282">
        <v>0</v>
      </c>
      <c r="F107" s="283"/>
      <c r="G107" s="282">
        <v>0</v>
      </c>
      <c r="H107" s="283"/>
      <c r="I107" s="284">
        <v>0</v>
      </c>
      <c r="J107" s="285">
        <v>0</v>
      </c>
      <c r="K107" s="285">
        <v>0</v>
      </c>
      <c r="L107" s="285">
        <v>0</v>
      </c>
      <c r="M107" s="285">
        <v>108000</v>
      </c>
      <c r="N107" s="285">
        <v>0</v>
      </c>
      <c r="O107" s="285">
        <v>54000</v>
      </c>
      <c r="P107" s="285">
        <v>0</v>
      </c>
      <c r="Q107" s="285">
        <v>0</v>
      </c>
      <c r="R107" s="286">
        <f>SUM(J107:Q107)</f>
        <v>162000</v>
      </c>
      <c r="S107" s="287">
        <f>I107-R107</f>
        <v>-162000</v>
      </c>
      <c r="T107" s="288">
        <f>G107-I107</f>
        <v>0</v>
      </c>
      <c r="U107" s="289">
        <v>2</v>
      </c>
      <c r="V107" s="290">
        <f t="shared" si="1"/>
        <v>81000</v>
      </c>
      <c r="X107" s="329"/>
      <c r="Y107" s="285"/>
      <c r="Z107" s="285"/>
      <c r="AA107" s="285"/>
      <c r="AB107" s="285"/>
      <c r="AC107" s="285"/>
      <c r="AD107" s="285"/>
      <c r="AE107" s="285"/>
    </row>
    <row r="108" spans="1:31" ht="18.95" customHeight="1">
      <c r="A108" s="312"/>
      <c r="B108" s="279" t="s">
        <v>128</v>
      </c>
      <c r="C108" s="280" t="s">
        <v>123</v>
      </c>
      <c r="D108" s="281" t="s">
        <v>43</v>
      </c>
      <c r="E108" s="282">
        <v>0</v>
      </c>
      <c r="F108" s="283"/>
      <c r="G108" s="282">
        <v>0</v>
      </c>
      <c r="H108" s="283"/>
      <c r="I108" s="284">
        <v>0</v>
      </c>
      <c r="J108" s="285">
        <v>0</v>
      </c>
      <c r="K108" s="285">
        <v>0</v>
      </c>
      <c r="L108" s="285">
        <v>155000</v>
      </c>
      <c r="M108" s="285">
        <v>0</v>
      </c>
      <c r="N108" s="285">
        <v>0</v>
      </c>
      <c r="O108" s="285">
        <v>0</v>
      </c>
      <c r="P108" s="285">
        <v>0</v>
      </c>
      <c r="Q108" s="285">
        <v>0</v>
      </c>
      <c r="R108" s="286">
        <f>SUM(J108:Q108)</f>
        <v>155000</v>
      </c>
      <c r="S108" s="287">
        <f>I108-R108</f>
        <v>-155000</v>
      </c>
      <c r="T108" s="288">
        <f>G108-I108</f>
        <v>0</v>
      </c>
      <c r="U108" s="289">
        <v>0</v>
      </c>
      <c r="V108" s="290" t="e">
        <f t="shared" si="1"/>
        <v>#DIV/0!</v>
      </c>
      <c r="X108" s="329"/>
      <c r="Y108" s="285"/>
      <c r="Z108" s="285"/>
      <c r="AA108" s="285"/>
      <c r="AB108" s="285"/>
      <c r="AC108" s="285"/>
      <c r="AD108" s="285"/>
      <c r="AE108" s="285"/>
    </row>
    <row r="109" spans="1:31" ht="18.95" customHeight="1">
      <c r="A109" s="312"/>
      <c r="B109" s="279" t="s">
        <v>129</v>
      </c>
      <c r="C109" s="280" t="s">
        <v>123</v>
      </c>
      <c r="D109" s="281" t="s">
        <v>43</v>
      </c>
      <c r="E109" s="282">
        <v>0</v>
      </c>
      <c r="F109" s="283"/>
      <c r="G109" s="282">
        <v>0</v>
      </c>
      <c r="H109" s="283"/>
      <c r="I109" s="284">
        <v>90000</v>
      </c>
      <c r="J109" s="285">
        <v>0</v>
      </c>
      <c r="K109" s="285">
        <v>0</v>
      </c>
      <c r="L109" s="285">
        <v>0</v>
      </c>
      <c r="M109" s="285">
        <v>90000</v>
      </c>
      <c r="N109" s="285">
        <v>0</v>
      </c>
      <c r="O109" s="285">
        <v>0</v>
      </c>
      <c r="P109" s="285">
        <v>0</v>
      </c>
      <c r="Q109" s="285">
        <v>0</v>
      </c>
      <c r="R109" s="286">
        <f>SUM(J109:Q109)</f>
        <v>90000</v>
      </c>
      <c r="S109" s="287">
        <f>I109-R109</f>
        <v>0</v>
      </c>
      <c r="T109" s="288">
        <f>G109-I109</f>
        <v>-90000</v>
      </c>
      <c r="U109" s="289">
        <v>4</v>
      </c>
      <c r="V109" s="290">
        <f t="shared" si="1"/>
        <v>22500</v>
      </c>
      <c r="X109" s="329"/>
      <c r="Y109" s="285"/>
      <c r="Z109" s="285"/>
      <c r="AA109" s="285"/>
      <c r="AB109" s="285"/>
      <c r="AC109" s="285"/>
      <c r="AD109" s="285"/>
      <c r="AE109" s="285"/>
    </row>
    <row r="110" spans="1:31" ht="18.95" customHeight="1">
      <c r="A110" s="312"/>
      <c r="B110" s="279" t="s">
        <v>99</v>
      </c>
      <c r="C110" s="280" t="s">
        <v>123</v>
      </c>
      <c r="D110" s="281" t="s">
        <v>43</v>
      </c>
      <c r="E110" s="282">
        <v>0</v>
      </c>
      <c r="F110" s="283"/>
      <c r="G110" s="282">
        <v>0</v>
      </c>
      <c r="H110" s="283"/>
      <c r="I110" s="284">
        <v>75000</v>
      </c>
      <c r="J110" s="285">
        <v>0</v>
      </c>
      <c r="K110" s="285">
        <v>0</v>
      </c>
      <c r="L110" s="285">
        <v>0</v>
      </c>
      <c r="M110" s="285">
        <v>25000</v>
      </c>
      <c r="N110" s="285">
        <v>0</v>
      </c>
      <c r="O110" s="285">
        <v>0</v>
      </c>
      <c r="P110" s="285">
        <v>0</v>
      </c>
      <c r="Q110" s="285">
        <v>0</v>
      </c>
      <c r="R110" s="286">
        <f>SUM(J110:Q110)</f>
        <v>25000</v>
      </c>
      <c r="S110" s="287">
        <f>I110-R110</f>
        <v>50000</v>
      </c>
      <c r="T110" s="288">
        <f>G110-I110</f>
        <v>-75000</v>
      </c>
      <c r="U110" s="289">
        <v>1</v>
      </c>
      <c r="V110" s="290">
        <f t="shared" si="1"/>
        <v>25000</v>
      </c>
      <c r="X110" s="329"/>
      <c r="Y110" s="285"/>
      <c r="Z110" s="285"/>
      <c r="AA110" s="285"/>
      <c r="AB110" s="285"/>
      <c r="AC110" s="285"/>
      <c r="AD110" s="285"/>
      <c r="AE110" s="285"/>
    </row>
    <row r="111" spans="1:31" ht="18.95" customHeight="1">
      <c r="A111" s="312"/>
      <c r="B111" s="279"/>
      <c r="C111" s="280" t="s">
        <v>126</v>
      </c>
      <c r="D111" s="281" t="s">
        <v>43</v>
      </c>
      <c r="E111" s="282">
        <v>100000</v>
      </c>
      <c r="F111" s="283"/>
      <c r="G111" s="282">
        <v>0</v>
      </c>
      <c r="H111" s="283"/>
      <c r="I111" s="284">
        <v>0</v>
      </c>
      <c r="J111" s="285">
        <v>0</v>
      </c>
      <c r="K111" s="285">
        <v>0</v>
      </c>
      <c r="L111" s="285">
        <v>0</v>
      </c>
      <c r="M111" s="285">
        <v>0</v>
      </c>
      <c r="N111" s="285">
        <v>0</v>
      </c>
      <c r="O111" s="285">
        <v>0</v>
      </c>
      <c r="P111" s="285">
        <v>0</v>
      </c>
      <c r="Q111" s="285">
        <v>0</v>
      </c>
      <c r="R111" s="286">
        <f>SUM(J111:Q111)</f>
        <v>0</v>
      </c>
      <c r="S111" s="287">
        <f>I111-R111</f>
        <v>0</v>
      </c>
      <c r="T111" s="288">
        <f>G111-I111</f>
        <v>0</v>
      </c>
      <c r="U111" s="289">
        <v>0</v>
      </c>
      <c r="V111" s="290" t="e">
        <f t="shared" si="1"/>
        <v>#DIV/0!</v>
      </c>
      <c r="X111" s="329"/>
      <c r="Y111" s="285"/>
      <c r="Z111" s="285"/>
      <c r="AA111" s="285"/>
      <c r="AB111" s="285"/>
      <c r="AC111" s="285"/>
      <c r="AD111" s="285"/>
      <c r="AE111" s="285"/>
    </row>
    <row r="112" spans="1:31" ht="18.95" customHeight="1">
      <c r="A112" s="312"/>
      <c r="B112" s="279"/>
      <c r="C112" s="280" t="s">
        <v>130</v>
      </c>
      <c r="D112" s="281" t="s">
        <v>43</v>
      </c>
      <c r="E112" s="282">
        <v>0</v>
      </c>
      <c r="F112" s="283"/>
      <c r="G112" s="282">
        <v>0</v>
      </c>
      <c r="H112" s="283"/>
      <c r="I112" s="284">
        <v>0</v>
      </c>
      <c r="J112" s="285">
        <v>0</v>
      </c>
      <c r="K112" s="285">
        <v>0</v>
      </c>
      <c r="L112" s="285">
        <v>0</v>
      </c>
      <c r="M112" s="285">
        <v>0</v>
      </c>
      <c r="N112" s="285">
        <v>0</v>
      </c>
      <c r="O112" s="285">
        <v>0</v>
      </c>
      <c r="P112" s="285">
        <v>0</v>
      </c>
      <c r="Q112" s="285">
        <v>0</v>
      </c>
      <c r="R112" s="286">
        <f>SUM(J112:Q112)</f>
        <v>0</v>
      </c>
      <c r="S112" s="287">
        <f>I112-R112</f>
        <v>0</v>
      </c>
      <c r="T112" s="288">
        <f>G112-I112</f>
        <v>0</v>
      </c>
      <c r="U112" s="289">
        <v>0</v>
      </c>
      <c r="V112" s="290" t="e">
        <f t="shared" si="1"/>
        <v>#DIV/0!</v>
      </c>
      <c r="X112" s="329"/>
      <c r="Y112" s="285"/>
      <c r="Z112" s="285"/>
      <c r="AA112" s="285"/>
      <c r="AB112" s="285"/>
      <c r="AC112" s="285"/>
      <c r="AD112" s="285"/>
      <c r="AE112" s="285"/>
    </row>
    <row r="113" spans="1:31" ht="18.95" customHeight="1">
      <c r="A113" s="312"/>
      <c r="B113" s="279"/>
      <c r="C113" s="280" t="s">
        <v>123</v>
      </c>
      <c r="D113" s="281" t="s">
        <v>43</v>
      </c>
      <c r="E113" s="282">
        <v>300000</v>
      </c>
      <c r="F113" s="283"/>
      <c r="G113" s="282">
        <v>200000</v>
      </c>
      <c r="H113" s="283"/>
      <c r="I113" s="284">
        <v>425000</v>
      </c>
      <c r="J113" s="285">
        <v>0</v>
      </c>
      <c r="K113" s="285">
        <v>0</v>
      </c>
      <c r="L113" s="285">
        <v>0</v>
      </c>
      <c r="M113" s="285">
        <v>0</v>
      </c>
      <c r="N113" s="285">
        <v>0</v>
      </c>
      <c r="O113" s="285">
        <v>0</v>
      </c>
      <c r="P113" s="285">
        <v>0</v>
      </c>
      <c r="Q113" s="285">
        <v>0</v>
      </c>
      <c r="R113" s="286">
        <f>SUM(J113:Q113)</f>
        <v>0</v>
      </c>
      <c r="S113" s="287">
        <f>I113-R113</f>
        <v>425000</v>
      </c>
      <c r="T113" s="288">
        <f>G113-I113</f>
        <v>-225000</v>
      </c>
      <c r="U113" s="289">
        <v>0</v>
      </c>
      <c r="V113" s="290" t="e">
        <f t="shared" si="1"/>
        <v>#DIV/0!</v>
      </c>
      <c r="X113" s="329"/>
      <c r="Y113" s="285"/>
      <c r="Z113" s="285"/>
      <c r="AA113" s="285"/>
      <c r="AB113" s="285"/>
      <c r="AC113" s="285"/>
      <c r="AD113" s="285"/>
      <c r="AE113" s="285"/>
    </row>
    <row r="114" spans="1:31" ht="18.95" customHeight="1">
      <c r="A114" s="313"/>
      <c r="B114" s="279"/>
      <c r="C114" s="280" t="s">
        <v>131</v>
      </c>
      <c r="D114" s="281" t="s">
        <v>43</v>
      </c>
      <c r="E114" s="282">
        <v>0</v>
      </c>
      <c r="F114" s="283"/>
      <c r="G114" s="282">
        <v>0</v>
      </c>
      <c r="H114" s="283"/>
      <c r="I114" s="284">
        <v>0</v>
      </c>
      <c r="J114" s="285">
        <v>0</v>
      </c>
      <c r="K114" s="285">
        <v>0</v>
      </c>
      <c r="L114" s="285">
        <v>0</v>
      </c>
      <c r="M114" s="285">
        <v>0</v>
      </c>
      <c r="N114" s="285">
        <v>0</v>
      </c>
      <c r="O114" s="285">
        <v>0</v>
      </c>
      <c r="P114" s="285">
        <v>0</v>
      </c>
      <c r="Q114" s="285">
        <v>0</v>
      </c>
      <c r="R114" s="286">
        <f>SUM(J114:Q114)</f>
        <v>0</v>
      </c>
      <c r="S114" s="287">
        <f>I114-R114</f>
        <v>0</v>
      </c>
      <c r="T114" s="288">
        <f>G114-I114</f>
        <v>0</v>
      </c>
      <c r="U114" s="289">
        <v>0</v>
      </c>
      <c r="V114" s="290" t="e">
        <f t="shared" si="1"/>
        <v>#DIV/0!</v>
      </c>
      <c r="X114" s="329"/>
      <c r="Y114" s="285"/>
      <c r="Z114" s="285"/>
      <c r="AA114" s="285"/>
      <c r="AB114" s="285"/>
      <c r="AC114" s="285"/>
      <c r="AD114" s="285"/>
      <c r="AE114" s="285"/>
    </row>
    <row r="115" spans="1:31" ht="18.95" customHeight="1">
      <c r="A115" s="314" t="s">
        <v>132</v>
      </c>
      <c r="B115" s="291" t="s">
        <v>38</v>
      </c>
      <c r="C115" s="292" t="s">
        <v>133</v>
      </c>
      <c r="D115" s="293" t="s">
        <v>40</v>
      </c>
      <c r="E115" s="294">
        <v>607100</v>
      </c>
      <c r="F115" s="295"/>
      <c r="G115" s="294">
        <v>477250</v>
      </c>
      <c r="H115" s="295"/>
      <c r="I115" s="296">
        <v>477250</v>
      </c>
      <c r="J115" s="273">
        <v>0</v>
      </c>
      <c r="K115" s="273">
        <v>0</v>
      </c>
      <c r="L115" s="273">
        <v>0</v>
      </c>
      <c r="M115" s="273">
        <v>0</v>
      </c>
      <c r="N115" s="273">
        <v>0</v>
      </c>
      <c r="O115" s="273">
        <v>0</v>
      </c>
      <c r="P115" s="273">
        <v>0</v>
      </c>
      <c r="Q115" s="273">
        <v>0</v>
      </c>
      <c r="R115" s="274">
        <f>SUM(J115:Q115)</f>
        <v>0</v>
      </c>
      <c r="S115" s="275">
        <f>I115-R115</f>
        <v>477250</v>
      </c>
      <c r="T115" s="276">
        <f>G115-I115</f>
        <v>0</v>
      </c>
      <c r="U115" s="297">
        <v>0</v>
      </c>
      <c r="V115" s="278" t="e">
        <f t="shared" si="1"/>
        <v>#DIV/0!</v>
      </c>
      <c r="X115" s="328"/>
      <c r="Y115" s="273"/>
      <c r="Z115" s="273"/>
      <c r="AA115" s="273"/>
      <c r="AB115" s="273"/>
      <c r="AC115" s="273"/>
      <c r="AD115" s="273"/>
      <c r="AE115" s="273"/>
    </row>
    <row r="116" spans="1:31" ht="18.95" customHeight="1">
      <c r="A116" s="312"/>
      <c r="B116" s="279"/>
      <c r="C116" s="280" t="s">
        <v>133</v>
      </c>
      <c r="D116" s="281" t="s">
        <v>43</v>
      </c>
      <c r="E116" s="282">
        <v>150000</v>
      </c>
      <c r="F116" s="283"/>
      <c r="G116" s="282">
        <v>0</v>
      </c>
      <c r="H116" s="283"/>
      <c r="I116" s="284">
        <v>0</v>
      </c>
      <c r="J116" s="285">
        <v>0</v>
      </c>
      <c r="K116" s="285">
        <v>0</v>
      </c>
      <c r="L116" s="285">
        <v>0</v>
      </c>
      <c r="M116" s="285">
        <v>0</v>
      </c>
      <c r="N116" s="285">
        <v>0</v>
      </c>
      <c r="O116" s="285">
        <v>0</v>
      </c>
      <c r="P116" s="285">
        <v>0</v>
      </c>
      <c r="Q116" s="285">
        <v>0</v>
      </c>
      <c r="R116" s="286">
        <f>SUM(J116:Q116)</f>
        <v>0</v>
      </c>
      <c r="S116" s="287">
        <f>I116-R116</f>
        <v>0</v>
      </c>
      <c r="T116" s="288">
        <f>G116-I116</f>
        <v>0</v>
      </c>
      <c r="U116" s="289">
        <v>0</v>
      </c>
      <c r="V116" s="290" t="e">
        <f t="shared" si="1"/>
        <v>#DIV/0!</v>
      </c>
      <c r="X116" s="329"/>
      <c r="Y116" s="285"/>
      <c r="Z116" s="285"/>
      <c r="AA116" s="285"/>
      <c r="AB116" s="285"/>
      <c r="AC116" s="285"/>
      <c r="AD116" s="285"/>
      <c r="AE116" s="285"/>
    </row>
    <row r="117" spans="1:31" ht="18.95" customHeight="1" thickBot="1">
      <c r="A117" s="315"/>
      <c r="B117" s="299"/>
      <c r="C117" s="300" t="s">
        <v>134</v>
      </c>
      <c r="D117" s="301" t="s">
        <v>43</v>
      </c>
      <c r="E117" s="302">
        <v>0</v>
      </c>
      <c r="F117" s="303"/>
      <c r="G117" s="302">
        <v>0</v>
      </c>
      <c r="H117" s="303"/>
      <c r="I117" s="304">
        <v>0</v>
      </c>
      <c r="J117" s="305">
        <v>0</v>
      </c>
      <c r="K117" s="305">
        <v>0</v>
      </c>
      <c r="L117" s="305">
        <v>0</v>
      </c>
      <c r="M117" s="305">
        <v>0</v>
      </c>
      <c r="N117" s="305">
        <v>0</v>
      </c>
      <c r="O117" s="305">
        <v>0</v>
      </c>
      <c r="P117" s="305">
        <v>0</v>
      </c>
      <c r="Q117" s="305">
        <v>0</v>
      </c>
      <c r="R117" s="306">
        <f>SUM(J117:Q117)</f>
        <v>0</v>
      </c>
      <c r="S117" s="307">
        <f>I117-R117</f>
        <v>0</v>
      </c>
      <c r="T117" s="308">
        <f>G117-I117</f>
        <v>0</v>
      </c>
      <c r="U117" s="309">
        <v>0</v>
      </c>
      <c r="V117" s="310" t="e">
        <f t="shared" si="1"/>
        <v>#DIV/0!</v>
      </c>
      <c r="X117" s="330"/>
      <c r="Y117" s="305"/>
      <c r="Z117" s="305"/>
      <c r="AA117" s="305"/>
      <c r="AB117" s="305"/>
      <c r="AC117" s="305"/>
      <c r="AD117" s="305"/>
      <c r="AE117" s="305"/>
    </row>
    <row r="118" spans="1:31" ht="18.95" customHeight="1" thickTop="1" thickBot="1">
      <c r="A118" s="27"/>
      <c r="B118" s="28" t="s">
        <v>12</v>
      </c>
      <c r="C118" s="29"/>
      <c r="D118" s="29"/>
      <c r="E118" s="187">
        <f>SUM(E7:F117)</f>
        <v>68199585</v>
      </c>
      <c r="F118" s="188"/>
      <c r="G118" s="187">
        <f>SUM(G7:H117)</f>
        <v>66523590</v>
      </c>
      <c r="H118" s="188"/>
      <c r="I118" s="87">
        <f>SUM(I7:I117)</f>
        <v>73978400</v>
      </c>
      <c r="J118" s="30"/>
      <c r="K118" s="30"/>
      <c r="L118" s="30"/>
      <c r="M118" s="30"/>
      <c r="N118" s="30"/>
      <c r="O118" s="30"/>
      <c r="P118" s="30"/>
      <c r="Q118" s="30"/>
      <c r="R118" s="32">
        <f>SUM(R7:R117)</f>
        <v>52413802</v>
      </c>
      <c r="S118" s="32">
        <f>SUM(S7:S117)</f>
        <v>21564598</v>
      </c>
      <c r="T118" s="33">
        <f>SUM(T7:T117)</f>
        <v>-7454810</v>
      </c>
      <c r="U118" s="298">
        <f>SUM(U7:U117)</f>
        <v>478</v>
      </c>
      <c r="V118" s="34"/>
    </row>
    <row r="119" spans="1:31" ht="15" customHeight="1" thickTop="1">
      <c r="A119" s="189"/>
      <c r="B119" s="190"/>
      <c r="C119" s="190"/>
      <c r="D119" s="190"/>
      <c r="E119" s="191"/>
      <c r="F119" s="191"/>
      <c r="G119" s="191"/>
      <c r="H119" s="191"/>
      <c r="I119" s="191"/>
      <c r="J119" s="190"/>
      <c r="K119" s="190"/>
      <c r="L119" s="190"/>
      <c r="M119" s="190"/>
      <c r="N119" s="190"/>
      <c r="O119" s="190"/>
      <c r="P119" s="190"/>
      <c r="Q119" s="190"/>
      <c r="R119" s="190"/>
      <c r="S119" s="190"/>
      <c r="T119" s="190"/>
      <c r="U119" s="191"/>
      <c r="V119" s="192"/>
    </row>
    <row r="120" spans="1:31" ht="18.95" customHeight="1">
      <c r="A120" s="97"/>
      <c r="B120" s="98" t="s">
        <v>13</v>
      </c>
      <c r="C120" s="98"/>
      <c r="D120" s="99"/>
      <c r="E120" s="193" t="s">
        <v>32</v>
      </c>
      <c r="F120" s="194"/>
      <c r="G120" s="193" t="s">
        <v>14</v>
      </c>
      <c r="H120" s="194"/>
      <c r="I120" s="100" t="s">
        <v>15</v>
      </c>
      <c r="J120" s="101"/>
      <c r="K120" s="101"/>
      <c r="L120" s="101"/>
      <c r="M120" s="101"/>
      <c r="N120" s="101"/>
      <c r="O120" s="101"/>
      <c r="P120" s="101"/>
      <c r="Q120" s="101"/>
      <c r="R120" s="101"/>
      <c r="S120" s="102"/>
      <c r="T120" s="103"/>
      <c r="U120" s="103"/>
      <c r="V120" s="104"/>
    </row>
    <row r="121" spans="1:31" ht="18.95" customHeight="1">
      <c r="A121" s="105"/>
      <c r="B121" s="107"/>
      <c r="C121" s="80"/>
      <c r="D121" s="158"/>
      <c r="E121" s="183"/>
      <c r="F121" s="184"/>
      <c r="G121" s="183"/>
      <c r="H121" s="184"/>
      <c r="I121" s="108"/>
      <c r="J121" s="20"/>
      <c r="K121" s="20"/>
      <c r="L121" s="20"/>
      <c r="M121" s="20"/>
      <c r="N121" s="20"/>
      <c r="O121" s="20"/>
      <c r="P121" s="20"/>
      <c r="Q121" s="20"/>
      <c r="R121" s="81">
        <f>SUM(J121:Q121)</f>
        <v>0</v>
      </c>
      <c r="S121" s="23">
        <f>I121-R121</f>
        <v>0</v>
      </c>
      <c r="T121" s="24">
        <f>G121-I121</f>
        <v>0</v>
      </c>
      <c r="U121" s="68"/>
      <c r="V121" s="88" t="e">
        <f>R121/U121</f>
        <v>#DIV/0!</v>
      </c>
    </row>
    <row r="122" spans="1:31" ht="18.95" customHeight="1">
      <c r="A122" s="106"/>
      <c r="B122" s="109"/>
      <c r="C122" s="71"/>
      <c r="D122" s="157"/>
      <c r="E122" s="185"/>
      <c r="F122" s="186"/>
      <c r="G122" s="185"/>
      <c r="H122" s="186"/>
      <c r="I122" s="110"/>
      <c r="J122" s="111"/>
      <c r="K122" s="111"/>
      <c r="L122" s="111"/>
      <c r="M122" s="111"/>
      <c r="N122" s="111"/>
      <c r="O122" s="111"/>
      <c r="P122" s="111"/>
      <c r="Q122" s="111"/>
      <c r="R122" s="81">
        <f>SUM(J122:Q122)</f>
        <v>0</v>
      </c>
      <c r="S122" s="23">
        <f>I122-R122</f>
        <v>0</v>
      </c>
      <c r="T122" s="24">
        <f>G122-I122</f>
        <v>0</v>
      </c>
      <c r="U122" s="69"/>
      <c r="V122" s="160" t="e">
        <f>R122/U122</f>
        <v>#DIV/0!</v>
      </c>
    </row>
    <row r="123" spans="1:31" ht="18.95" customHeight="1" thickBot="1">
      <c r="A123" s="89"/>
      <c r="B123" s="35" t="s">
        <v>16</v>
      </c>
      <c r="C123" s="35"/>
      <c r="D123" s="36"/>
      <c r="E123" s="168">
        <f>SUM(E121:E122)</f>
        <v>0</v>
      </c>
      <c r="F123" s="169"/>
      <c r="G123" s="168">
        <f>SUM(G121:G122)</f>
        <v>0</v>
      </c>
      <c r="H123" s="169"/>
      <c r="I123" s="37">
        <f>SUM(I121:I122)</f>
        <v>0</v>
      </c>
      <c r="J123" s="38"/>
      <c r="K123" s="38"/>
      <c r="L123" s="38"/>
      <c r="M123" s="38"/>
      <c r="N123" s="38"/>
      <c r="O123" s="38"/>
      <c r="P123" s="38"/>
      <c r="Q123" s="38"/>
      <c r="R123" s="39">
        <f>SUM(R121:R122)</f>
        <v>0</v>
      </c>
      <c r="S123" s="40">
        <f>SUM(S121:S122)</f>
        <v>0</v>
      </c>
      <c r="T123" s="41">
        <f>SUM(T121:T122)</f>
        <v>0</v>
      </c>
      <c r="U123" s="42">
        <f>SUM(U121:U122)</f>
        <v>0</v>
      </c>
      <c r="V123" s="159"/>
    </row>
    <row r="124" spans="1:31" ht="2.25" customHeight="1" thickTop="1" thickBot="1">
      <c r="A124" s="90"/>
      <c r="B124" s="43"/>
      <c r="C124" s="43"/>
      <c r="D124" s="43"/>
      <c r="E124" s="43"/>
      <c r="F124" s="44"/>
      <c r="G124" s="43"/>
      <c r="H124" s="44"/>
      <c r="I124" s="45"/>
      <c r="J124" s="44"/>
      <c r="K124" s="44"/>
      <c r="L124" s="44"/>
      <c r="M124" s="44"/>
      <c r="N124" s="44"/>
      <c r="O124" s="44"/>
      <c r="P124" s="44"/>
      <c r="Q124" s="44"/>
      <c r="R124" s="44"/>
      <c r="S124" s="46"/>
      <c r="T124" s="47"/>
      <c r="U124" s="48"/>
      <c r="V124" s="91"/>
    </row>
    <row r="125" spans="1:31" ht="26.25" customHeight="1" thickTop="1" thickBot="1">
      <c r="A125" s="92"/>
      <c r="B125" s="93" t="s">
        <v>17</v>
      </c>
      <c r="C125" s="93"/>
      <c r="D125" s="93"/>
      <c r="E125" s="170"/>
      <c r="F125" s="171"/>
      <c r="G125" s="170"/>
      <c r="H125" s="171"/>
      <c r="I125" s="49"/>
      <c r="J125" s="49"/>
      <c r="K125" s="49"/>
      <c r="L125" s="49"/>
      <c r="M125" s="49"/>
      <c r="N125" s="49"/>
      <c r="O125" s="49"/>
      <c r="P125" s="49"/>
      <c r="Q125" s="49"/>
      <c r="R125" s="50">
        <f>SUM(R123,R118)</f>
        <v>52413802</v>
      </c>
      <c r="S125" s="51">
        <f>SUM(S123,S118)</f>
        <v>21564598</v>
      </c>
      <c r="T125" s="94">
        <f>T118+T123</f>
        <v>-7454810</v>
      </c>
      <c r="U125" s="95">
        <f>SUM(U123,U118)</f>
        <v>478</v>
      </c>
      <c r="V125" s="96"/>
    </row>
    <row r="126" spans="1:31" ht="2.25" customHeight="1" thickTop="1">
      <c r="A126" s="137"/>
      <c r="B126" s="138"/>
      <c r="C126" s="138"/>
      <c r="D126" s="138"/>
      <c r="E126" s="138"/>
      <c r="F126" s="139"/>
      <c r="G126" s="138"/>
      <c r="H126" s="139"/>
      <c r="I126" s="140"/>
      <c r="J126" s="139"/>
      <c r="K126" s="139"/>
      <c r="L126" s="139"/>
      <c r="M126" s="139"/>
      <c r="N126" s="139"/>
      <c r="O126" s="139"/>
      <c r="P126" s="139"/>
      <c r="Q126" s="139"/>
      <c r="R126" s="139"/>
      <c r="S126" s="141"/>
      <c r="T126" s="142"/>
      <c r="U126" s="143"/>
      <c r="V126" s="144"/>
    </row>
    <row r="127" spans="1:31" ht="18.2" customHeight="1">
      <c r="A127" s="145"/>
      <c r="B127" s="146"/>
      <c r="C127" s="146"/>
      <c r="D127" s="146"/>
      <c r="E127" s="146"/>
      <c r="F127" s="128"/>
      <c r="G127" s="146"/>
      <c r="H127" s="128"/>
      <c r="I127" s="147"/>
      <c r="J127" s="128"/>
      <c r="K127" s="128"/>
      <c r="L127" s="128"/>
      <c r="M127" s="128"/>
      <c r="N127" s="128"/>
      <c r="O127" s="128"/>
      <c r="P127" s="128"/>
      <c r="Q127" s="128"/>
      <c r="R127" s="128"/>
      <c r="S127" s="148"/>
      <c r="T127" s="149"/>
      <c r="U127" s="150"/>
      <c r="V127" s="149"/>
    </row>
    <row r="128" spans="1:31" ht="18.2" customHeight="1">
      <c r="A128" s="258" t="s">
        <v>135</v>
      </c>
      <c r="B128" s="114" t="s">
        <v>149</v>
      </c>
      <c r="C128" s="115"/>
      <c r="D128" s="116"/>
      <c r="E128" s="172">
        <v>0</v>
      </c>
      <c r="F128" s="173"/>
      <c r="G128" s="174">
        <v>4000000</v>
      </c>
      <c r="H128" s="175"/>
      <c r="I128" s="117">
        <v>0</v>
      </c>
      <c r="J128" s="261">
        <v>0</v>
      </c>
      <c r="K128" s="261">
        <v>0</v>
      </c>
      <c r="L128" s="261">
        <v>0</v>
      </c>
      <c r="M128" s="261">
        <v>0</v>
      </c>
      <c r="N128" s="261">
        <v>0</v>
      </c>
      <c r="O128" s="261">
        <v>0</v>
      </c>
      <c r="P128" s="261">
        <v>0</v>
      </c>
      <c r="Q128" s="261">
        <v>0</v>
      </c>
      <c r="R128" s="119">
        <f>SUM(J128:Q128)</f>
        <v>0</v>
      </c>
      <c r="S128" s="120">
        <f>I128-R128</f>
        <v>0</v>
      </c>
      <c r="T128" s="121">
        <f>G128-I128</f>
        <v>4000000</v>
      </c>
      <c r="U128" s="122">
        <v>0</v>
      </c>
      <c r="V128" s="123" t="e">
        <f>R128/U128</f>
        <v>#DIV/0!</v>
      </c>
      <c r="X128" s="261"/>
      <c r="Y128" s="261"/>
      <c r="Z128" s="261"/>
      <c r="AA128" s="261"/>
      <c r="AB128" s="261"/>
      <c r="AC128" s="261"/>
      <c r="AD128" s="261"/>
      <c r="AE128" s="261"/>
    </row>
    <row r="129" spans="1:31" ht="18.2" customHeight="1">
      <c r="A129" s="259"/>
      <c r="B129" s="114" t="s">
        <v>38</v>
      </c>
      <c r="C129" s="115"/>
      <c r="D129" s="116"/>
      <c r="E129" s="172">
        <v>0</v>
      </c>
      <c r="F129" s="173"/>
      <c r="G129" s="174">
        <v>0</v>
      </c>
      <c r="H129" s="175"/>
      <c r="I129" s="117">
        <v>4000000</v>
      </c>
      <c r="J129" s="261">
        <v>0</v>
      </c>
      <c r="K129" s="261">
        <v>0</v>
      </c>
      <c r="L129" s="261">
        <v>600000</v>
      </c>
      <c r="M129" s="261">
        <v>660000</v>
      </c>
      <c r="N129" s="261">
        <v>540000</v>
      </c>
      <c r="O129" s="261">
        <v>540000</v>
      </c>
      <c r="P129" s="261">
        <v>0</v>
      </c>
      <c r="Q129" s="261">
        <v>0</v>
      </c>
      <c r="R129" s="119">
        <f>SUM(J129:Q129)</f>
        <v>2340000</v>
      </c>
      <c r="S129" s="120">
        <f>I129-R129</f>
        <v>1660000</v>
      </c>
      <c r="T129" s="121">
        <f>G129-I129</f>
        <v>-4000000</v>
      </c>
      <c r="U129" s="122">
        <v>43</v>
      </c>
      <c r="V129" s="123">
        <f t="shared" ref="V129:V138" si="2">R129/U129</f>
        <v>54418.604651162794</v>
      </c>
      <c r="X129" s="261"/>
      <c r="Y129" s="261"/>
      <c r="Z129" s="261"/>
      <c r="AA129" s="261"/>
      <c r="AB129" s="261"/>
      <c r="AC129" s="261"/>
      <c r="AD129" s="261"/>
      <c r="AE129" s="261"/>
    </row>
    <row r="130" spans="1:31" ht="18.2" customHeight="1">
      <c r="A130" s="259"/>
      <c r="B130" s="114" t="s">
        <v>144</v>
      </c>
      <c r="C130" s="115"/>
      <c r="D130" s="116"/>
      <c r="E130" s="172">
        <v>0</v>
      </c>
      <c r="F130" s="173"/>
      <c r="G130" s="174">
        <v>0</v>
      </c>
      <c r="H130" s="175"/>
      <c r="I130" s="117">
        <v>0</v>
      </c>
      <c r="J130" s="261">
        <v>0</v>
      </c>
      <c r="K130" s="261">
        <v>1304</v>
      </c>
      <c r="L130" s="261">
        <v>0</v>
      </c>
      <c r="M130" s="261">
        <v>655</v>
      </c>
      <c r="N130" s="261">
        <v>0</v>
      </c>
      <c r="O130" s="261">
        <v>0</v>
      </c>
      <c r="P130" s="261">
        <v>0</v>
      </c>
      <c r="Q130" s="261">
        <v>0</v>
      </c>
      <c r="R130" s="119">
        <f>SUM(J130:Q130)</f>
        <v>1959</v>
      </c>
      <c r="S130" s="120">
        <f>I130-R130</f>
        <v>-1959</v>
      </c>
      <c r="T130" s="121">
        <f>G130-I130</f>
        <v>0</v>
      </c>
      <c r="U130" s="122">
        <v>0</v>
      </c>
      <c r="V130" s="123" t="e">
        <f t="shared" si="2"/>
        <v>#DIV/0!</v>
      </c>
      <c r="X130" s="261"/>
      <c r="Y130" s="261"/>
      <c r="Z130" s="261"/>
      <c r="AA130" s="261"/>
      <c r="AB130" s="261"/>
      <c r="AC130" s="261"/>
      <c r="AD130" s="261"/>
      <c r="AE130" s="261"/>
    </row>
    <row r="131" spans="1:31" ht="18.2" customHeight="1">
      <c r="A131" s="259"/>
      <c r="B131" s="114" t="s">
        <v>145</v>
      </c>
      <c r="C131" s="115"/>
      <c r="D131" s="116"/>
      <c r="E131" s="172">
        <v>0</v>
      </c>
      <c r="F131" s="173"/>
      <c r="G131" s="174">
        <v>0</v>
      </c>
      <c r="H131" s="175"/>
      <c r="I131" s="117">
        <v>0</v>
      </c>
      <c r="J131" s="261">
        <v>0</v>
      </c>
      <c r="K131" s="261">
        <v>0</v>
      </c>
      <c r="L131" s="261">
        <v>1926</v>
      </c>
      <c r="M131" s="261">
        <v>0</v>
      </c>
      <c r="N131" s="261">
        <v>0</v>
      </c>
      <c r="O131" s="261">
        <v>0</v>
      </c>
      <c r="P131" s="261">
        <v>0</v>
      </c>
      <c r="Q131" s="261">
        <v>0</v>
      </c>
      <c r="R131" s="119">
        <f>SUM(J131:Q131)</f>
        <v>1926</v>
      </c>
      <c r="S131" s="120">
        <f>I131-R131</f>
        <v>-1926</v>
      </c>
      <c r="T131" s="121">
        <f>G131-I131</f>
        <v>0</v>
      </c>
      <c r="U131" s="122">
        <v>0</v>
      </c>
      <c r="V131" s="123" t="e">
        <f t="shared" si="2"/>
        <v>#DIV/0!</v>
      </c>
      <c r="X131" s="261"/>
      <c r="Y131" s="261"/>
      <c r="Z131" s="261"/>
      <c r="AA131" s="261"/>
      <c r="AB131" s="261"/>
      <c r="AC131" s="261"/>
      <c r="AD131" s="261"/>
      <c r="AE131" s="261"/>
    </row>
    <row r="132" spans="1:31" ht="18.2" customHeight="1">
      <c r="A132" s="259"/>
      <c r="B132" s="114" t="s">
        <v>146</v>
      </c>
      <c r="C132" s="115"/>
      <c r="D132" s="116"/>
      <c r="E132" s="172">
        <v>0</v>
      </c>
      <c r="F132" s="173"/>
      <c r="G132" s="174">
        <v>0</v>
      </c>
      <c r="H132" s="175"/>
      <c r="I132" s="117">
        <v>0</v>
      </c>
      <c r="J132" s="261">
        <v>0</v>
      </c>
      <c r="K132" s="261">
        <v>0</v>
      </c>
      <c r="L132" s="261">
        <v>13130</v>
      </c>
      <c r="M132" s="261">
        <v>122228</v>
      </c>
      <c r="N132" s="261">
        <v>210960</v>
      </c>
      <c r="O132" s="261">
        <v>169189</v>
      </c>
      <c r="P132" s="261">
        <v>36141</v>
      </c>
      <c r="Q132" s="261">
        <v>0</v>
      </c>
      <c r="R132" s="119">
        <f>SUM(J132:Q132)</f>
        <v>551648</v>
      </c>
      <c r="S132" s="120">
        <f>I132-R132</f>
        <v>-551648</v>
      </c>
      <c r="T132" s="121">
        <f>G132-I132</f>
        <v>0</v>
      </c>
      <c r="U132" s="122">
        <v>0</v>
      </c>
      <c r="V132" s="123" t="e">
        <f t="shared" si="2"/>
        <v>#DIV/0!</v>
      </c>
      <c r="X132" s="261"/>
      <c r="Y132" s="261"/>
      <c r="Z132" s="261"/>
      <c r="AA132" s="261"/>
      <c r="AB132" s="261"/>
      <c r="AC132" s="261"/>
      <c r="AD132" s="261"/>
      <c r="AE132" s="261"/>
    </row>
    <row r="133" spans="1:31" ht="18.2" customHeight="1">
      <c r="A133" s="259"/>
      <c r="B133" s="114" t="s">
        <v>147</v>
      </c>
      <c r="C133" s="115"/>
      <c r="D133" s="116"/>
      <c r="E133" s="172">
        <v>0</v>
      </c>
      <c r="F133" s="173"/>
      <c r="G133" s="174">
        <v>0</v>
      </c>
      <c r="H133" s="175"/>
      <c r="I133" s="117">
        <v>0</v>
      </c>
      <c r="J133" s="261">
        <v>13000</v>
      </c>
      <c r="K133" s="261">
        <v>38490</v>
      </c>
      <c r="L133" s="261">
        <v>13341</v>
      </c>
      <c r="M133" s="261">
        <v>3000</v>
      </c>
      <c r="N133" s="261">
        <v>750</v>
      </c>
      <c r="O133" s="261">
        <v>300</v>
      </c>
      <c r="P133" s="261">
        <v>750</v>
      </c>
      <c r="Q133" s="261">
        <v>0</v>
      </c>
      <c r="R133" s="119">
        <f>SUM(J133:Q133)</f>
        <v>69631</v>
      </c>
      <c r="S133" s="120">
        <f>I133-R133</f>
        <v>-69631</v>
      </c>
      <c r="T133" s="121">
        <f>G133-I133</f>
        <v>0</v>
      </c>
      <c r="U133" s="122">
        <v>0</v>
      </c>
      <c r="V133" s="123" t="e">
        <f t="shared" si="2"/>
        <v>#DIV/0!</v>
      </c>
      <c r="X133" s="261"/>
      <c r="Y133" s="261"/>
      <c r="Z133" s="261"/>
      <c r="AA133" s="261"/>
      <c r="AB133" s="261"/>
      <c r="AC133" s="261"/>
      <c r="AD133" s="261"/>
      <c r="AE133" s="261"/>
    </row>
    <row r="134" spans="1:31" ht="18.2" customHeight="1">
      <c r="A134" s="259"/>
      <c r="B134" s="114" t="s">
        <v>63</v>
      </c>
      <c r="C134" s="115"/>
      <c r="D134" s="116"/>
      <c r="E134" s="172">
        <v>0</v>
      </c>
      <c r="F134" s="173"/>
      <c r="G134" s="174">
        <v>0</v>
      </c>
      <c r="H134" s="175"/>
      <c r="I134" s="117">
        <v>0</v>
      </c>
      <c r="J134" s="261">
        <v>0</v>
      </c>
      <c r="K134" s="261">
        <v>986469</v>
      </c>
      <c r="L134" s="261">
        <v>92273</v>
      </c>
      <c r="M134" s="261">
        <v>368121</v>
      </c>
      <c r="N134" s="261">
        <v>10821</v>
      </c>
      <c r="O134" s="261">
        <v>24039</v>
      </c>
      <c r="P134" s="261">
        <v>18928</v>
      </c>
      <c r="Q134" s="261">
        <v>0</v>
      </c>
      <c r="R134" s="119">
        <f>SUM(J134:Q134)</f>
        <v>1500651</v>
      </c>
      <c r="S134" s="120">
        <f>I134-R134</f>
        <v>-1500651</v>
      </c>
      <c r="T134" s="121">
        <f>G134-I134</f>
        <v>0</v>
      </c>
      <c r="U134" s="122">
        <v>0</v>
      </c>
      <c r="V134" s="123" t="e">
        <f t="shared" si="2"/>
        <v>#DIV/0!</v>
      </c>
      <c r="X134" s="261"/>
      <c r="Y134" s="261"/>
      <c r="Z134" s="261"/>
      <c r="AA134" s="261"/>
      <c r="AB134" s="261"/>
      <c r="AC134" s="261"/>
      <c r="AD134" s="261"/>
      <c r="AE134" s="261"/>
    </row>
    <row r="135" spans="1:31" ht="18.2" customHeight="1">
      <c r="A135" s="259"/>
      <c r="B135" s="114" t="s">
        <v>63</v>
      </c>
      <c r="C135" s="115"/>
      <c r="D135" s="116"/>
      <c r="E135" s="172">
        <v>0</v>
      </c>
      <c r="F135" s="173"/>
      <c r="G135" s="174">
        <v>0</v>
      </c>
      <c r="H135" s="175"/>
      <c r="I135" s="117">
        <v>0</v>
      </c>
      <c r="J135" s="261">
        <v>0</v>
      </c>
      <c r="K135" s="261">
        <v>684415</v>
      </c>
      <c r="L135" s="261">
        <v>0</v>
      </c>
      <c r="M135" s="261">
        <v>0</v>
      </c>
      <c r="N135" s="261">
        <v>0</v>
      </c>
      <c r="O135" s="261">
        <v>0</v>
      </c>
      <c r="P135" s="261">
        <v>0</v>
      </c>
      <c r="Q135" s="261">
        <v>0</v>
      </c>
      <c r="R135" s="119">
        <f>SUM(J135:Q135)</f>
        <v>684415</v>
      </c>
      <c r="S135" s="120">
        <f>I135-R135</f>
        <v>-684415</v>
      </c>
      <c r="T135" s="121">
        <f>G135-I135</f>
        <v>0</v>
      </c>
      <c r="U135" s="122">
        <v>0</v>
      </c>
      <c r="V135" s="123" t="e">
        <f t="shared" si="2"/>
        <v>#DIV/0!</v>
      </c>
      <c r="X135" s="261"/>
      <c r="Y135" s="261"/>
      <c r="Z135" s="261"/>
      <c r="AA135" s="261"/>
      <c r="AB135" s="261"/>
      <c r="AC135" s="261"/>
      <c r="AD135" s="261"/>
      <c r="AE135" s="261"/>
    </row>
    <row r="136" spans="1:31" ht="18.2" customHeight="1">
      <c r="A136" s="259"/>
      <c r="B136" s="114" t="s">
        <v>148</v>
      </c>
      <c r="C136" s="115"/>
      <c r="D136" s="116"/>
      <c r="E136" s="172">
        <v>0</v>
      </c>
      <c r="F136" s="173"/>
      <c r="G136" s="174">
        <v>0</v>
      </c>
      <c r="H136" s="175"/>
      <c r="I136" s="117">
        <v>0</v>
      </c>
      <c r="J136" s="261">
        <v>0</v>
      </c>
      <c r="K136" s="261">
        <v>4983</v>
      </c>
      <c r="L136" s="261">
        <v>1391</v>
      </c>
      <c r="M136" s="261">
        <v>0</v>
      </c>
      <c r="N136" s="261">
        <v>364</v>
      </c>
      <c r="O136" s="261">
        <v>182</v>
      </c>
      <c r="P136" s="261">
        <v>1182</v>
      </c>
      <c r="Q136" s="261">
        <v>0</v>
      </c>
      <c r="R136" s="119">
        <f>SUM(J136:Q136)</f>
        <v>8102</v>
      </c>
      <c r="S136" s="120">
        <f>I136-R136</f>
        <v>-8102</v>
      </c>
      <c r="T136" s="121">
        <f>G136-I136</f>
        <v>0</v>
      </c>
      <c r="U136" s="122">
        <v>0</v>
      </c>
      <c r="V136" s="123" t="e">
        <f t="shared" si="2"/>
        <v>#DIV/0!</v>
      </c>
      <c r="X136" s="261"/>
      <c r="Y136" s="261"/>
      <c r="Z136" s="261"/>
      <c r="AA136" s="261"/>
      <c r="AB136" s="261"/>
      <c r="AC136" s="261"/>
      <c r="AD136" s="261"/>
      <c r="AE136" s="261"/>
    </row>
    <row r="137" spans="1:31" ht="18.2" customHeight="1">
      <c r="A137" s="259"/>
      <c r="B137" s="114"/>
      <c r="C137" s="115"/>
      <c r="D137" s="116"/>
      <c r="E137" s="172">
        <v>22480000</v>
      </c>
      <c r="F137" s="173"/>
      <c r="G137" s="174">
        <v>2680000</v>
      </c>
      <c r="H137" s="175"/>
      <c r="I137" s="117">
        <v>2249920</v>
      </c>
      <c r="J137" s="261">
        <v>0</v>
      </c>
      <c r="K137" s="261">
        <v>0</v>
      </c>
      <c r="L137" s="261">
        <v>0</v>
      </c>
      <c r="M137" s="261">
        <v>0</v>
      </c>
      <c r="N137" s="261">
        <v>0</v>
      </c>
      <c r="O137" s="261">
        <v>0</v>
      </c>
      <c r="P137" s="261">
        <v>0</v>
      </c>
      <c r="Q137" s="261">
        <v>0</v>
      </c>
      <c r="R137" s="119">
        <f>SUM(J137:Q137)</f>
        <v>0</v>
      </c>
      <c r="S137" s="120">
        <f>I137-R137</f>
        <v>2249920</v>
      </c>
      <c r="T137" s="121">
        <f>G137-I137</f>
        <v>430080</v>
      </c>
      <c r="U137" s="122">
        <v>0</v>
      </c>
      <c r="V137" s="123" t="e">
        <f t="shared" si="2"/>
        <v>#DIV/0!</v>
      </c>
      <c r="X137" s="261"/>
      <c r="Y137" s="261"/>
      <c r="Z137" s="261"/>
      <c r="AA137" s="261"/>
      <c r="AB137" s="261"/>
      <c r="AC137" s="261"/>
      <c r="AD137" s="261"/>
      <c r="AE137" s="261"/>
    </row>
    <row r="138" spans="1:31" ht="18.2" customHeight="1">
      <c r="A138" s="259"/>
      <c r="B138" s="114"/>
      <c r="C138" s="115"/>
      <c r="D138" s="116"/>
      <c r="E138" s="172">
        <v>0</v>
      </c>
      <c r="F138" s="173"/>
      <c r="G138" s="174">
        <v>0</v>
      </c>
      <c r="H138" s="175"/>
      <c r="I138" s="117">
        <v>0</v>
      </c>
      <c r="J138" s="261">
        <v>0</v>
      </c>
      <c r="K138" s="261">
        <v>0</v>
      </c>
      <c r="L138" s="261">
        <v>0</v>
      </c>
      <c r="M138" s="261">
        <v>0</v>
      </c>
      <c r="N138" s="261">
        <v>0</v>
      </c>
      <c r="O138" s="261">
        <v>0</v>
      </c>
      <c r="P138" s="261">
        <v>0</v>
      </c>
      <c r="Q138" s="261">
        <v>0</v>
      </c>
      <c r="R138" s="119">
        <f>SUM(J138:Q138)</f>
        <v>0</v>
      </c>
      <c r="S138" s="120">
        <f>I138-R138</f>
        <v>0</v>
      </c>
      <c r="T138" s="121">
        <f>G138-I138</f>
        <v>0</v>
      </c>
      <c r="U138" s="122">
        <v>0</v>
      </c>
      <c r="V138" s="123" t="e">
        <f t="shared" si="2"/>
        <v>#DIV/0!</v>
      </c>
      <c r="X138" s="261"/>
      <c r="Y138" s="261"/>
      <c r="Z138" s="261"/>
      <c r="AA138" s="261"/>
      <c r="AB138" s="261"/>
      <c r="AC138" s="261"/>
      <c r="AD138" s="261"/>
      <c r="AE138" s="261"/>
    </row>
    <row r="139" spans="1:31" ht="18.2" customHeight="1">
      <c r="A139" s="260"/>
      <c r="B139" s="124"/>
      <c r="C139" s="125"/>
      <c r="D139" s="126"/>
      <c r="E139" s="163">
        <v>1680000</v>
      </c>
      <c r="F139" s="164"/>
      <c r="G139" s="165">
        <v>1747000</v>
      </c>
      <c r="H139" s="166"/>
      <c r="I139" s="127">
        <v>1747000</v>
      </c>
      <c r="J139" s="262">
        <v>0</v>
      </c>
      <c r="K139" s="262">
        <v>0</v>
      </c>
      <c r="L139" s="262">
        <v>0</v>
      </c>
      <c r="M139" s="262">
        <v>0</v>
      </c>
      <c r="N139" s="262">
        <v>0</v>
      </c>
      <c r="O139" s="262">
        <v>0</v>
      </c>
      <c r="P139" s="262">
        <v>0</v>
      </c>
      <c r="Q139" s="262">
        <v>0</v>
      </c>
      <c r="R139" s="129">
        <f>SUM(J139:Q139)</f>
        <v>0</v>
      </c>
      <c r="S139" s="130">
        <f>I139-R139</f>
        <v>1747000</v>
      </c>
      <c r="T139" s="131">
        <f>G139-I139</f>
        <v>0</v>
      </c>
      <c r="U139" s="132">
        <v>0</v>
      </c>
      <c r="V139" s="133" t="e">
        <f>R139/U139</f>
        <v>#DIV/0!</v>
      </c>
      <c r="X139" s="262"/>
      <c r="Y139" s="262"/>
      <c r="Z139" s="262"/>
      <c r="AA139" s="262"/>
      <c r="AB139" s="262"/>
      <c r="AC139" s="262"/>
      <c r="AD139" s="262"/>
      <c r="AE139" s="262"/>
    </row>
    <row r="140" spans="1:31" ht="18.95" customHeight="1" thickBot="1">
      <c r="A140" s="113"/>
      <c r="B140" s="78" t="s">
        <v>34</v>
      </c>
      <c r="C140" s="79"/>
      <c r="D140" s="151"/>
      <c r="E140" s="180">
        <f>SUM(E128:F139)</f>
        <v>24160000</v>
      </c>
      <c r="F140" s="181"/>
      <c r="G140" s="182">
        <f>SUM(G128:H139)</f>
        <v>8427000</v>
      </c>
      <c r="H140" s="181"/>
      <c r="I140" s="135">
        <f>SUM(I128:I139)</f>
        <v>7996920</v>
      </c>
      <c r="J140" s="30"/>
      <c r="K140" s="30"/>
      <c r="L140" s="30"/>
      <c r="M140" s="30"/>
      <c r="N140" s="30"/>
      <c r="O140" s="30"/>
      <c r="P140" s="30"/>
      <c r="Q140" s="30"/>
      <c r="R140" s="32">
        <f>SUM(R128:R139)</f>
        <v>5158332</v>
      </c>
      <c r="S140" s="32">
        <f>SUM(S128:S139)</f>
        <v>2838588</v>
      </c>
      <c r="T140" s="33">
        <f>SUM(T128:T139)</f>
        <v>430080</v>
      </c>
      <c r="U140" s="136">
        <f>SUM(U128:U139)</f>
        <v>43</v>
      </c>
      <c r="V140" s="34"/>
    </row>
    <row r="141" spans="1:31" ht="18.2" customHeight="1" thickTop="1">
      <c r="A141" s="52"/>
      <c r="B141" s="176" t="s">
        <v>18</v>
      </c>
      <c r="C141" s="177"/>
      <c r="D141" s="134"/>
      <c r="E141" s="178">
        <f>SUM(E118,E123,E140)</f>
        <v>92359585</v>
      </c>
      <c r="F141" s="179"/>
      <c r="G141" s="178">
        <f>SUM(G118,G123,G140)</f>
        <v>74950590</v>
      </c>
      <c r="H141" s="179"/>
      <c r="I141" s="53">
        <f>SUM(I140,I123,I118)</f>
        <v>81975320</v>
      </c>
      <c r="J141" s="54">
        <f>SUM(J7:J139)</f>
        <v>212000</v>
      </c>
      <c r="K141" s="54">
        <f>SUM(K7:K139)</f>
        <v>1742061</v>
      </c>
      <c r="L141" s="54">
        <f>SUM(L7:L139)</f>
        <v>13420616</v>
      </c>
      <c r="M141" s="54">
        <f>SUM(M7:M139)</f>
        <v>14617236</v>
      </c>
      <c r="N141" s="54">
        <f>SUM(N7:N139)</f>
        <v>13149144</v>
      </c>
      <c r="O141" s="54">
        <f>SUM(O7:O139)</f>
        <v>15175616</v>
      </c>
      <c r="P141" s="54">
        <f>SUM(P7:P139)</f>
        <v>-744539</v>
      </c>
      <c r="Q141" s="54">
        <f>SUM(Q7:Q139)</f>
        <v>0</v>
      </c>
      <c r="R141" s="54">
        <f>SUM(J141:Q141)</f>
        <v>57572134</v>
      </c>
      <c r="S141" s="55">
        <f>I141-R141</f>
        <v>24403186</v>
      </c>
      <c r="T141" s="56">
        <f>SUM(T140,T125)</f>
        <v>-7024730</v>
      </c>
      <c r="U141" s="57">
        <f>SUM(U140,U125)</f>
        <v>521</v>
      </c>
      <c r="V141" s="58"/>
    </row>
    <row r="142" spans="1:31" ht="25.5" customHeight="1">
      <c r="A142" s="59"/>
      <c r="B142" s="59"/>
      <c r="C142" s="59"/>
      <c r="D142" s="59"/>
      <c r="E142" s="59"/>
      <c r="F142" s="60"/>
      <c r="G142" s="59"/>
      <c r="H142" s="60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2"/>
      <c r="T142" s="59"/>
      <c r="U142" s="59"/>
    </row>
    <row r="143" spans="1:31" ht="6" customHeight="1"/>
    <row r="144" spans="1:31" ht="18" customHeight="1">
      <c r="A144" s="13" t="s">
        <v>19</v>
      </c>
    </row>
    <row r="145" spans="1:17" ht="18" customHeight="1">
      <c r="A145" s="167" t="s">
        <v>20</v>
      </c>
      <c r="B145" s="167"/>
      <c r="C145" s="167"/>
      <c r="D145" s="167"/>
      <c r="E145" s="167"/>
      <c r="F145" s="167"/>
      <c r="G145" s="167"/>
      <c r="H145" s="167"/>
      <c r="I145" s="167"/>
      <c r="J145" s="167"/>
      <c r="K145" s="167"/>
      <c r="L145" s="167"/>
      <c r="M145" s="167"/>
      <c r="N145" s="167"/>
      <c r="O145" s="167"/>
      <c r="P145" s="167"/>
      <c r="Q145" s="167"/>
    </row>
    <row r="146" spans="1:17" ht="18" customHeight="1">
      <c r="A146" s="167" t="s">
        <v>21</v>
      </c>
      <c r="B146" s="167"/>
      <c r="C146" s="167"/>
      <c r="D146" s="167"/>
      <c r="E146" s="167"/>
      <c r="F146" s="167"/>
    </row>
    <row r="147" spans="1:17" ht="18" customHeight="1">
      <c r="A147" s="167" t="s">
        <v>22</v>
      </c>
      <c r="B147" s="167"/>
      <c r="C147" s="167"/>
      <c r="D147" s="167"/>
      <c r="E147" s="167"/>
      <c r="F147" s="167"/>
    </row>
  </sheetData>
  <mergeCells count="308">
    <mergeCell ref="A85:A93"/>
    <mergeCell ref="A94:A99"/>
    <mergeCell ref="A100:A102"/>
    <mergeCell ref="A103:A114"/>
    <mergeCell ref="A115:A117"/>
    <mergeCell ref="E138:F138"/>
    <mergeCell ref="G138:H138"/>
    <mergeCell ref="A7:A30"/>
    <mergeCell ref="A31:A37"/>
    <mergeCell ref="A38:A42"/>
    <mergeCell ref="A43:A58"/>
    <mergeCell ref="A59:A63"/>
    <mergeCell ref="A64:A70"/>
    <mergeCell ref="A71:A81"/>
    <mergeCell ref="A82:A84"/>
    <mergeCell ref="E135:F135"/>
    <mergeCell ref="G135:H135"/>
    <mergeCell ref="E136:F136"/>
    <mergeCell ref="G136:H136"/>
    <mergeCell ref="E137:F137"/>
    <mergeCell ref="G137:H137"/>
    <mergeCell ref="G131:H131"/>
    <mergeCell ref="E132:F132"/>
    <mergeCell ref="G132:H132"/>
    <mergeCell ref="E133:F133"/>
    <mergeCell ref="G133:H133"/>
    <mergeCell ref="E134:F134"/>
    <mergeCell ref="G134:H134"/>
    <mergeCell ref="E117:F117"/>
    <mergeCell ref="G117:H117"/>
    <mergeCell ref="J1:N1"/>
    <mergeCell ref="J2:N2"/>
    <mergeCell ref="J3:N3"/>
    <mergeCell ref="E129:F129"/>
    <mergeCell ref="G129:H129"/>
    <mergeCell ref="E114:F114"/>
    <mergeCell ref="G114:H114"/>
    <mergeCell ref="E115:F115"/>
    <mergeCell ref="G115:H115"/>
    <mergeCell ref="E116:F116"/>
    <mergeCell ref="G116:H116"/>
    <mergeCell ref="E111:F111"/>
    <mergeCell ref="G111:H111"/>
    <mergeCell ref="E112:F112"/>
    <mergeCell ref="G112:H112"/>
    <mergeCell ref="E113:F113"/>
    <mergeCell ref="G113:H113"/>
    <mergeCell ref="E108:F108"/>
    <mergeCell ref="G108:H108"/>
    <mergeCell ref="E109:F109"/>
    <mergeCell ref="G109:H109"/>
    <mergeCell ref="E110:F110"/>
    <mergeCell ref="G110:H110"/>
    <mergeCell ref="E105:F105"/>
    <mergeCell ref="G105:H105"/>
    <mergeCell ref="E106:F106"/>
    <mergeCell ref="G106:H106"/>
    <mergeCell ref="E107:F107"/>
    <mergeCell ref="G107:H107"/>
    <mergeCell ref="E102:F102"/>
    <mergeCell ref="G102:H102"/>
    <mergeCell ref="E103:F103"/>
    <mergeCell ref="G103:H103"/>
    <mergeCell ref="E104:F104"/>
    <mergeCell ref="G104:H104"/>
    <mergeCell ref="E99:F99"/>
    <mergeCell ref="G99:H99"/>
    <mergeCell ref="E100:F100"/>
    <mergeCell ref="G100:H100"/>
    <mergeCell ref="E101:F101"/>
    <mergeCell ref="G101:H101"/>
    <mergeCell ref="E96:F96"/>
    <mergeCell ref="G96:H96"/>
    <mergeCell ref="E97:F97"/>
    <mergeCell ref="G97:H97"/>
    <mergeCell ref="E98:F98"/>
    <mergeCell ref="G98:H98"/>
    <mergeCell ref="E93:F93"/>
    <mergeCell ref="G93:H93"/>
    <mergeCell ref="E94:F94"/>
    <mergeCell ref="G94:H94"/>
    <mergeCell ref="E95:F95"/>
    <mergeCell ref="G95:H95"/>
    <mergeCell ref="E90:F90"/>
    <mergeCell ref="G90:H90"/>
    <mergeCell ref="E91:F91"/>
    <mergeCell ref="G91:H91"/>
    <mergeCell ref="E92:F92"/>
    <mergeCell ref="G92:H92"/>
    <mergeCell ref="E87:F87"/>
    <mergeCell ref="G87:H87"/>
    <mergeCell ref="E88:F88"/>
    <mergeCell ref="G88:H88"/>
    <mergeCell ref="E89:F89"/>
    <mergeCell ref="G89:H89"/>
    <mergeCell ref="E84:F84"/>
    <mergeCell ref="G84:H84"/>
    <mergeCell ref="E85:F85"/>
    <mergeCell ref="G85:H85"/>
    <mergeCell ref="E86:F86"/>
    <mergeCell ref="G86:H86"/>
    <mergeCell ref="E81:F81"/>
    <mergeCell ref="G81:H81"/>
    <mergeCell ref="E82:F82"/>
    <mergeCell ref="G82:H82"/>
    <mergeCell ref="E83:F83"/>
    <mergeCell ref="G83:H83"/>
    <mergeCell ref="E78:F78"/>
    <mergeCell ref="G78:H78"/>
    <mergeCell ref="E79:F79"/>
    <mergeCell ref="G79:H79"/>
    <mergeCell ref="E80:F80"/>
    <mergeCell ref="G80:H80"/>
    <mergeCell ref="E75:F75"/>
    <mergeCell ref="G75:H75"/>
    <mergeCell ref="E76:F76"/>
    <mergeCell ref="G76:H76"/>
    <mergeCell ref="E77:F77"/>
    <mergeCell ref="G77:H77"/>
    <mergeCell ref="E72:F72"/>
    <mergeCell ref="G72:H72"/>
    <mergeCell ref="E73:F73"/>
    <mergeCell ref="G73:H73"/>
    <mergeCell ref="E74:F74"/>
    <mergeCell ref="G74:H74"/>
    <mergeCell ref="E69:F69"/>
    <mergeCell ref="G69:H69"/>
    <mergeCell ref="E70:F70"/>
    <mergeCell ref="G70:H70"/>
    <mergeCell ref="E71:F71"/>
    <mergeCell ref="G71:H71"/>
    <mergeCell ref="E66:F66"/>
    <mergeCell ref="G66:H66"/>
    <mergeCell ref="E67:F67"/>
    <mergeCell ref="G67:H67"/>
    <mergeCell ref="E68:F68"/>
    <mergeCell ref="G68:H68"/>
    <mergeCell ref="E63:F63"/>
    <mergeCell ref="G63:H63"/>
    <mergeCell ref="E64:F64"/>
    <mergeCell ref="G64:H64"/>
    <mergeCell ref="E65:F65"/>
    <mergeCell ref="G65:H65"/>
    <mergeCell ref="E60:F60"/>
    <mergeCell ref="G60:H60"/>
    <mergeCell ref="E61:F61"/>
    <mergeCell ref="G61:H61"/>
    <mergeCell ref="E62:F62"/>
    <mergeCell ref="G62:H62"/>
    <mergeCell ref="E57:F57"/>
    <mergeCell ref="G57:H57"/>
    <mergeCell ref="E58:F58"/>
    <mergeCell ref="G58:H58"/>
    <mergeCell ref="E59:F59"/>
    <mergeCell ref="G59:H59"/>
    <mergeCell ref="E54:F54"/>
    <mergeCell ref="G54:H54"/>
    <mergeCell ref="E55:F55"/>
    <mergeCell ref="G55:H55"/>
    <mergeCell ref="E56:F56"/>
    <mergeCell ref="G56:H56"/>
    <mergeCell ref="E51:F51"/>
    <mergeCell ref="G51:H51"/>
    <mergeCell ref="E52:F52"/>
    <mergeCell ref="G52:H52"/>
    <mergeCell ref="E53:F53"/>
    <mergeCell ref="G53:H53"/>
    <mergeCell ref="E48:F48"/>
    <mergeCell ref="G48:H48"/>
    <mergeCell ref="E49:F49"/>
    <mergeCell ref="G49:H49"/>
    <mergeCell ref="E50:F50"/>
    <mergeCell ref="G50:H50"/>
    <mergeCell ref="E45:F45"/>
    <mergeCell ref="G45:H45"/>
    <mergeCell ref="E46:F46"/>
    <mergeCell ref="G46:H46"/>
    <mergeCell ref="E47:F47"/>
    <mergeCell ref="G47:H47"/>
    <mergeCell ref="E42:F42"/>
    <mergeCell ref="G42:H42"/>
    <mergeCell ref="E43:F43"/>
    <mergeCell ref="G43:H43"/>
    <mergeCell ref="E44:F44"/>
    <mergeCell ref="G44:H44"/>
    <mergeCell ref="E39:F39"/>
    <mergeCell ref="G39:H39"/>
    <mergeCell ref="E40:F40"/>
    <mergeCell ref="G40:H40"/>
    <mergeCell ref="E41:F41"/>
    <mergeCell ref="G41:H41"/>
    <mergeCell ref="E36:F36"/>
    <mergeCell ref="G36:H36"/>
    <mergeCell ref="E37:F37"/>
    <mergeCell ref="G37:H37"/>
    <mergeCell ref="E38:F38"/>
    <mergeCell ref="G38:H38"/>
    <mergeCell ref="E33:F33"/>
    <mergeCell ref="G33:H33"/>
    <mergeCell ref="E34:F34"/>
    <mergeCell ref="G34:H34"/>
    <mergeCell ref="E35:F35"/>
    <mergeCell ref="G35:H35"/>
    <mergeCell ref="E30:F30"/>
    <mergeCell ref="G30:H30"/>
    <mergeCell ref="E31:F31"/>
    <mergeCell ref="G31:H31"/>
    <mergeCell ref="E32:F32"/>
    <mergeCell ref="G32:H32"/>
    <mergeCell ref="E27:F27"/>
    <mergeCell ref="G27:H27"/>
    <mergeCell ref="E28:F28"/>
    <mergeCell ref="G28:H28"/>
    <mergeCell ref="E29:F29"/>
    <mergeCell ref="G29:H29"/>
    <mergeCell ref="E24:F24"/>
    <mergeCell ref="G24:H24"/>
    <mergeCell ref="E25:F25"/>
    <mergeCell ref="G25:H25"/>
    <mergeCell ref="E26:F26"/>
    <mergeCell ref="G26:H26"/>
    <mergeCell ref="E21:F21"/>
    <mergeCell ref="G21:H21"/>
    <mergeCell ref="E22:F22"/>
    <mergeCell ref="G22:H22"/>
    <mergeCell ref="E23:F23"/>
    <mergeCell ref="G23:H23"/>
    <mergeCell ref="E18:F18"/>
    <mergeCell ref="G18:H18"/>
    <mergeCell ref="E19:F19"/>
    <mergeCell ref="G19:H19"/>
    <mergeCell ref="E20:F20"/>
    <mergeCell ref="G20:H20"/>
    <mergeCell ref="E15:F15"/>
    <mergeCell ref="G15:H15"/>
    <mergeCell ref="E16:F16"/>
    <mergeCell ref="G16:H16"/>
    <mergeCell ref="E17:F17"/>
    <mergeCell ref="G17:H17"/>
    <mergeCell ref="E12:F12"/>
    <mergeCell ref="G12:H12"/>
    <mergeCell ref="E13:F13"/>
    <mergeCell ref="G13:H13"/>
    <mergeCell ref="E14:F14"/>
    <mergeCell ref="G14:H14"/>
    <mergeCell ref="A146:F146"/>
    <mergeCell ref="A147:F147"/>
    <mergeCell ref="E8:F8"/>
    <mergeCell ref="G8:H8"/>
    <mergeCell ref="E9:F9"/>
    <mergeCell ref="G9:H9"/>
    <mergeCell ref="E10:F10"/>
    <mergeCell ref="G10:H10"/>
    <mergeCell ref="E11:F11"/>
    <mergeCell ref="G11:H11"/>
    <mergeCell ref="E140:F140"/>
    <mergeCell ref="G140:H140"/>
    <mergeCell ref="B141:C141"/>
    <mergeCell ref="E141:F141"/>
    <mergeCell ref="G141:H141"/>
    <mergeCell ref="A145:Q145"/>
    <mergeCell ref="E125:F125"/>
    <mergeCell ref="G125:H125"/>
    <mergeCell ref="A128:A139"/>
    <mergeCell ref="E128:F128"/>
    <mergeCell ref="G128:H128"/>
    <mergeCell ref="E139:F139"/>
    <mergeCell ref="G139:H139"/>
    <mergeCell ref="E130:F130"/>
    <mergeCell ref="G130:H130"/>
    <mergeCell ref="E131:F131"/>
    <mergeCell ref="E121:F121"/>
    <mergeCell ref="G121:H121"/>
    <mergeCell ref="E122:F122"/>
    <mergeCell ref="G122:H122"/>
    <mergeCell ref="E123:F123"/>
    <mergeCell ref="G123:H123"/>
    <mergeCell ref="E118:F118"/>
    <mergeCell ref="G118:H118"/>
    <mergeCell ref="A119:V119"/>
    <mergeCell ref="E120:F120"/>
    <mergeCell ref="G120:H120"/>
    <mergeCell ref="R5:R6"/>
    <mergeCell ref="S5:S6"/>
    <mergeCell ref="T5:T6"/>
    <mergeCell ref="U5:U6"/>
    <mergeCell ref="V5:V6"/>
    <mergeCell ref="E7:F7"/>
    <mergeCell ref="G7:H7"/>
    <mergeCell ref="A5:B6"/>
    <mergeCell ref="C5:C6"/>
    <mergeCell ref="D5:D6"/>
    <mergeCell ref="E5:F6"/>
    <mergeCell ref="G5:H6"/>
    <mergeCell ref="I5:I6"/>
    <mergeCell ref="A3:B3"/>
    <mergeCell ref="C3:H3"/>
    <mergeCell ref="A4:B4"/>
    <mergeCell ref="C4:F4"/>
    <mergeCell ref="G4:H4"/>
    <mergeCell ref="J4:Q4"/>
    <mergeCell ref="A1:B1"/>
    <mergeCell ref="C1:H1"/>
    <mergeCell ref="R1:S4"/>
    <mergeCell ref="T1:V1"/>
    <mergeCell ref="A2:B2"/>
    <mergeCell ref="C2:H2"/>
    <mergeCell ref="T2:V4"/>
  </mergeCells>
  <phoneticPr fontId="2"/>
  <pageMargins left="0.7" right="0.7" top="0.75" bottom="0.75" header="0.3" footer="0.3"/>
  <pageSetup paperSize="9" scale="4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60EBD-945F-4297-A68C-07085F3F5B91}">
  <sheetPr codeName="Sheet11"/>
  <dimension ref="A2:AE150"/>
  <sheetViews>
    <sheetView view="pageBreakPreview" zoomScaleNormal="100" zoomScaleSheetLayoutView="100" workbookViewId="0">
      <pane xSplit="2" ySplit="8" topLeftCell="C127" activePane="bottomRight" state="frozen"/>
      <selection pane="topRight" activeCell="C1" sqref="C1"/>
      <selection pane="bottomLeft" activeCell="A9" sqref="A9"/>
      <selection pane="bottomRight" activeCell="B139" sqref="B139:I141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63" customWidth="1"/>
    <col min="7" max="7" width="7.625" style="13" customWidth="1"/>
    <col min="8" max="8" width="7.625" style="63" customWidth="1"/>
    <col min="9" max="9" width="15.375" style="64" customWidth="1"/>
    <col min="10" max="18" width="8.625" style="64" customWidth="1"/>
    <col min="19" max="19" width="8.625" style="65" customWidth="1"/>
    <col min="20" max="20" width="11.125" style="13" customWidth="1"/>
    <col min="21" max="21" width="8.625" style="13" customWidth="1"/>
    <col min="22" max="22" width="8.625" style="7" customWidth="1"/>
    <col min="23" max="260" width="9" style="7"/>
    <col min="261" max="261" width="8.625" style="7" customWidth="1"/>
    <col min="262" max="262" width="19.625" style="7" customWidth="1"/>
    <col min="263" max="263" width="8.625" style="7" customWidth="1"/>
    <col min="264" max="265" width="7.625" style="7" customWidth="1"/>
    <col min="266" max="266" width="11.125" style="7" customWidth="1"/>
    <col min="267" max="275" width="8.625" style="7" customWidth="1"/>
    <col min="276" max="276" width="11.125" style="7" customWidth="1"/>
    <col min="277" max="278" width="8.625" style="7" customWidth="1"/>
    <col min="279" max="516" width="9" style="7"/>
    <col min="517" max="517" width="8.625" style="7" customWidth="1"/>
    <col min="518" max="518" width="19.625" style="7" customWidth="1"/>
    <col min="519" max="519" width="8.625" style="7" customWidth="1"/>
    <col min="520" max="521" width="7.625" style="7" customWidth="1"/>
    <col min="522" max="522" width="11.125" style="7" customWidth="1"/>
    <col min="523" max="531" width="8.625" style="7" customWidth="1"/>
    <col min="532" max="532" width="11.125" style="7" customWidth="1"/>
    <col min="533" max="534" width="8.625" style="7" customWidth="1"/>
    <col min="535" max="772" width="9" style="7"/>
    <col min="773" max="773" width="8.625" style="7" customWidth="1"/>
    <col min="774" max="774" width="19.625" style="7" customWidth="1"/>
    <col min="775" max="775" width="8.625" style="7" customWidth="1"/>
    <col min="776" max="777" width="7.625" style="7" customWidth="1"/>
    <col min="778" max="778" width="11.125" style="7" customWidth="1"/>
    <col min="779" max="787" width="8.625" style="7" customWidth="1"/>
    <col min="788" max="788" width="11.125" style="7" customWidth="1"/>
    <col min="789" max="790" width="8.625" style="7" customWidth="1"/>
    <col min="791" max="1028" width="9" style="7"/>
    <col min="1029" max="1029" width="8.625" style="7" customWidth="1"/>
    <col min="1030" max="1030" width="19.625" style="7" customWidth="1"/>
    <col min="1031" max="1031" width="8.625" style="7" customWidth="1"/>
    <col min="1032" max="1033" width="7.625" style="7" customWidth="1"/>
    <col min="1034" max="1034" width="11.125" style="7" customWidth="1"/>
    <col min="1035" max="1043" width="8.625" style="7" customWidth="1"/>
    <col min="1044" max="1044" width="11.125" style="7" customWidth="1"/>
    <col min="1045" max="1046" width="8.625" style="7" customWidth="1"/>
    <col min="1047" max="1284" width="9" style="7"/>
    <col min="1285" max="1285" width="8.625" style="7" customWidth="1"/>
    <col min="1286" max="1286" width="19.625" style="7" customWidth="1"/>
    <col min="1287" max="1287" width="8.625" style="7" customWidth="1"/>
    <col min="1288" max="1289" width="7.625" style="7" customWidth="1"/>
    <col min="1290" max="1290" width="11.125" style="7" customWidth="1"/>
    <col min="1291" max="1299" width="8.625" style="7" customWidth="1"/>
    <col min="1300" max="1300" width="11.125" style="7" customWidth="1"/>
    <col min="1301" max="1302" width="8.625" style="7" customWidth="1"/>
    <col min="1303" max="1540" width="9" style="7"/>
    <col min="1541" max="1541" width="8.625" style="7" customWidth="1"/>
    <col min="1542" max="1542" width="19.625" style="7" customWidth="1"/>
    <col min="1543" max="1543" width="8.625" style="7" customWidth="1"/>
    <col min="1544" max="1545" width="7.625" style="7" customWidth="1"/>
    <col min="1546" max="1546" width="11.125" style="7" customWidth="1"/>
    <col min="1547" max="1555" width="8.625" style="7" customWidth="1"/>
    <col min="1556" max="1556" width="11.125" style="7" customWidth="1"/>
    <col min="1557" max="1558" width="8.625" style="7" customWidth="1"/>
    <col min="1559" max="1796" width="9" style="7"/>
    <col min="1797" max="1797" width="8.625" style="7" customWidth="1"/>
    <col min="1798" max="1798" width="19.625" style="7" customWidth="1"/>
    <col min="1799" max="1799" width="8.625" style="7" customWidth="1"/>
    <col min="1800" max="1801" width="7.625" style="7" customWidth="1"/>
    <col min="1802" max="1802" width="11.125" style="7" customWidth="1"/>
    <col min="1803" max="1811" width="8.625" style="7" customWidth="1"/>
    <col min="1812" max="1812" width="11.125" style="7" customWidth="1"/>
    <col min="1813" max="1814" width="8.625" style="7" customWidth="1"/>
    <col min="1815" max="2052" width="9" style="7"/>
    <col min="2053" max="2053" width="8.625" style="7" customWidth="1"/>
    <col min="2054" max="2054" width="19.625" style="7" customWidth="1"/>
    <col min="2055" max="2055" width="8.625" style="7" customWidth="1"/>
    <col min="2056" max="2057" width="7.625" style="7" customWidth="1"/>
    <col min="2058" max="2058" width="11.125" style="7" customWidth="1"/>
    <col min="2059" max="2067" width="8.625" style="7" customWidth="1"/>
    <col min="2068" max="2068" width="11.125" style="7" customWidth="1"/>
    <col min="2069" max="2070" width="8.625" style="7" customWidth="1"/>
    <col min="2071" max="2308" width="9" style="7"/>
    <col min="2309" max="2309" width="8.625" style="7" customWidth="1"/>
    <col min="2310" max="2310" width="19.625" style="7" customWidth="1"/>
    <col min="2311" max="2311" width="8.625" style="7" customWidth="1"/>
    <col min="2312" max="2313" width="7.625" style="7" customWidth="1"/>
    <col min="2314" max="2314" width="11.125" style="7" customWidth="1"/>
    <col min="2315" max="2323" width="8.625" style="7" customWidth="1"/>
    <col min="2324" max="2324" width="11.125" style="7" customWidth="1"/>
    <col min="2325" max="2326" width="8.625" style="7" customWidth="1"/>
    <col min="2327" max="2564" width="9" style="7"/>
    <col min="2565" max="2565" width="8.625" style="7" customWidth="1"/>
    <col min="2566" max="2566" width="19.625" style="7" customWidth="1"/>
    <col min="2567" max="2567" width="8.625" style="7" customWidth="1"/>
    <col min="2568" max="2569" width="7.625" style="7" customWidth="1"/>
    <col min="2570" max="2570" width="11.125" style="7" customWidth="1"/>
    <col min="2571" max="2579" width="8.625" style="7" customWidth="1"/>
    <col min="2580" max="2580" width="11.125" style="7" customWidth="1"/>
    <col min="2581" max="2582" width="8.625" style="7" customWidth="1"/>
    <col min="2583" max="2820" width="9" style="7"/>
    <col min="2821" max="2821" width="8.625" style="7" customWidth="1"/>
    <col min="2822" max="2822" width="19.625" style="7" customWidth="1"/>
    <col min="2823" max="2823" width="8.625" style="7" customWidth="1"/>
    <col min="2824" max="2825" width="7.625" style="7" customWidth="1"/>
    <col min="2826" max="2826" width="11.125" style="7" customWidth="1"/>
    <col min="2827" max="2835" width="8.625" style="7" customWidth="1"/>
    <col min="2836" max="2836" width="11.125" style="7" customWidth="1"/>
    <col min="2837" max="2838" width="8.625" style="7" customWidth="1"/>
    <col min="2839" max="3076" width="9" style="7"/>
    <col min="3077" max="3077" width="8.625" style="7" customWidth="1"/>
    <col min="3078" max="3078" width="19.625" style="7" customWidth="1"/>
    <col min="3079" max="3079" width="8.625" style="7" customWidth="1"/>
    <col min="3080" max="3081" width="7.625" style="7" customWidth="1"/>
    <col min="3082" max="3082" width="11.125" style="7" customWidth="1"/>
    <col min="3083" max="3091" width="8.625" style="7" customWidth="1"/>
    <col min="3092" max="3092" width="11.125" style="7" customWidth="1"/>
    <col min="3093" max="3094" width="8.625" style="7" customWidth="1"/>
    <col min="3095" max="3332" width="9" style="7"/>
    <col min="3333" max="3333" width="8.625" style="7" customWidth="1"/>
    <col min="3334" max="3334" width="19.625" style="7" customWidth="1"/>
    <col min="3335" max="3335" width="8.625" style="7" customWidth="1"/>
    <col min="3336" max="3337" width="7.625" style="7" customWidth="1"/>
    <col min="3338" max="3338" width="11.125" style="7" customWidth="1"/>
    <col min="3339" max="3347" width="8.625" style="7" customWidth="1"/>
    <col min="3348" max="3348" width="11.125" style="7" customWidth="1"/>
    <col min="3349" max="3350" width="8.625" style="7" customWidth="1"/>
    <col min="3351" max="3588" width="9" style="7"/>
    <col min="3589" max="3589" width="8.625" style="7" customWidth="1"/>
    <col min="3590" max="3590" width="19.625" style="7" customWidth="1"/>
    <col min="3591" max="3591" width="8.625" style="7" customWidth="1"/>
    <col min="3592" max="3593" width="7.625" style="7" customWidth="1"/>
    <col min="3594" max="3594" width="11.125" style="7" customWidth="1"/>
    <col min="3595" max="3603" width="8.625" style="7" customWidth="1"/>
    <col min="3604" max="3604" width="11.125" style="7" customWidth="1"/>
    <col min="3605" max="3606" width="8.625" style="7" customWidth="1"/>
    <col min="3607" max="3844" width="9" style="7"/>
    <col min="3845" max="3845" width="8.625" style="7" customWidth="1"/>
    <col min="3846" max="3846" width="19.625" style="7" customWidth="1"/>
    <col min="3847" max="3847" width="8.625" style="7" customWidth="1"/>
    <col min="3848" max="3849" width="7.625" style="7" customWidth="1"/>
    <col min="3850" max="3850" width="11.125" style="7" customWidth="1"/>
    <col min="3851" max="3859" width="8.625" style="7" customWidth="1"/>
    <col min="3860" max="3860" width="11.125" style="7" customWidth="1"/>
    <col min="3861" max="3862" width="8.625" style="7" customWidth="1"/>
    <col min="3863" max="4100" width="9" style="7"/>
    <col min="4101" max="4101" width="8.625" style="7" customWidth="1"/>
    <col min="4102" max="4102" width="19.625" style="7" customWidth="1"/>
    <col min="4103" max="4103" width="8.625" style="7" customWidth="1"/>
    <col min="4104" max="4105" width="7.625" style="7" customWidth="1"/>
    <col min="4106" max="4106" width="11.125" style="7" customWidth="1"/>
    <col min="4107" max="4115" width="8.625" style="7" customWidth="1"/>
    <col min="4116" max="4116" width="11.125" style="7" customWidth="1"/>
    <col min="4117" max="4118" width="8.625" style="7" customWidth="1"/>
    <col min="4119" max="4356" width="9" style="7"/>
    <col min="4357" max="4357" width="8.625" style="7" customWidth="1"/>
    <col min="4358" max="4358" width="19.625" style="7" customWidth="1"/>
    <col min="4359" max="4359" width="8.625" style="7" customWidth="1"/>
    <col min="4360" max="4361" width="7.625" style="7" customWidth="1"/>
    <col min="4362" max="4362" width="11.125" style="7" customWidth="1"/>
    <col min="4363" max="4371" width="8.625" style="7" customWidth="1"/>
    <col min="4372" max="4372" width="11.125" style="7" customWidth="1"/>
    <col min="4373" max="4374" width="8.625" style="7" customWidth="1"/>
    <col min="4375" max="4612" width="9" style="7"/>
    <col min="4613" max="4613" width="8.625" style="7" customWidth="1"/>
    <col min="4614" max="4614" width="19.625" style="7" customWidth="1"/>
    <col min="4615" max="4615" width="8.625" style="7" customWidth="1"/>
    <col min="4616" max="4617" width="7.625" style="7" customWidth="1"/>
    <col min="4618" max="4618" width="11.125" style="7" customWidth="1"/>
    <col min="4619" max="4627" width="8.625" style="7" customWidth="1"/>
    <col min="4628" max="4628" width="11.125" style="7" customWidth="1"/>
    <col min="4629" max="4630" width="8.625" style="7" customWidth="1"/>
    <col min="4631" max="4868" width="9" style="7"/>
    <col min="4869" max="4869" width="8.625" style="7" customWidth="1"/>
    <col min="4870" max="4870" width="19.625" style="7" customWidth="1"/>
    <col min="4871" max="4871" width="8.625" style="7" customWidth="1"/>
    <col min="4872" max="4873" width="7.625" style="7" customWidth="1"/>
    <col min="4874" max="4874" width="11.125" style="7" customWidth="1"/>
    <col min="4875" max="4883" width="8.625" style="7" customWidth="1"/>
    <col min="4884" max="4884" width="11.125" style="7" customWidth="1"/>
    <col min="4885" max="4886" width="8.625" style="7" customWidth="1"/>
    <col min="4887" max="5124" width="9" style="7"/>
    <col min="5125" max="5125" width="8.625" style="7" customWidth="1"/>
    <col min="5126" max="5126" width="19.625" style="7" customWidth="1"/>
    <col min="5127" max="5127" width="8.625" style="7" customWidth="1"/>
    <col min="5128" max="5129" width="7.625" style="7" customWidth="1"/>
    <col min="5130" max="5130" width="11.125" style="7" customWidth="1"/>
    <col min="5131" max="5139" width="8.625" style="7" customWidth="1"/>
    <col min="5140" max="5140" width="11.125" style="7" customWidth="1"/>
    <col min="5141" max="5142" width="8.625" style="7" customWidth="1"/>
    <col min="5143" max="5380" width="9" style="7"/>
    <col min="5381" max="5381" width="8.625" style="7" customWidth="1"/>
    <col min="5382" max="5382" width="19.625" style="7" customWidth="1"/>
    <col min="5383" max="5383" width="8.625" style="7" customWidth="1"/>
    <col min="5384" max="5385" width="7.625" style="7" customWidth="1"/>
    <col min="5386" max="5386" width="11.125" style="7" customWidth="1"/>
    <col min="5387" max="5395" width="8.625" style="7" customWidth="1"/>
    <col min="5396" max="5396" width="11.125" style="7" customWidth="1"/>
    <col min="5397" max="5398" width="8.625" style="7" customWidth="1"/>
    <col min="5399" max="5636" width="9" style="7"/>
    <col min="5637" max="5637" width="8.625" style="7" customWidth="1"/>
    <col min="5638" max="5638" width="19.625" style="7" customWidth="1"/>
    <col min="5639" max="5639" width="8.625" style="7" customWidth="1"/>
    <col min="5640" max="5641" width="7.625" style="7" customWidth="1"/>
    <col min="5642" max="5642" width="11.125" style="7" customWidth="1"/>
    <col min="5643" max="5651" width="8.625" style="7" customWidth="1"/>
    <col min="5652" max="5652" width="11.125" style="7" customWidth="1"/>
    <col min="5653" max="5654" width="8.625" style="7" customWidth="1"/>
    <col min="5655" max="5892" width="9" style="7"/>
    <col min="5893" max="5893" width="8.625" style="7" customWidth="1"/>
    <col min="5894" max="5894" width="19.625" style="7" customWidth="1"/>
    <col min="5895" max="5895" width="8.625" style="7" customWidth="1"/>
    <col min="5896" max="5897" width="7.625" style="7" customWidth="1"/>
    <col min="5898" max="5898" width="11.125" style="7" customWidth="1"/>
    <col min="5899" max="5907" width="8.625" style="7" customWidth="1"/>
    <col min="5908" max="5908" width="11.125" style="7" customWidth="1"/>
    <col min="5909" max="5910" width="8.625" style="7" customWidth="1"/>
    <col min="5911" max="6148" width="9" style="7"/>
    <col min="6149" max="6149" width="8.625" style="7" customWidth="1"/>
    <col min="6150" max="6150" width="19.625" style="7" customWidth="1"/>
    <col min="6151" max="6151" width="8.625" style="7" customWidth="1"/>
    <col min="6152" max="6153" width="7.625" style="7" customWidth="1"/>
    <col min="6154" max="6154" width="11.125" style="7" customWidth="1"/>
    <col min="6155" max="6163" width="8.625" style="7" customWidth="1"/>
    <col min="6164" max="6164" width="11.125" style="7" customWidth="1"/>
    <col min="6165" max="6166" width="8.625" style="7" customWidth="1"/>
    <col min="6167" max="6404" width="9" style="7"/>
    <col min="6405" max="6405" width="8.625" style="7" customWidth="1"/>
    <col min="6406" max="6406" width="19.625" style="7" customWidth="1"/>
    <col min="6407" max="6407" width="8.625" style="7" customWidth="1"/>
    <col min="6408" max="6409" width="7.625" style="7" customWidth="1"/>
    <col min="6410" max="6410" width="11.125" style="7" customWidth="1"/>
    <col min="6411" max="6419" width="8.625" style="7" customWidth="1"/>
    <col min="6420" max="6420" width="11.125" style="7" customWidth="1"/>
    <col min="6421" max="6422" width="8.625" style="7" customWidth="1"/>
    <col min="6423" max="6660" width="9" style="7"/>
    <col min="6661" max="6661" width="8.625" style="7" customWidth="1"/>
    <col min="6662" max="6662" width="19.625" style="7" customWidth="1"/>
    <col min="6663" max="6663" width="8.625" style="7" customWidth="1"/>
    <col min="6664" max="6665" width="7.625" style="7" customWidth="1"/>
    <col min="6666" max="6666" width="11.125" style="7" customWidth="1"/>
    <col min="6667" max="6675" width="8.625" style="7" customWidth="1"/>
    <col min="6676" max="6676" width="11.125" style="7" customWidth="1"/>
    <col min="6677" max="6678" width="8.625" style="7" customWidth="1"/>
    <col min="6679" max="6916" width="9" style="7"/>
    <col min="6917" max="6917" width="8.625" style="7" customWidth="1"/>
    <col min="6918" max="6918" width="19.625" style="7" customWidth="1"/>
    <col min="6919" max="6919" width="8.625" style="7" customWidth="1"/>
    <col min="6920" max="6921" width="7.625" style="7" customWidth="1"/>
    <col min="6922" max="6922" width="11.125" style="7" customWidth="1"/>
    <col min="6923" max="6931" width="8.625" style="7" customWidth="1"/>
    <col min="6932" max="6932" width="11.125" style="7" customWidth="1"/>
    <col min="6933" max="6934" width="8.625" style="7" customWidth="1"/>
    <col min="6935" max="7172" width="9" style="7"/>
    <col min="7173" max="7173" width="8.625" style="7" customWidth="1"/>
    <col min="7174" max="7174" width="19.625" style="7" customWidth="1"/>
    <col min="7175" max="7175" width="8.625" style="7" customWidth="1"/>
    <col min="7176" max="7177" width="7.625" style="7" customWidth="1"/>
    <col min="7178" max="7178" width="11.125" style="7" customWidth="1"/>
    <col min="7179" max="7187" width="8.625" style="7" customWidth="1"/>
    <col min="7188" max="7188" width="11.125" style="7" customWidth="1"/>
    <col min="7189" max="7190" width="8.625" style="7" customWidth="1"/>
    <col min="7191" max="7428" width="9" style="7"/>
    <col min="7429" max="7429" width="8.625" style="7" customWidth="1"/>
    <col min="7430" max="7430" width="19.625" style="7" customWidth="1"/>
    <col min="7431" max="7431" width="8.625" style="7" customWidth="1"/>
    <col min="7432" max="7433" width="7.625" style="7" customWidth="1"/>
    <col min="7434" max="7434" width="11.125" style="7" customWidth="1"/>
    <col min="7435" max="7443" width="8.625" style="7" customWidth="1"/>
    <col min="7444" max="7444" width="11.125" style="7" customWidth="1"/>
    <col min="7445" max="7446" width="8.625" style="7" customWidth="1"/>
    <col min="7447" max="7684" width="9" style="7"/>
    <col min="7685" max="7685" width="8.625" style="7" customWidth="1"/>
    <col min="7686" max="7686" width="19.625" style="7" customWidth="1"/>
    <col min="7687" max="7687" width="8.625" style="7" customWidth="1"/>
    <col min="7688" max="7689" width="7.625" style="7" customWidth="1"/>
    <col min="7690" max="7690" width="11.125" style="7" customWidth="1"/>
    <col min="7691" max="7699" width="8.625" style="7" customWidth="1"/>
    <col min="7700" max="7700" width="11.125" style="7" customWidth="1"/>
    <col min="7701" max="7702" width="8.625" style="7" customWidth="1"/>
    <col min="7703" max="7940" width="9" style="7"/>
    <col min="7941" max="7941" width="8.625" style="7" customWidth="1"/>
    <col min="7942" max="7942" width="19.625" style="7" customWidth="1"/>
    <col min="7943" max="7943" width="8.625" style="7" customWidth="1"/>
    <col min="7944" max="7945" width="7.625" style="7" customWidth="1"/>
    <col min="7946" max="7946" width="11.125" style="7" customWidth="1"/>
    <col min="7947" max="7955" width="8.625" style="7" customWidth="1"/>
    <col min="7956" max="7956" width="11.125" style="7" customWidth="1"/>
    <col min="7957" max="7958" width="8.625" style="7" customWidth="1"/>
    <col min="7959" max="8196" width="9" style="7"/>
    <col min="8197" max="8197" width="8.625" style="7" customWidth="1"/>
    <col min="8198" max="8198" width="19.625" style="7" customWidth="1"/>
    <col min="8199" max="8199" width="8.625" style="7" customWidth="1"/>
    <col min="8200" max="8201" width="7.625" style="7" customWidth="1"/>
    <col min="8202" max="8202" width="11.125" style="7" customWidth="1"/>
    <col min="8203" max="8211" width="8.625" style="7" customWidth="1"/>
    <col min="8212" max="8212" width="11.125" style="7" customWidth="1"/>
    <col min="8213" max="8214" width="8.625" style="7" customWidth="1"/>
    <col min="8215" max="8452" width="9" style="7"/>
    <col min="8453" max="8453" width="8.625" style="7" customWidth="1"/>
    <col min="8454" max="8454" width="19.625" style="7" customWidth="1"/>
    <col min="8455" max="8455" width="8.625" style="7" customWidth="1"/>
    <col min="8456" max="8457" width="7.625" style="7" customWidth="1"/>
    <col min="8458" max="8458" width="11.125" style="7" customWidth="1"/>
    <col min="8459" max="8467" width="8.625" style="7" customWidth="1"/>
    <col min="8468" max="8468" width="11.125" style="7" customWidth="1"/>
    <col min="8469" max="8470" width="8.625" style="7" customWidth="1"/>
    <col min="8471" max="8708" width="9" style="7"/>
    <col min="8709" max="8709" width="8.625" style="7" customWidth="1"/>
    <col min="8710" max="8710" width="19.625" style="7" customWidth="1"/>
    <col min="8711" max="8711" width="8.625" style="7" customWidth="1"/>
    <col min="8712" max="8713" width="7.625" style="7" customWidth="1"/>
    <col min="8714" max="8714" width="11.125" style="7" customWidth="1"/>
    <col min="8715" max="8723" width="8.625" style="7" customWidth="1"/>
    <col min="8724" max="8724" width="11.125" style="7" customWidth="1"/>
    <col min="8725" max="8726" width="8.625" style="7" customWidth="1"/>
    <col min="8727" max="8964" width="9" style="7"/>
    <col min="8965" max="8965" width="8.625" style="7" customWidth="1"/>
    <col min="8966" max="8966" width="19.625" style="7" customWidth="1"/>
    <col min="8967" max="8967" width="8.625" style="7" customWidth="1"/>
    <col min="8968" max="8969" width="7.625" style="7" customWidth="1"/>
    <col min="8970" max="8970" width="11.125" style="7" customWidth="1"/>
    <col min="8971" max="8979" width="8.625" style="7" customWidth="1"/>
    <col min="8980" max="8980" width="11.125" style="7" customWidth="1"/>
    <col min="8981" max="8982" width="8.625" style="7" customWidth="1"/>
    <col min="8983" max="9220" width="9" style="7"/>
    <col min="9221" max="9221" width="8.625" style="7" customWidth="1"/>
    <col min="9222" max="9222" width="19.625" style="7" customWidth="1"/>
    <col min="9223" max="9223" width="8.625" style="7" customWidth="1"/>
    <col min="9224" max="9225" width="7.625" style="7" customWidth="1"/>
    <col min="9226" max="9226" width="11.125" style="7" customWidth="1"/>
    <col min="9227" max="9235" width="8.625" style="7" customWidth="1"/>
    <col min="9236" max="9236" width="11.125" style="7" customWidth="1"/>
    <col min="9237" max="9238" width="8.625" style="7" customWidth="1"/>
    <col min="9239" max="9476" width="9" style="7"/>
    <col min="9477" max="9477" width="8.625" style="7" customWidth="1"/>
    <col min="9478" max="9478" width="19.625" style="7" customWidth="1"/>
    <col min="9479" max="9479" width="8.625" style="7" customWidth="1"/>
    <col min="9480" max="9481" width="7.625" style="7" customWidth="1"/>
    <col min="9482" max="9482" width="11.125" style="7" customWidth="1"/>
    <col min="9483" max="9491" width="8.625" style="7" customWidth="1"/>
    <col min="9492" max="9492" width="11.125" style="7" customWidth="1"/>
    <col min="9493" max="9494" width="8.625" style="7" customWidth="1"/>
    <col min="9495" max="9732" width="9" style="7"/>
    <col min="9733" max="9733" width="8.625" style="7" customWidth="1"/>
    <col min="9734" max="9734" width="19.625" style="7" customWidth="1"/>
    <col min="9735" max="9735" width="8.625" style="7" customWidth="1"/>
    <col min="9736" max="9737" width="7.625" style="7" customWidth="1"/>
    <col min="9738" max="9738" width="11.125" style="7" customWidth="1"/>
    <col min="9739" max="9747" width="8.625" style="7" customWidth="1"/>
    <col min="9748" max="9748" width="11.125" style="7" customWidth="1"/>
    <col min="9749" max="9750" width="8.625" style="7" customWidth="1"/>
    <col min="9751" max="9988" width="9" style="7"/>
    <col min="9989" max="9989" width="8.625" style="7" customWidth="1"/>
    <col min="9990" max="9990" width="19.625" style="7" customWidth="1"/>
    <col min="9991" max="9991" width="8.625" style="7" customWidth="1"/>
    <col min="9992" max="9993" width="7.625" style="7" customWidth="1"/>
    <col min="9994" max="9994" width="11.125" style="7" customWidth="1"/>
    <col min="9995" max="10003" width="8.625" style="7" customWidth="1"/>
    <col min="10004" max="10004" width="11.125" style="7" customWidth="1"/>
    <col min="10005" max="10006" width="8.625" style="7" customWidth="1"/>
    <col min="10007" max="10244" width="9" style="7"/>
    <col min="10245" max="10245" width="8.625" style="7" customWidth="1"/>
    <col min="10246" max="10246" width="19.625" style="7" customWidth="1"/>
    <col min="10247" max="10247" width="8.625" style="7" customWidth="1"/>
    <col min="10248" max="10249" width="7.625" style="7" customWidth="1"/>
    <col min="10250" max="10250" width="11.125" style="7" customWidth="1"/>
    <col min="10251" max="10259" width="8.625" style="7" customWidth="1"/>
    <col min="10260" max="10260" width="11.125" style="7" customWidth="1"/>
    <col min="10261" max="10262" width="8.625" style="7" customWidth="1"/>
    <col min="10263" max="10500" width="9" style="7"/>
    <col min="10501" max="10501" width="8.625" style="7" customWidth="1"/>
    <col min="10502" max="10502" width="19.625" style="7" customWidth="1"/>
    <col min="10503" max="10503" width="8.625" style="7" customWidth="1"/>
    <col min="10504" max="10505" width="7.625" style="7" customWidth="1"/>
    <col min="10506" max="10506" width="11.125" style="7" customWidth="1"/>
    <col min="10507" max="10515" width="8.625" style="7" customWidth="1"/>
    <col min="10516" max="10516" width="11.125" style="7" customWidth="1"/>
    <col min="10517" max="10518" width="8.625" style="7" customWidth="1"/>
    <col min="10519" max="10756" width="9" style="7"/>
    <col min="10757" max="10757" width="8.625" style="7" customWidth="1"/>
    <col min="10758" max="10758" width="19.625" style="7" customWidth="1"/>
    <col min="10759" max="10759" width="8.625" style="7" customWidth="1"/>
    <col min="10760" max="10761" width="7.625" style="7" customWidth="1"/>
    <col min="10762" max="10762" width="11.125" style="7" customWidth="1"/>
    <col min="10763" max="10771" width="8.625" style="7" customWidth="1"/>
    <col min="10772" max="10772" width="11.125" style="7" customWidth="1"/>
    <col min="10773" max="10774" width="8.625" style="7" customWidth="1"/>
    <col min="10775" max="11012" width="9" style="7"/>
    <col min="11013" max="11013" width="8.625" style="7" customWidth="1"/>
    <col min="11014" max="11014" width="19.625" style="7" customWidth="1"/>
    <col min="11015" max="11015" width="8.625" style="7" customWidth="1"/>
    <col min="11016" max="11017" width="7.625" style="7" customWidth="1"/>
    <col min="11018" max="11018" width="11.125" style="7" customWidth="1"/>
    <col min="11019" max="11027" width="8.625" style="7" customWidth="1"/>
    <col min="11028" max="11028" width="11.125" style="7" customWidth="1"/>
    <col min="11029" max="11030" width="8.625" style="7" customWidth="1"/>
    <col min="11031" max="11268" width="9" style="7"/>
    <col min="11269" max="11269" width="8.625" style="7" customWidth="1"/>
    <col min="11270" max="11270" width="19.625" style="7" customWidth="1"/>
    <col min="11271" max="11271" width="8.625" style="7" customWidth="1"/>
    <col min="11272" max="11273" width="7.625" style="7" customWidth="1"/>
    <col min="11274" max="11274" width="11.125" style="7" customWidth="1"/>
    <col min="11275" max="11283" width="8.625" style="7" customWidth="1"/>
    <col min="11284" max="11284" width="11.125" style="7" customWidth="1"/>
    <col min="11285" max="11286" width="8.625" style="7" customWidth="1"/>
    <col min="11287" max="11524" width="9" style="7"/>
    <col min="11525" max="11525" width="8.625" style="7" customWidth="1"/>
    <col min="11526" max="11526" width="19.625" style="7" customWidth="1"/>
    <col min="11527" max="11527" width="8.625" style="7" customWidth="1"/>
    <col min="11528" max="11529" width="7.625" style="7" customWidth="1"/>
    <col min="11530" max="11530" width="11.125" style="7" customWidth="1"/>
    <col min="11531" max="11539" width="8.625" style="7" customWidth="1"/>
    <col min="11540" max="11540" width="11.125" style="7" customWidth="1"/>
    <col min="11541" max="11542" width="8.625" style="7" customWidth="1"/>
    <col min="11543" max="11780" width="9" style="7"/>
    <col min="11781" max="11781" width="8.625" style="7" customWidth="1"/>
    <col min="11782" max="11782" width="19.625" style="7" customWidth="1"/>
    <col min="11783" max="11783" width="8.625" style="7" customWidth="1"/>
    <col min="11784" max="11785" width="7.625" style="7" customWidth="1"/>
    <col min="11786" max="11786" width="11.125" style="7" customWidth="1"/>
    <col min="11787" max="11795" width="8.625" style="7" customWidth="1"/>
    <col min="11796" max="11796" width="11.125" style="7" customWidth="1"/>
    <col min="11797" max="11798" width="8.625" style="7" customWidth="1"/>
    <col min="11799" max="12036" width="9" style="7"/>
    <col min="12037" max="12037" width="8.625" style="7" customWidth="1"/>
    <col min="12038" max="12038" width="19.625" style="7" customWidth="1"/>
    <col min="12039" max="12039" width="8.625" style="7" customWidth="1"/>
    <col min="12040" max="12041" width="7.625" style="7" customWidth="1"/>
    <col min="12042" max="12042" width="11.125" style="7" customWidth="1"/>
    <col min="12043" max="12051" width="8.625" style="7" customWidth="1"/>
    <col min="12052" max="12052" width="11.125" style="7" customWidth="1"/>
    <col min="12053" max="12054" width="8.625" style="7" customWidth="1"/>
    <col min="12055" max="12292" width="9" style="7"/>
    <col min="12293" max="12293" width="8.625" style="7" customWidth="1"/>
    <col min="12294" max="12294" width="19.625" style="7" customWidth="1"/>
    <col min="12295" max="12295" width="8.625" style="7" customWidth="1"/>
    <col min="12296" max="12297" width="7.625" style="7" customWidth="1"/>
    <col min="12298" max="12298" width="11.125" style="7" customWidth="1"/>
    <col min="12299" max="12307" width="8.625" style="7" customWidth="1"/>
    <col min="12308" max="12308" width="11.125" style="7" customWidth="1"/>
    <col min="12309" max="12310" width="8.625" style="7" customWidth="1"/>
    <col min="12311" max="12548" width="9" style="7"/>
    <col min="12549" max="12549" width="8.625" style="7" customWidth="1"/>
    <col min="12550" max="12550" width="19.625" style="7" customWidth="1"/>
    <col min="12551" max="12551" width="8.625" style="7" customWidth="1"/>
    <col min="12552" max="12553" width="7.625" style="7" customWidth="1"/>
    <col min="12554" max="12554" width="11.125" style="7" customWidth="1"/>
    <col min="12555" max="12563" width="8.625" style="7" customWidth="1"/>
    <col min="12564" max="12564" width="11.125" style="7" customWidth="1"/>
    <col min="12565" max="12566" width="8.625" style="7" customWidth="1"/>
    <col min="12567" max="12804" width="9" style="7"/>
    <col min="12805" max="12805" width="8.625" style="7" customWidth="1"/>
    <col min="12806" max="12806" width="19.625" style="7" customWidth="1"/>
    <col min="12807" max="12807" width="8.625" style="7" customWidth="1"/>
    <col min="12808" max="12809" width="7.625" style="7" customWidth="1"/>
    <col min="12810" max="12810" width="11.125" style="7" customWidth="1"/>
    <col min="12811" max="12819" width="8.625" style="7" customWidth="1"/>
    <col min="12820" max="12820" width="11.125" style="7" customWidth="1"/>
    <col min="12821" max="12822" width="8.625" style="7" customWidth="1"/>
    <col min="12823" max="13060" width="9" style="7"/>
    <col min="13061" max="13061" width="8.625" style="7" customWidth="1"/>
    <col min="13062" max="13062" width="19.625" style="7" customWidth="1"/>
    <col min="13063" max="13063" width="8.625" style="7" customWidth="1"/>
    <col min="13064" max="13065" width="7.625" style="7" customWidth="1"/>
    <col min="13066" max="13066" width="11.125" style="7" customWidth="1"/>
    <col min="13067" max="13075" width="8.625" style="7" customWidth="1"/>
    <col min="13076" max="13076" width="11.125" style="7" customWidth="1"/>
    <col min="13077" max="13078" width="8.625" style="7" customWidth="1"/>
    <col min="13079" max="13316" width="9" style="7"/>
    <col min="13317" max="13317" width="8.625" style="7" customWidth="1"/>
    <col min="13318" max="13318" width="19.625" style="7" customWidth="1"/>
    <col min="13319" max="13319" width="8.625" style="7" customWidth="1"/>
    <col min="13320" max="13321" width="7.625" style="7" customWidth="1"/>
    <col min="13322" max="13322" width="11.125" style="7" customWidth="1"/>
    <col min="13323" max="13331" width="8.625" style="7" customWidth="1"/>
    <col min="13332" max="13332" width="11.125" style="7" customWidth="1"/>
    <col min="13333" max="13334" width="8.625" style="7" customWidth="1"/>
    <col min="13335" max="13572" width="9" style="7"/>
    <col min="13573" max="13573" width="8.625" style="7" customWidth="1"/>
    <col min="13574" max="13574" width="19.625" style="7" customWidth="1"/>
    <col min="13575" max="13575" width="8.625" style="7" customWidth="1"/>
    <col min="13576" max="13577" width="7.625" style="7" customWidth="1"/>
    <col min="13578" max="13578" width="11.125" style="7" customWidth="1"/>
    <col min="13579" max="13587" width="8.625" style="7" customWidth="1"/>
    <col min="13588" max="13588" width="11.125" style="7" customWidth="1"/>
    <col min="13589" max="13590" width="8.625" style="7" customWidth="1"/>
    <col min="13591" max="13828" width="9" style="7"/>
    <col min="13829" max="13829" width="8.625" style="7" customWidth="1"/>
    <col min="13830" max="13830" width="19.625" style="7" customWidth="1"/>
    <col min="13831" max="13831" width="8.625" style="7" customWidth="1"/>
    <col min="13832" max="13833" width="7.625" style="7" customWidth="1"/>
    <col min="13834" max="13834" width="11.125" style="7" customWidth="1"/>
    <col min="13835" max="13843" width="8.625" style="7" customWidth="1"/>
    <col min="13844" max="13844" width="11.125" style="7" customWidth="1"/>
    <col min="13845" max="13846" width="8.625" style="7" customWidth="1"/>
    <col min="13847" max="14084" width="9" style="7"/>
    <col min="14085" max="14085" width="8.625" style="7" customWidth="1"/>
    <col min="14086" max="14086" width="19.625" style="7" customWidth="1"/>
    <col min="14087" max="14087" width="8.625" style="7" customWidth="1"/>
    <col min="14088" max="14089" width="7.625" style="7" customWidth="1"/>
    <col min="14090" max="14090" width="11.125" style="7" customWidth="1"/>
    <col min="14091" max="14099" width="8.625" style="7" customWidth="1"/>
    <col min="14100" max="14100" width="11.125" style="7" customWidth="1"/>
    <col min="14101" max="14102" width="8.625" style="7" customWidth="1"/>
    <col min="14103" max="14340" width="9" style="7"/>
    <col min="14341" max="14341" width="8.625" style="7" customWidth="1"/>
    <col min="14342" max="14342" width="19.625" style="7" customWidth="1"/>
    <col min="14343" max="14343" width="8.625" style="7" customWidth="1"/>
    <col min="14344" max="14345" width="7.625" style="7" customWidth="1"/>
    <col min="14346" max="14346" width="11.125" style="7" customWidth="1"/>
    <col min="14347" max="14355" width="8.625" style="7" customWidth="1"/>
    <col min="14356" max="14356" width="11.125" style="7" customWidth="1"/>
    <col min="14357" max="14358" width="8.625" style="7" customWidth="1"/>
    <col min="14359" max="14596" width="9" style="7"/>
    <col min="14597" max="14597" width="8.625" style="7" customWidth="1"/>
    <col min="14598" max="14598" width="19.625" style="7" customWidth="1"/>
    <col min="14599" max="14599" width="8.625" style="7" customWidth="1"/>
    <col min="14600" max="14601" width="7.625" style="7" customWidth="1"/>
    <col min="14602" max="14602" width="11.125" style="7" customWidth="1"/>
    <col min="14603" max="14611" width="8.625" style="7" customWidth="1"/>
    <col min="14612" max="14612" width="11.125" style="7" customWidth="1"/>
    <col min="14613" max="14614" width="8.625" style="7" customWidth="1"/>
    <col min="14615" max="14852" width="9" style="7"/>
    <col min="14853" max="14853" width="8.625" style="7" customWidth="1"/>
    <col min="14854" max="14854" width="19.625" style="7" customWidth="1"/>
    <col min="14855" max="14855" width="8.625" style="7" customWidth="1"/>
    <col min="14856" max="14857" width="7.625" style="7" customWidth="1"/>
    <col min="14858" max="14858" width="11.125" style="7" customWidth="1"/>
    <col min="14859" max="14867" width="8.625" style="7" customWidth="1"/>
    <col min="14868" max="14868" width="11.125" style="7" customWidth="1"/>
    <col min="14869" max="14870" width="8.625" style="7" customWidth="1"/>
    <col min="14871" max="15108" width="9" style="7"/>
    <col min="15109" max="15109" width="8.625" style="7" customWidth="1"/>
    <col min="15110" max="15110" width="19.625" style="7" customWidth="1"/>
    <col min="15111" max="15111" width="8.625" style="7" customWidth="1"/>
    <col min="15112" max="15113" width="7.625" style="7" customWidth="1"/>
    <col min="15114" max="15114" width="11.125" style="7" customWidth="1"/>
    <col min="15115" max="15123" width="8.625" style="7" customWidth="1"/>
    <col min="15124" max="15124" width="11.125" style="7" customWidth="1"/>
    <col min="15125" max="15126" width="8.625" style="7" customWidth="1"/>
    <col min="15127" max="15364" width="9" style="7"/>
    <col min="15365" max="15365" width="8.625" style="7" customWidth="1"/>
    <col min="15366" max="15366" width="19.625" style="7" customWidth="1"/>
    <col min="15367" max="15367" width="8.625" style="7" customWidth="1"/>
    <col min="15368" max="15369" width="7.625" style="7" customWidth="1"/>
    <col min="15370" max="15370" width="11.125" style="7" customWidth="1"/>
    <col min="15371" max="15379" width="8.625" style="7" customWidth="1"/>
    <col min="15380" max="15380" width="11.125" style="7" customWidth="1"/>
    <col min="15381" max="15382" width="8.625" style="7" customWidth="1"/>
    <col min="15383" max="15620" width="9" style="7"/>
    <col min="15621" max="15621" width="8.625" style="7" customWidth="1"/>
    <col min="15622" max="15622" width="19.625" style="7" customWidth="1"/>
    <col min="15623" max="15623" width="8.625" style="7" customWidth="1"/>
    <col min="15624" max="15625" width="7.625" style="7" customWidth="1"/>
    <col min="15626" max="15626" width="11.125" style="7" customWidth="1"/>
    <col min="15627" max="15635" width="8.625" style="7" customWidth="1"/>
    <col min="15636" max="15636" width="11.125" style="7" customWidth="1"/>
    <col min="15637" max="15638" width="8.625" style="7" customWidth="1"/>
    <col min="15639" max="15876" width="9" style="7"/>
    <col min="15877" max="15877" width="8.625" style="7" customWidth="1"/>
    <col min="15878" max="15878" width="19.625" style="7" customWidth="1"/>
    <col min="15879" max="15879" width="8.625" style="7" customWidth="1"/>
    <col min="15880" max="15881" width="7.625" style="7" customWidth="1"/>
    <col min="15882" max="15882" width="11.125" style="7" customWidth="1"/>
    <col min="15883" max="15891" width="8.625" style="7" customWidth="1"/>
    <col min="15892" max="15892" width="11.125" style="7" customWidth="1"/>
    <col min="15893" max="15894" width="8.625" style="7" customWidth="1"/>
    <col min="15895" max="16132" width="9" style="7"/>
    <col min="16133" max="16133" width="8.625" style="7" customWidth="1"/>
    <col min="16134" max="16134" width="19.625" style="7" customWidth="1"/>
    <col min="16135" max="16135" width="8.625" style="7" customWidth="1"/>
    <col min="16136" max="16137" width="7.625" style="7" customWidth="1"/>
    <col min="16138" max="16138" width="11.125" style="7" customWidth="1"/>
    <col min="16139" max="16147" width="8.625" style="7" customWidth="1"/>
    <col min="16148" max="16148" width="11.125" style="7" customWidth="1"/>
    <col min="16149" max="16150" width="8.625" style="7" customWidth="1"/>
    <col min="16151" max="16384" width="9" style="7"/>
  </cols>
  <sheetData>
    <row r="2" spans="1:31" ht="18" customHeight="1" thickBot="1"/>
    <row r="3" spans="1:31" s="13" customFormat="1" ht="23.1" customHeight="1">
      <c r="A3" s="219" t="s">
        <v>0</v>
      </c>
      <c r="B3" s="220"/>
      <c r="C3" s="221" t="s">
        <v>35</v>
      </c>
      <c r="D3" s="222"/>
      <c r="E3" s="222"/>
      <c r="F3" s="222"/>
      <c r="G3" s="222"/>
      <c r="H3" s="223"/>
      <c r="I3" s="12" t="s">
        <v>25</v>
      </c>
      <c r="J3" s="224">
        <v>82000000</v>
      </c>
      <c r="K3" s="225"/>
      <c r="L3" s="225"/>
      <c r="M3" s="225"/>
      <c r="N3" s="225"/>
      <c r="O3" s="152"/>
      <c r="P3" s="152"/>
      <c r="Q3" s="321"/>
      <c r="R3" s="226"/>
      <c r="S3" s="227"/>
      <c r="T3" s="231" t="s">
        <v>1</v>
      </c>
      <c r="U3" s="231"/>
      <c r="V3" s="231"/>
    </row>
    <row r="4" spans="1:31" s="13" customFormat="1" ht="23.1" customHeight="1">
      <c r="A4" s="232" t="s">
        <v>26</v>
      </c>
      <c r="B4" s="233"/>
      <c r="C4" s="234" t="s">
        <v>36</v>
      </c>
      <c r="D4" s="235"/>
      <c r="E4" s="235"/>
      <c r="F4" s="235"/>
      <c r="G4" s="235"/>
      <c r="H4" s="236"/>
      <c r="I4" s="14" t="s">
        <v>27</v>
      </c>
      <c r="J4" s="237">
        <v>5634000</v>
      </c>
      <c r="K4" s="238"/>
      <c r="L4" s="238"/>
      <c r="M4" s="238"/>
      <c r="N4" s="238"/>
      <c r="O4" s="153"/>
      <c r="P4" s="153"/>
      <c r="Q4" s="322"/>
      <c r="R4" s="210"/>
      <c r="S4" s="228"/>
      <c r="T4" s="252">
        <v>45903</v>
      </c>
      <c r="U4" s="253"/>
      <c r="V4" s="254"/>
    </row>
    <row r="5" spans="1:31" s="13" customFormat="1" ht="23.1" customHeight="1" thickBot="1">
      <c r="A5" s="241" t="s">
        <v>2</v>
      </c>
      <c r="B5" s="242"/>
      <c r="C5" s="243">
        <f>J3-G143</f>
        <v>7049410</v>
      </c>
      <c r="D5" s="244"/>
      <c r="E5" s="244"/>
      <c r="F5" s="244"/>
      <c r="G5" s="244"/>
      <c r="H5" s="245"/>
      <c r="I5" s="15" t="s">
        <v>3</v>
      </c>
      <c r="J5" s="246">
        <f>SUM(J3:Q4)</f>
        <v>87634000</v>
      </c>
      <c r="K5" s="247"/>
      <c r="L5" s="247"/>
      <c r="M5" s="247"/>
      <c r="N5" s="247"/>
      <c r="O5" s="154"/>
      <c r="P5" s="154"/>
      <c r="Q5" s="323"/>
      <c r="R5" s="210"/>
      <c r="S5" s="228"/>
      <c r="T5" s="255"/>
      <c r="U5" s="256"/>
      <c r="V5" s="257"/>
    </row>
    <row r="6" spans="1:31" s="13" customFormat="1" ht="23.1" customHeight="1" thickBot="1">
      <c r="A6" s="248" t="s">
        <v>4</v>
      </c>
      <c r="B6" s="248"/>
      <c r="C6" s="249">
        <v>8.5999999999999993E-2</v>
      </c>
      <c r="D6" s="249"/>
      <c r="E6" s="250"/>
      <c r="F6" s="250"/>
      <c r="G6" s="250" t="s">
        <v>5</v>
      </c>
      <c r="H6" s="250"/>
      <c r="I6" s="16">
        <f>J5-I143</f>
        <v>5658680</v>
      </c>
      <c r="J6" s="209"/>
      <c r="K6" s="251"/>
      <c r="L6" s="251"/>
      <c r="M6" s="251"/>
      <c r="N6" s="251"/>
      <c r="O6" s="251"/>
      <c r="P6" s="251"/>
      <c r="Q6" s="251"/>
      <c r="R6" s="332"/>
      <c r="S6" s="334"/>
      <c r="T6" s="335"/>
      <c r="U6" s="336"/>
      <c r="V6" s="337"/>
    </row>
    <row r="7" spans="1:31" s="13" customFormat="1" ht="18" customHeight="1" thickBot="1">
      <c r="A7" s="199" t="s">
        <v>6</v>
      </c>
      <c r="B7" s="199"/>
      <c r="C7" s="201" t="s">
        <v>28</v>
      </c>
      <c r="D7" s="203" t="s">
        <v>29</v>
      </c>
      <c r="E7" s="205" t="s">
        <v>23</v>
      </c>
      <c r="F7" s="206"/>
      <c r="G7" s="205" t="s">
        <v>30</v>
      </c>
      <c r="H7" s="206"/>
      <c r="I7" s="216" t="s">
        <v>31</v>
      </c>
      <c r="J7" s="316">
        <v>2025</v>
      </c>
      <c r="K7" s="17"/>
      <c r="L7" s="17"/>
      <c r="M7" s="17"/>
      <c r="N7" s="17"/>
      <c r="O7" s="17"/>
      <c r="P7" s="17"/>
      <c r="Q7" s="318"/>
      <c r="R7" s="331" t="s">
        <v>7</v>
      </c>
      <c r="S7" s="333" t="s">
        <v>8</v>
      </c>
      <c r="T7" s="197" t="s">
        <v>9</v>
      </c>
      <c r="U7" s="212" t="s">
        <v>10</v>
      </c>
      <c r="V7" s="213" t="s">
        <v>11</v>
      </c>
      <c r="X7" s="326">
        <v>2025</v>
      </c>
      <c r="Y7" s="17"/>
      <c r="Z7" s="17"/>
      <c r="AA7" s="17"/>
      <c r="AB7" s="17"/>
      <c r="AC7" s="17"/>
      <c r="AD7" s="17"/>
      <c r="AE7" s="318"/>
    </row>
    <row r="8" spans="1:31" s="13" customFormat="1" ht="44.25" customHeight="1" thickBot="1">
      <c r="A8" s="263"/>
      <c r="B8" s="263"/>
      <c r="C8" s="264"/>
      <c r="D8" s="265"/>
      <c r="E8" s="266"/>
      <c r="F8" s="267"/>
      <c r="G8" s="266"/>
      <c r="H8" s="267"/>
      <c r="I8" s="268"/>
      <c r="J8" s="317" t="s">
        <v>136</v>
      </c>
      <c r="K8" s="317" t="s">
        <v>137</v>
      </c>
      <c r="L8" s="317" t="s">
        <v>138</v>
      </c>
      <c r="M8" s="317" t="s">
        <v>139</v>
      </c>
      <c r="N8" s="317" t="s">
        <v>140</v>
      </c>
      <c r="O8" s="317" t="s">
        <v>141</v>
      </c>
      <c r="P8" s="317" t="s">
        <v>142</v>
      </c>
      <c r="Q8" s="317" t="s">
        <v>143</v>
      </c>
      <c r="R8" s="319"/>
      <c r="S8" s="320"/>
      <c r="T8" s="198"/>
      <c r="U8" s="212"/>
      <c r="V8" s="213"/>
      <c r="X8" s="327" t="s">
        <v>136</v>
      </c>
      <c r="Y8" s="325" t="s">
        <v>137</v>
      </c>
      <c r="Z8" s="317" t="s">
        <v>138</v>
      </c>
      <c r="AA8" s="317" t="s">
        <v>139</v>
      </c>
      <c r="AB8" s="317" t="s">
        <v>140</v>
      </c>
      <c r="AC8" s="317" t="s">
        <v>141</v>
      </c>
      <c r="AD8" s="317" t="s">
        <v>142</v>
      </c>
      <c r="AE8" s="317" t="s">
        <v>143</v>
      </c>
    </row>
    <row r="9" spans="1:31" ht="18.95" customHeight="1" thickTop="1">
      <c r="A9" s="311" t="s">
        <v>37</v>
      </c>
      <c r="B9" s="269" t="s">
        <v>38</v>
      </c>
      <c r="C9" s="155" t="s">
        <v>39</v>
      </c>
      <c r="D9" s="270" t="s">
        <v>40</v>
      </c>
      <c r="E9" s="271">
        <v>450000</v>
      </c>
      <c r="F9" s="192"/>
      <c r="G9" s="271">
        <v>800000</v>
      </c>
      <c r="H9" s="192"/>
      <c r="I9" s="272">
        <v>800000</v>
      </c>
      <c r="J9" s="273">
        <v>0</v>
      </c>
      <c r="K9" s="273">
        <v>0</v>
      </c>
      <c r="L9" s="273">
        <v>300000</v>
      </c>
      <c r="M9" s="273">
        <v>210000</v>
      </c>
      <c r="N9" s="273">
        <v>0</v>
      </c>
      <c r="O9" s="273">
        <v>0</v>
      </c>
      <c r="P9" s="273">
        <v>0</v>
      </c>
      <c r="Q9" s="273">
        <v>0</v>
      </c>
      <c r="R9" s="274">
        <f>SUM(J9:Q9)</f>
        <v>510000</v>
      </c>
      <c r="S9" s="275">
        <f>I9-R9</f>
        <v>290000</v>
      </c>
      <c r="T9" s="276">
        <f>G9-I9</f>
        <v>0</v>
      </c>
      <c r="U9" s="277">
        <v>0</v>
      </c>
      <c r="V9" s="278" t="e">
        <f>R9/U9</f>
        <v>#DIV/0!</v>
      </c>
      <c r="X9" s="328"/>
      <c r="Y9" s="273"/>
      <c r="Z9" s="273"/>
      <c r="AA9" s="273"/>
      <c r="AB9" s="273"/>
      <c r="AC9" s="273"/>
      <c r="AD9" s="273"/>
      <c r="AE9" s="273"/>
    </row>
    <row r="10" spans="1:31" ht="18.95" customHeight="1">
      <c r="A10" s="312"/>
      <c r="B10" s="279" t="s">
        <v>41</v>
      </c>
      <c r="C10" s="280" t="s">
        <v>42</v>
      </c>
      <c r="D10" s="281" t="s">
        <v>43</v>
      </c>
      <c r="E10" s="282">
        <v>0</v>
      </c>
      <c r="F10" s="283"/>
      <c r="G10" s="282">
        <v>1925000</v>
      </c>
      <c r="H10" s="283"/>
      <c r="I10" s="284">
        <v>1137500</v>
      </c>
      <c r="J10" s="285">
        <v>0</v>
      </c>
      <c r="K10" s="285">
        <v>0</v>
      </c>
      <c r="L10" s="285">
        <v>0</v>
      </c>
      <c r="M10" s="285">
        <v>0</v>
      </c>
      <c r="N10" s="285">
        <v>0</v>
      </c>
      <c r="O10" s="285">
        <v>0</v>
      </c>
      <c r="P10" s="285">
        <v>0</v>
      </c>
      <c r="Q10" s="285">
        <v>0</v>
      </c>
      <c r="R10" s="286">
        <f>SUM(J10:Q10)</f>
        <v>0</v>
      </c>
      <c r="S10" s="287">
        <f>I10-R10</f>
        <v>1137500</v>
      </c>
      <c r="T10" s="288">
        <f>G10-I10</f>
        <v>787500</v>
      </c>
      <c r="U10" s="289">
        <v>0</v>
      </c>
      <c r="V10" s="290" t="e">
        <f t="shared" ref="V10:V73" si="0">R10/U10</f>
        <v>#DIV/0!</v>
      </c>
      <c r="X10" s="329"/>
      <c r="Y10" s="285"/>
      <c r="Z10" s="285"/>
      <c r="AA10" s="285"/>
      <c r="AB10" s="285"/>
      <c r="AC10" s="285"/>
      <c r="AD10" s="285"/>
      <c r="AE10" s="285"/>
    </row>
    <row r="11" spans="1:31" ht="18.95" customHeight="1">
      <c r="A11" s="312"/>
      <c r="B11" s="279" t="s">
        <v>44</v>
      </c>
      <c r="C11" s="280" t="s">
        <v>45</v>
      </c>
      <c r="D11" s="281" t="s">
        <v>43</v>
      </c>
      <c r="E11" s="282">
        <v>0</v>
      </c>
      <c r="F11" s="283"/>
      <c r="G11" s="282">
        <v>0</v>
      </c>
      <c r="H11" s="283"/>
      <c r="I11" s="284">
        <v>0</v>
      </c>
      <c r="J11" s="285">
        <v>0</v>
      </c>
      <c r="K11" s="285">
        <v>18400</v>
      </c>
      <c r="L11" s="285">
        <v>0</v>
      </c>
      <c r="M11" s="285">
        <v>0</v>
      </c>
      <c r="N11" s="285">
        <v>0</v>
      </c>
      <c r="O11" s="285">
        <v>0</v>
      </c>
      <c r="P11" s="285">
        <v>0</v>
      </c>
      <c r="Q11" s="285">
        <v>0</v>
      </c>
      <c r="R11" s="286">
        <f>SUM(J11:Q11)</f>
        <v>18400</v>
      </c>
      <c r="S11" s="287">
        <f>I11-R11</f>
        <v>-18400</v>
      </c>
      <c r="T11" s="288">
        <f>G11-I11</f>
        <v>0</v>
      </c>
      <c r="U11" s="289">
        <v>0</v>
      </c>
      <c r="V11" s="290" t="e">
        <f t="shared" si="0"/>
        <v>#DIV/0!</v>
      </c>
      <c r="X11" s="329"/>
      <c r="Y11" s="285"/>
      <c r="Z11" s="285"/>
      <c r="AA11" s="285"/>
      <c r="AB11" s="285"/>
      <c r="AC11" s="285"/>
      <c r="AD11" s="285"/>
      <c r="AE11" s="285"/>
    </row>
    <row r="12" spans="1:31" ht="18.95" customHeight="1">
      <c r="A12" s="312"/>
      <c r="B12" s="279" t="s">
        <v>46</v>
      </c>
      <c r="C12" s="280" t="s">
        <v>47</v>
      </c>
      <c r="D12" s="281" t="s">
        <v>48</v>
      </c>
      <c r="E12" s="282">
        <v>400000</v>
      </c>
      <c r="F12" s="283"/>
      <c r="G12" s="282">
        <v>400000</v>
      </c>
      <c r="H12" s="283"/>
      <c r="I12" s="284">
        <v>400000</v>
      </c>
      <c r="J12" s="285">
        <v>0</v>
      </c>
      <c r="K12" s="285">
        <v>0</v>
      </c>
      <c r="L12" s="285">
        <v>0</v>
      </c>
      <c r="M12" s="285">
        <v>216000</v>
      </c>
      <c r="N12" s="285">
        <v>0</v>
      </c>
      <c r="O12" s="285">
        <v>0</v>
      </c>
      <c r="P12" s="285">
        <v>0</v>
      </c>
      <c r="Q12" s="285">
        <v>0</v>
      </c>
      <c r="R12" s="286">
        <f>SUM(J12:Q12)</f>
        <v>216000</v>
      </c>
      <c r="S12" s="287">
        <f>I12-R12</f>
        <v>184000</v>
      </c>
      <c r="T12" s="288">
        <f>G12-I12</f>
        <v>0</v>
      </c>
      <c r="U12" s="289">
        <v>0</v>
      </c>
      <c r="V12" s="290" t="e">
        <f t="shared" si="0"/>
        <v>#DIV/0!</v>
      </c>
      <c r="X12" s="329"/>
      <c r="Y12" s="285"/>
      <c r="Z12" s="285"/>
      <c r="AA12" s="285"/>
      <c r="AB12" s="285"/>
      <c r="AC12" s="285"/>
      <c r="AD12" s="285"/>
      <c r="AE12" s="285"/>
    </row>
    <row r="13" spans="1:31" ht="18.95" customHeight="1">
      <c r="A13" s="312"/>
      <c r="B13" s="279" t="s">
        <v>49</v>
      </c>
      <c r="C13" s="280" t="s">
        <v>50</v>
      </c>
      <c r="D13" s="281" t="s">
        <v>43</v>
      </c>
      <c r="E13" s="282">
        <v>0</v>
      </c>
      <c r="F13" s="283"/>
      <c r="G13" s="282">
        <v>0</v>
      </c>
      <c r="H13" s="283"/>
      <c r="I13" s="284">
        <v>0</v>
      </c>
      <c r="J13" s="285">
        <v>0</v>
      </c>
      <c r="K13" s="285">
        <v>0</v>
      </c>
      <c r="L13" s="285">
        <v>0</v>
      </c>
      <c r="M13" s="285">
        <v>105000</v>
      </c>
      <c r="N13" s="285">
        <v>174500</v>
      </c>
      <c r="O13" s="285">
        <v>45000</v>
      </c>
      <c r="P13" s="285">
        <v>0</v>
      </c>
      <c r="Q13" s="285">
        <v>0</v>
      </c>
      <c r="R13" s="286">
        <f>SUM(J13:Q13)</f>
        <v>324500</v>
      </c>
      <c r="S13" s="287">
        <f>I13-R13</f>
        <v>-324500</v>
      </c>
      <c r="T13" s="288">
        <f>G13-I13</f>
        <v>0</v>
      </c>
      <c r="U13" s="289">
        <v>0</v>
      </c>
      <c r="V13" s="290" t="e">
        <f t="shared" si="0"/>
        <v>#DIV/0!</v>
      </c>
      <c r="X13" s="329"/>
      <c r="Y13" s="285"/>
      <c r="Z13" s="285"/>
      <c r="AA13" s="285"/>
      <c r="AB13" s="285"/>
      <c r="AC13" s="285"/>
      <c r="AD13" s="285"/>
      <c r="AE13" s="285"/>
    </row>
    <row r="14" spans="1:31" ht="18.95" customHeight="1">
      <c r="A14" s="312"/>
      <c r="B14" s="279" t="s">
        <v>51</v>
      </c>
      <c r="C14" s="280" t="s">
        <v>45</v>
      </c>
      <c r="D14" s="281" t="s">
        <v>43</v>
      </c>
      <c r="E14" s="282">
        <v>0</v>
      </c>
      <c r="F14" s="283"/>
      <c r="G14" s="282">
        <v>0</v>
      </c>
      <c r="H14" s="283"/>
      <c r="I14" s="284">
        <v>0</v>
      </c>
      <c r="J14" s="285">
        <v>0</v>
      </c>
      <c r="K14" s="285">
        <v>0</v>
      </c>
      <c r="L14" s="285">
        <v>29200</v>
      </c>
      <c r="M14" s="285">
        <v>0</v>
      </c>
      <c r="N14" s="285">
        <v>0</v>
      </c>
      <c r="O14" s="285">
        <v>0</v>
      </c>
      <c r="P14" s="285">
        <v>0</v>
      </c>
      <c r="Q14" s="285">
        <v>0</v>
      </c>
      <c r="R14" s="286">
        <f>SUM(J14:Q14)</f>
        <v>29200</v>
      </c>
      <c r="S14" s="287">
        <f>I14-R14</f>
        <v>-29200</v>
      </c>
      <c r="T14" s="288">
        <f>G14-I14</f>
        <v>0</v>
      </c>
      <c r="U14" s="289">
        <v>0</v>
      </c>
      <c r="V14" s="290" t="e">
        <f t="shared" si="0"/>
        <v>#DIV/0!</v>
      </c>
      <c r="X14" s="329"/>
      <c r="Y14" s="285"/>
      <c r="Z14" s="285"/>
      <c r="AA14" s="285"/>
      <c r="AB14" s="285"/>
      <c r="AC14" s="285"/>
      <c r="AD14" s="285"/>
      <c r="AE14" s="285"/>
    </row>
    <row r="15" spans="1:31" ht="18.95" customHeight="1">
      <c r="A15" s="312"/>
      <c r="B15" s="279" t="s">
        <v>52</v>
      </c>
      <c r="C15" s="280" t="s">
        <v>50</v>
      </c>
      <c r="D15" s="281" t="s">
        <v>43</v>
      </c>
      <c r="E15" s="282">
        <v>0</v>
      </c>
      <c r="F15" s="283"/>
      <c r="G15" s="282">
        <v>0</v>
      </c>
      <c r="H15" s="283"/>
      <c r="I15" s="284">
        <v>0</v>
      </c>
      <c r="J15" s="285">
        <v>0</v>
      </c>
      <c r="K15" s="285">
        <v>0</v>
      </c>
      <c r="L15" s="285">
        <v>0</v>
      </c>
      <c r="M15" s="285">
        <v>0</v>
      </c>
      <c r="N15" s="285">
        <v>1325</v>
      </c>
      <c r="O15" s="285">
        <v>0</v>
      </c>
      <c r="P15" s="285">
        <v>0</v>
      </c>
      <c r="Q15" s="285">
        <v>0</v>
      </c>
      <c r="R15" s="286">
        <f>SUM(J15:Q15)</f>
        <v>1325</v>
      </c>
      <c r="S15" s="287">
        <f>I15-R15</f>
        <v>-1325</v>
      </c>
      <c r="T15" s="288">
        <f>G15-I15</f>
        <v>0</v>
      </c>
      <c r="U15" s="289">
        <v>0</v>
      </c>
      <c r="V15" s="290" t="e">
        <f t="shared" si="0"/>
        <v>#DIV/0!</v>
      </c>
      <c r="X15" s="329"/>
      <c r="Y15" s="285"/>
      <c r="Z15" s="285"/>
      <c r="AA15" s="285"/>
      <c r="AB15" s="285"/>
      <c r="AC15" s="285"/>
      <c r="AD15" s="285"/>
      <c r="AE15" s="285"/>
    </row>
    <row r="16" spans="1:31" ht="18.95" customHeight="1">
      <c r="A16" s="312"/>
      <c r="B16" s="279" t="s">
        <v>53</v>
      </c>
      <c r="C16" s="280" t="s">
        <v>45</v>
      </c>
      <c r="D16" s="281" t="s">
        <v>43</v>
      </c>
      <c r="E16" s="282">
        <v>0</v>
      </c>
      <c r="F16" s="283"/>
      <c r="G16" s="282">
        <v>0</v>
      </c>
      <c r="H16" s="283"/>
      <c r="I16" s="284">
        <v>0</v>
      </c>
      <c r="J16" s="285">
        <v>0</v>
      </c>
      <c r="K16" s="285">
        <v>0</v>
      </c>
      <c r="L16" s="285">
        <v>32465</v>
      </c>
      <c r="M16" s="285">
        <v>0</v>
      </c>
      <c r="N16" s="285">
        <v>0</v>
      </c>
      <c r="O16" s="285">
        <v>0</v>
      </c>
      <c r="P16" s="285">
        <v>0</v>
      </c>
      <c r="Q16" s="285">
        <v>0</v>
      </c>
      <c r="R16" s="286">
        <f>SUM(J16:Q16)</f>
        <v>32465</v>
      </c>
      <c r="S16" s="287">
        <f>I16-R16</f>
        <v>-32465</v>
      </c>
      <c r="T16" s="288">
        <f>G16-I16</f>
        <v>0</v>
      </c>
      <c r="U16" s="289">
        <v>0</v>
      </c>
      <c r="V16" s="290" t="e">
        <f t="shared" si="0"/>
        <v>#DIV/0!</v>
      </c>
      <c r="X16" s="329"/>
      <c r="Y16" s="285"/>
      <c r="Z16" s="285"/>
      <c r="AA16" s="285"/>
      <c r="AB16" s="285"/>
      <c r="AC16" s="285"/>
      <c r="AD16" s="285"/>
      <c r="AE16" s="285"/>
    </row>
    <row r="17" spans="1:31" ht="18.95" customHeight="1">
      <c r="A17" s="312"/>
      <c r="B17" s="279" t="s">
        <v>54</v>
      </c>
      <c r="C17" s="280" t="s">
        <v>42</v>
      </c>
      <c r="D17" s="281" t="s">
        <v>43</v>
      </c>
      <c r="E17" s="282">
        <v>250000</v>
      </c>
      <c r="F17" s="283"/>
      <c r="G17" s="282">
        <v>250000</v>
      </c>
      <c r="H17" s="283"/>
      <c r="I17" s="284">
        <v>250000</v>
      </c>
      <c r="J17" s="285">
        <v>0</v>
      </c>
      <c r="K17" s="285">
        <v>0</v>
      </c>
      <c r="L17" s="285">
        <v>143000</v>
      </c>
      <c r="M17" s="285">
        <v>0</v>
      </c>
      <c r="N17" s="285">
        <v>0</v>
      </c>
      <c r="O17" s="285">
        <v>0</v>
      </c>
      <c r="P17" s="285">
        <v>0</v>
      </c>
      <c r="Q17" s="285">
        <v>0</v>
      </c>
      <c r="R17" s="286">
        <f>SUM(J17:Q17)</f>
        <v>143000</v>
      </c>
      <c r="S17" s="287">
        <f>I17-R17</f>
        <v>107000</v>
      </c>
      <c r="T17" s="288">
        <f>G17-I17</f>
        <v>0</v>
      </c>
      <c r="U17" s="289">
        <v>0</v>
      </c>
      <c r="V17" s="290" t="e">
        <f t="shared" si="0"/>
        <v>#DIV/0!</v>
      </c>
      <c r="X17" s="329"/>
      <c r="Y17" s="285"/>
      <c r="Z17" s="285"/>
      <c r="AA17" s="285"/>
      <c r="AB17" s="285"/>
      <c r="AC17" s="285"/>
      <c r="AD17" s="285"/>
      <c r="AE17" s="285"/>
    </row>
    <row r="18" spans="1:31" ht="18.95" customHeight="1">
      <c r="A18" s="312"/>
      <c r="B18" s="279" t="s">
        <v>55</v>
      </c>
      <c r="C18" s="280" t="s">
        <v>45</v>
      </c>
      <c r="D18" s="281" t="s">
        <v>43</v>
      </c>
      <c r="E18" s="282">
        <v>0</v>
      </c>
      <c r="F18" s="283"/>
      <c r="G18" s="282">
        <v>0</v>
      </c>
      <c r="H18" s="283"/>
      <c r="I18" s="284">
        <v>0</v>
      </c>
      <c r="J18" s="285">
        <v>0</v>
      </c>
      <c r="K18" s="285">
        <v>0</v>
      </c>
      <c r="L18" s="285">
        <v>37200</v>
      </c>
      <c r="M18" s="285">
        <v>58270</v>
      </c>
      <c r="N18" s="285">
        <v>0</v>
      </c>
      <c r="O18" s="285">
        <v>0</v>
      </c>
      <c r="P18" s="285">
        <v>0</v>
      </c>
      <c r="Q18" s="285">
        <v>0</v>
      </c>
      <c r="R18" s="286">
        <f>SUM(J18:Q18)</f>
        <v>95470</v>
      </c>
      <c r="S18" s="287">
        <f>I18-R18</f>
        <v>-95470</v>
      </c>
      <c r="T18" s="288">
        <f>G18-I18</f>
        <v>0</v>
      </c>
      <c r="U18" s="289">
        <v>0</v>
      </c>
      <c r="V18" s="290" t="e">
        <f t="shared" si="0"/>
        <v>#DIV/0!</v>
      </c>
      <c r="X18" s="329"/>
      <c r="Y18" s="285"/>
      <c r="Z18" s="285"/>
      <c r="AA18" s="285"/>
      <c r="AB18" s="285"/>
      <c r="AC18" s="285"/>
      <c r="AD18" s="285"/>
      <c r="AE18" s="285"/>
    </row>
    <row r="19" spans="1:31" ht="18.95" customHeight="1">
      <c r="A19" s="312"/>
      <c r="B19" s="279" t="s">
        <v>56</v>
      </c>
      <c r="C19" s="280" t="s">
        <v>57</v>
      </c>
      <c r="D19" s="281" t="s">
        <v>43</v>
      </c>
      <c r="E19" s="282">
        <v>0</v>
      </c>
      <c r="F19" s="283"/>
      <c r="G19" s="282">
        <v>0</v>
      </c>
      <c r="H19" s="283"/>
      <c r="I19" s="284">
        <v>0</v>
      </c>
      <c r="J19" s="285">
        <v>199000</v>
      </c>
      <c r="K19" s="285">
        <v>8000</v>
      </c>
      <c r="L19" s="285">
        <v>0</v>
      </c>
      <c r="M19" s="285">
        <v>0</v>
      </c>
      <c r="N19" s="285">
        <v>0</v>
      </c>
      <c r="O19" s="285">
        <v>0</v>
      </c>
      <c r="P19" s="285">
        <v>0</v>
      </c>
      <c r="Q19" s="285">
        <v>0</v>
      </c>
      <c r="R19" s="286">
        <f>SUM(J19:Q19)</f>
        <v>207000</v>
      </c>
      <c r="S19" s="287">
        <f>I19-R19</f>
        <v>-207000</v>
      </c>
      <c r="T19" s="288">
        <f>G19-I19</f>
        <v>0</v>
      </c>
      <c r="U19" s="289">
        <v>0</v>
      </c>
      <c r="V19" s="290" t="e">
        <f t="shared" si="0"/>
        <v>#DIV/0!</v>
      </c>
      <c r="X19" s="329"/>
      <c r="Y19" s="285"/>
      <c r="Z19" s="285"/>
      <c r="AA19" s="285"/>
      <c r="AB19" s="285"/>
      <c r="AC19" s="285"/>
      <c r="AD19" s="285"/>
      <c r="AE19" s="285"/>
    </row>
    <row r="20" spans="1:31" ht="18.95" customHeight="1">
      <c r="A20" s="312"/>
      <c r="B20" s="279" t="s">
        <v>58</v>
      </c>
      <c r="C20" s="280" t="s">
        <v>57</v>
      </c>
      <c r="D20" s="281" t="s">
        <v>43</v>
      </c>
      <c r="E20" s="282">
        <v>0</v>
      </c>
      <c r="F20" s="283"/>
      <c r="G20" s="282">
        <v>100000</v>
      </c>
      <c r="H20" s="283"/>
      <c r="I20" s="284">
        <v>195800</v>
      </c>
      <c r="J20" s="285">
        <v>0</v>
      </c>
      <c r="K20" s="285">
        <v>0</v>
      </c>
      <c r="L20" s="285">
        <v>103800</v>
      </c>
      <c r="M20" s="285">
        <v>32000</v>
      </c>
      <c r="N20" s="285">
        <v>20000</v>
      </c>
      <c r="O20" s="285">
        <v>20000</v>
      </c>
      <c r="P20" s="285">
        <v>0</v>
      </c>
      <c r="Q20" s="285">
        <v>0</v>
      </c>
      <c r="R20" s="286">
        <f>SUM(J20:Q20)</f>
        <v>175800</v>
      </c>
      <c r="S20" s="287">
        <f>I20-R20</f>
        <v>20000</v>
      </c>
      <c r="T20" s="288">
        <f>G20-I20</f>
        <v>-95800</v>
      </c>
      <c r="U20" s="289">
        <v>0</v>
      </c>
      <c r="V20" s="290" t="e">
        <f t="shared" si="0"/>
        <v>#DIV/0!</v>
      </c>
      <c r="X20" s="329"/>
      <c r="Y20" s="285"/>
      <c r="Z20" s="285"/>
      <c r="AA20" s="285"/>
      <c r="AB20" s="285"/>
      <c r="AC20" s="285"/>
      <c r="AD20" s="285"/>
      <c r="AE20" s="285"/>
    </row>
    <row r="21" spans="1:31" ht="18.95" customHeight="1">
      <c r="A21" s="312"/>
      <c r="B21" s="279" t="s">
        <v>59</v>
      </c>
      <c r="C21" s="280" t="s">
        <v>42</v>
      </c>
      <c r="D21" s="281" t="s">
        <v>43</v>
      </c>
      <c r="E21" s="282">
        <v>0</v>
      </c>
      <c r="F21" s="283"/>
      <c r="G21" s="282">
        <v>0</v>
      </c>
      <c r="H21" s="283"/>
      <c r="I21" s="284">
        <v>0</v>
      </c>
      <c r="J21" s="285">
        <v>0</v>
      </c>
      <c r="K21" s="285">
        <v>0</v>
      </c>
      <c r="L21" s="285">
        <v>558700</v>
      </c>
      <c r="M21" s="285">
        <v>409250</v>
      </c>
      <c r="N21" s="285">
        <v>130200</v>
      </c>
      <c r="O21" s="285">
        <v>105000</v>
      </c>
      <c r="P21" s="285">
        <v>0</v>
      </c>
      <c r="Q21" s="285">
        <v>0</v>
      </c>
      <c r="R21" s="286">
        <f>SUM(J21:Q21)</f>
        <v>1203150</v>
      </c>
      <c r="S21" s="287">
        <f>I21-R21</f>
        <v>-1203150</v>
      </c>
      <c r="T21" s="288">
        <f>G21-I21</f>
        <v>0</v>
      </c>
      <c r="U21" s="289">
        <v>0</v>
      </c>
      <c r="V21" s="290" t="e">
        <f t="shared" si="0"/>
        <v>#DIV/0!</v>
      </c>
      <c r="X21" s="329"/>
      <c r="Y21" s="285"/>
      <c r="Z21" s="285"/>
      <c r="AA21" s="285"/>
      <c r="AB21" s="285"/>
      <c r="AC21" s="285"/>
      <c r="AD21" s="285"/>
      <c r="AE21" s="285"/>
    </row>
    <row r="22" spans="1:31" ht="18.95" customHeight="1">
      <c r="A22" s="312"/>
      <c r="B22" s="279" t="s">
        <v>60</v>
      </c>
      <c r="C22" s="280" t="s">
        <v>39</v>
      </c>
      <c r="D22" s="281" t="s">
        <v>43</v>
      </c>
      <c r="E22" s="282">
        <v>0</v>
      </c>
      <c r="F22" s="283"/>
      <c r="G22" s="282">
        <v>0</v>
      </c>
      <c r="H22" s="283"/>
      <c r="I22" s="284">
        <v>0</v>
      </c>
      <c r="J22" s="285">
        <v>0</v>
      </c>
      <c r="K22" s="285">
        <v>0</v>
      </c>
      <c r="L22" s="285">
        <v>22000</v>
      </c>
      <c r="M22" s="285">
        <v>0</v>
      </c>
      <c r="N22" s="285">
        <v>0</v>
      </c>
      <c r="O22" s="285">
        <v>0</v>
      </c>
      <c r="P22" s="285">
        <v>0</v>
      </c>
      <c r="Q22" s="285">
        <v>0</v>
      </c>
      <c r="R22" s="286">
        <f>SUM(J22:Q22)</f>
        <v>22000</v>
      </c>
      <c r="S22" s="287">
        <f>I22-R22</f>
        <v>-22000</v>
      </c>
      <c r="T22" s="288">
        <f>G22-I22</f>
        <v>0</v>
      </c>
      <c r="U22" s="289">
        <v>0</v>
      </c>
      <c r="V22" s="290" t="e">
        <f t="shared" si="0"/>
        <v>#DIV/0!</v>
      </c>
      <c r="X22" s="329"/>
      <c r="Y22" s="285"/>
      <c r="Z22" s="285"/>
      <c r="AA22" s="285"/>
      <c r="AB22" s="285"/>
      <c r="AC22" s="285"/>
      <c r="AD22" s="285"/>
      <c r="AE22" s="285"/>
    </row>
    <row r="23" spans="1:31" ht="18.95" customHeight="1">
      <c r="A23" s="312"/>
      <c r="B23" s="279" t="s">
        <v>61</v>
      </c>
      <c r="C23" s="280" t="s">
        <v>57</v>
      </c>
      <c r="D23" s="281" t="s">
        <v>62</v>
      </c>
      <c r="E23" s="282">
        <v>530000</v>
      </c>
      <c r="F23" s="283"/>
      <c r="G23" s="282">
        <v>650000</v>
      </c>
      <c r="H23" s="283"/>
      <c r="I23" s="284">
        <v>650000</v>
      </c>
      <c r="J23" s="285">
        <v>0</v>
      </c>
      <c r="K23" s="285">
        <v>0</v>
      </c>
      <c r="L23" s="285">
        <v>351000</v>
      </c>
      <c r="M23" s="285">
        <v>0</v>
      </c>
      <c r="N23" s="285">
        <v>0</v>
      </c>
      <c r="O23" s="285">
        <v>0</v>
      </c>
      <c r="P23" s="285">
        <v>0</v>
      </c>
      <c r="Q23" s="285">
        <v>0</v>
      </c>
      <c r="R23" s="286">
        <f>SUM(J23:Q23)</f>
        <v>351000</v>
      </c>
      <c r="S23" s="287">
        <f>I23-R23</f>
        <v>299000</v>
      </c>
      <c r="T23" s="288">
        <f>G23-I23</f>
        <v>0</v>
      </c>
      <c r="U23" s="289">
        <v>1</v>
      </c>
      <c r="V23" s="290">
        <f t="shared" si="0"/>
        <v>351000</v>
      </c>
      <c r="X23" s="329"/>
      <c r="Y23" s="285"/>
      <c r="Z23" s="285"/>
      <c r="AA23" s="285"/>
      <c r="AB23" s="285"/>
      <c r="AC23" s="285"/>
      <c r="AD23" s="285"/>
      <c r="AE23" s="285"/>
    </row>
    <row r="24" spans="1:31" ht="18.95" customHeight="1">
      <c r="A24" s="312"/>
      <c r="B24" s="279" t="s">
        <v>61</v>
      </c>
      <c r="C24" s="280" t="s">
        <v>57</v>
      </c>
      <c r="D24" s="281" t="s">
        <v>43</v>
      </c>
      <c r="E24" s="282">
        <v>0</v>
      </c>
      <c r="F24" s="283"/>
      <c r="G24" s="282">
        <v>0</v>
      </c>
      <c r="H24" s="283"/>
      <c r="I24" s="284">
        <v>0</v>
      </c>
      <c r="J24" s="285">
        <v>0</v>
      </c>
      <c r="K24" s="285">
        <v>0</v>
      </c>
      <c r="L24" s="285">
        <v>0</v>
      </c>
      <c r="M24" s="285">
        <v>78392</v>
      </c>
      <c r="N24" s="285">
        <v>33674</v>
      </c>
      <c r="O24" s="285">
        <v>54816</v>
      </c>
      <c r="P24" s="285">
        <v>0</v>
      </c>
      <c r="Q24" s="285">
        <v>0</v>
      </c>
      <c r="R24" s="286">
        <f>SUM(J24:Q24)</f>
        <v>166882</v>
      </c>
      <c r="S24" s="287">
        <f>I24-R24</f>
        <v>-166882</v>
      </c>
      <c r="T24" s="288">
        <f>G24-I24</f>
        <v>0</v>
      </c>
      <c r="U24" s="289">
        <v>0</v>
      </c>
      <c r="V24" s="290" t="e">
        <f t="shared" si="0"/>
        <v>#DIV/0!</v>
      </c>
      <c r="X24" s="329"/>
      <c r="Y24" s="285"/>
      <c r="Z24" s="285"/>
      <c r="AA24" s="285"/>
      <c r="AB24" s="285"/>
      <c r="AC24" s="285"/>
      <c r="AD24" s="285"/>
      <c r="AE24" s="285"/>
    </row>
    <row r="25" spans="1:31" ht="18.95" customHeight="1">
      <c r="A25" s="312"/>
      <c r="B25" s="279" t="s">
        <v>63</v>
      </c>
      <c r="C25" s="280" t="s">
        <v>57</v>
      </c>
      <c r="D25" s="281" t="s">
        <v>43</v>
      </c>
      <c r="E25" s="282">
        <v>0</v>
      </c>
      <c r="F25" s="283"/>
      <c r="G25" s="282">
        <v>0</v>
      </c>
      <c r="H25" s="283"/>
      <c r="I25" s="284">
        <v>0</v>
      </c>
      <c r="J25" s="285">
        <v>0</v>
      </c>
      <c r="K25" s="285">
        <v>0</v>
      </c>
      <c r="L25" s="285">
        <v>128190</v>
      </c>
      <c r="M25" s="285">
        <v>0</v>
      </c>
      <c r="N25" s="285">
        <v>0</v>
      </c>
      <c r="O25" s="285">
        <v>0</v>
      </c>
      <c r="P25" s="285">
        <v>0</v>
      </c>
      <c r="Q25" s="285">
        <v>0</v>
      </c>
      <c r="R25" s="286">
        <f>SUM(J25:Q25)</f>
        <v>128190</v>
      </c>
      <c r="S25" s="287">
        <f>I25-R25</f>
        <v>-128190</v>
      </c>
      <c r="T25" s="288">
        <f>G25-I25</f>
        <v>0</v>
      </c>
      <c r="U25" s="289">
        <v>0</v>
      </c>
      <c r="V25" s="290" t="e">
        <f t="shared" si="0"/>
        <v>#DIV/0!</v>
      </c>
      <c r="X25" s="329"/>
      <c r="Y25" s="285"/>
      <c r="Z25" s="285"/>
      <c r="AA25" s="285"/>
      <c r="AB25" s="285"/>
      <c r="AC25" s="285"/>
      <c r="AD25" s="285"/>
      <c r="AE25" s="285"/>
    </row>
    <row r="26" spans="1:31" ht="18.95" customHeight="1">
      <c r="A26" s="312"/>
      <c r="B26" s="279"/>
      <c r="C26" s="280" t="s">
        <v>57</v>
      </c>
      <c r="D26" s="281" t="s">
        <v>43</v>
      </c>
      <c r="E26" s="282">
        <v>0</v>
      </c>
      <c r="F26" s="283"/>
      <c r="G26" s="282">
        <v>0</v>
      </c>
      <c r="H26" s="283"/>
      <c r="I26" s="284">
        <v>0</v>
      </c>
      <c r="J26" s="285">
        <v>0</v>
      </c>
      <c r="K26" s="285">
        <v>0</v>
      </c>
      <c r="L26" s="285">
        <v>0</v>
      </c>
      <c r="M26" s="285">
        <v>0</v>
      </c>
      <c r="N26" s="285">
        <v>0</v>
      </c>
      <c r="O26" s="285">
        <v>0</v>
      </c>
      <c r="P26" s="285">
        <v>0</v>
      </c>
      <c r="Q26" s="285">
        <v>0</v>
      </c>
      <c r="R26" s="286">
        <f>SUM(J26:Q26)</f>
        <v>0</v>
      </c>
      <c r="S26" s="287">
        <f>I26-R26</f>
        <v>0</v>
      </c>
      <c r="T26" s="288">
        <f>G26-I26</f>
        <v>0</v>
      </c>
      <c r="U26" s="289">
        <v>0</v>
      </c>
      <c r="V26" s="290" t="e">
        <f t="shared" si="0"/>
        <v>#DIV/0!</v>
      </c>
      <c r="X26" s="329"/>
      <c r="Y26" s="285"/>
      <c r="Z26" s="285"/>
      <c r="AA26" s="285"/>
      <c r="AB26" s="285"/>
      <c r="AC26" s="285"/>
      <c r="AD26" s="285"/>
      <c r="AE26" s="285"/>
    </row>
    <row r="27" spans="1:31" ht="18.95" customHeight="1">
      <c r="A27" s="312"/>
      <c r="B27" s="279"/>
      <c r="C27" s="280" t="s">
        <v>47</v>
      </c>
      <c r="D27" s="281" t="s">
        <v>43</v>
      </c>
      <c r="E27" s="282">
        <v>0</v>
      </c>
      <c r="F27" s="283"/>
      <c r="G27" s="282">
        <v>0</v>
      </c>
      <c r="H27" s="283"/>
      <c r="I27" s="284">
        <v>0</v>
      </c>
      <c r="J27" s="285">
        <v>0</v>
      </c>
      <c r="K27" s="285">
        <v>0</v>
      </c>
      <c r="L27" s="285">
        <v>0</v>
      </c>
      <c r="M27" s="285">
        <v>0</v>
      </c>
      <c r="N27" s="285">
        <v>0</v>
      </c>
      <c r="O27" s="285">
        <v>0</v>
      </c>
      <c r="P27" s="285">
        <v>0</v>
      </c>
      <c r="Q27" s="285">
        <v>0</v>
      </c>
      <c r="R27" s="286">
        <f>SUM(J27:Q27)</f>
        <v>0</v>
      </c>
      <c r="S27" s="287">
        <f>I27-R27</f>
        <v>0</v>
      </c>
      <c r="T27" s="288">
        <f>G27-I27</f>
        <v>0</v>
      </c>
      <c r="U27" s="289">
        <v>0</v>
      </c>
      <c r="V27" s="290" t="e">
        <f t="shared" si="0"/>
        <v>#DIV/0!</v>
      </c>
      <c r="X27" s="329"/>
      <c r="Y27" s="285"/>
      <c r="Z27" s="285"/>
      <c r="AA27" s="285"/>
      <c r="AB27" s="285"/>
      <c r="AC27" s="285"/>
      <c r="AD27" s="285"/>
      <c r="AE27" s="285"/>
    </row>
    <row r="28" spans="1:31" ht="18.95" customHeight="1">
      <c r="A28" s="312"/>
      <c r="B28" s="279"/>
      <c r="C28" s="280" t="s">
        <v>39</v>
      </c>
      <c r="D28" s="281" t="s">
        <v>43</v>
      </c>
      <c r="E28" s="282">
        <v>0</v>
      </c>
      <c r="F28" s="283"/>
      <c r="G28" s="282">
        <v>0</v>
      </c>
      <c r="H28" s="283"/>
      <c r="I28" s="284">
        <v>0</v>
      </c>
      <c r="J28" s="285">
        <v>0</v>
      </c>
      <c r="K28" s="285">
        <v>0</v>
      </c>
      <c r="L28" s="285">
        <v>0</v>
      </c>
      <c r="M28" s="285">
        <v>0</v>
      </c>
      <c r="N28" s="285">
        <v>0</v>
      </c>
      <c r="O28" s="285">
        <v>0</v>
      </c>
      <c r="P28" s="285">
        <v>0</v>
      </c>
      <c r="Q28" s="285">
        <v>0</v>
      </c>
      <c r="R28" s="286">
        <f>SUM(J28:Q28)</f>
        <v>0</v>
      </c>
      <c r="S28" s="287">
        <f>I28-R28</f>
        <v>0</v>
      </c>
      <c r="T28" s="288">
        <f>G28-I28</f>
        <v>0</v>
      </c>
      <c r="U28" s="289">
        <v>0</v>
      </c>
      <c r="V28" s="290" t="e">
        <f t="shared" si="0"/>
        <v>#DIV/0!</v>
      </c>
      <c r="X28" s="329"/>
      <c r="Y28" s="285"/>
      <c r="Z28" s="285"/>
      <c r="AA28" s="285"/>
      <c r="AB28" s="285"/>
      <c r="AC28" s="285"/>
      <c r="AD28" s="285"/>
      <c r="AE28" s="285"/>
    </row>
    <row r="29" spans="1:31" ht="18.95" customHeight="1">
      <c r="A29" s="312"/>
      <c r="B29" s="279"/>
      <c r="C29" s="280" t="s">
        <v>45</v>
      </c>
      <c r="D29" s="281" t="s">
        <v>43</v>
      </c>
      <c r="E29" s="282">
        <v>0</v>
      </c>
      <c r="F29" s="283"/>
      <c r="G29" s="282">
        <v>0</v>
      </c>
      <c r="H29" s="283"/>
      <c r="I29" s="284">
        <v>200000</v>
      </c>
      <c r="J29" s="285">
        <v>0</v>
      </c>
      <c r="K29" s="285">
        <v>0</v>
      </c>
      <c r="L29" s="285">
        <v>0</v>
      </c>
      <c r="M29" s="285">
        <v>0</v>
      </c>
      <c r="N29" s="285">
        <v>0</v>
      </c>
      <c r="O29" s="285">
        <v>0</v>
      </c>
      <c r="P29" s="285">
        <v>0</v>
      </c>
      <c r="Q29" s="285">
        <v>0</v>
      </c>
      <c r="R29" s="286">
        <f>SUM(J29:Q29)</f>
        <v>0</v>
      </c>
      <c r="S29" s="287">
        <f>I29-R29</f>
        <v>200000</v>
      </c>
      <c r="T29" s="288">
        <f>G29-I29</f>
        <v>-200000</v>
      </c>
      <c r="U29" s="289">
        <v>0</v>
      </c>
      <c r="V29" s="290" t="e">
        <f t="shared" si="0"/>
        <v>#DIV/0!</v>
      </c>
      <c r="X29" s="329"/>
      <c r="Y29" s="285"/>
      <c r="Z29" s="285"/>
      <c r="AA29" s="285"/>
      <c r="AB29" s="285"/>
      <c r="AC29" s="285"/>
      <c r="AD29" s="285"/>
      <c r="AE29" s="285"/>
    </row>
    <row r="30" spans="1:31" ht="18.95" customHeight="1">
      <c r="A30" s="312"/>
      <c r="B30" s="279"/>
      <c r="C30" s="280" t="s">
        <v>42</v>
      </c>
      <c r="D30" s="281" t="s">
        <v>43</v>
      </c>
      <c r="E30" s="282">
        <v>1609000</v>
      </c>
      <c r="F30" s="283"/>
      <c r="G30" s="282">
        <v>0</v>
      </c>
      <c r="H30" s="283"/>
      <c r="I30" s="284">
        <v>0</v>
      </c>
      <c r="J30" s="285">
        <v>0</v>
      </c>
      <c r="K30" s="285">
        <v>0</v>
      </c>
      <c r="L30" s="285">
        <v>0</v>
      </c>
      <c r="M30" s="285">
        <v>0</v>
      </c>
      <c r="N30" s="285">
        <v>0</v>
      </c>
      <c r="O30" s="285">
        <v>0</v>
      </c>
      <c r="P30" s="285">
        <v>0</v>
      </c>
      <c r="Q30" s="285">
        <v>0</v>
      </c>
      <c r="R30" s="286">
        <f>SUM(J30:Q30)</f>
        <v>0</v>
      </c>
      <c r="S30" s="287">
        <f>I30-R30</f>
        <v>0</v>
      </c>
      <c r="T30" s="288">
        <f>G30-I30</f>
        <v>0</v>
      </c>
      <c r="U30" s="289">
        <v>0</v>
      </c>
      <c r="V30" s="290" t="e">
        <f t="shared" si="0"/>
        <v>#DIV/0!</v>
      </c>
      <c r="X30" s="329"/>
      <c r="Y30" s="285"/>
      <c r="Z30" s="285"/>
      <c r="AA30" s="285"/>
      <c r="AB30" s="285"/>
      <c r="AC30" s="285"/>
      <c r="AD30" s="285"/>
      <c r="AE30" s="285"/>
    </row>
    <row r="31" spans="1:31" ht="18.95" customHeight="1">
      <c r="A31" s="312"/>
      <c r="B31" s="279"/>
      <c r="C31" s="280" t="s">
        <v>64</v>
      </c>
      <c r="D31" s="281" t="s">
        <v>43</v>
      </c>
      <c r="E31" s="282">
        <v>0</v>
      </c>
      <c r="F31" s="283"/>
      <c r="G31" s="282">
        <v>0</v>
      </c>
      <c r="H31" s="283"/>
      <c r="I31" s="284">
        <v>0</v>
      </c>
      <c r="J31" s="285">
        <v>0</v>
      </c>
      <c r="K31" s="285">
        <v>0</v>
      </c>
      <c r="L31" s="285">
        <v>0</v>
      </c>
      <c r="M31" s="285">
        <v>0</v>
      </c>
      <c r="N31" s="285">
        <v>0</v>
      </c>
      <c r="O31" s="285">
        <v>0</v>
      </c>
      <c r="P31" s="285">
        <v>0</v>
      </c>
      <c r="Q31" s="285">
        <v>0</v>
      </c>
      <c r="R31" s="286">
        <f>SUM(J31:Q31)</f>
        <v>0</v>
      </c>
      <c r="S31" s="287">
        <f>I31-R31</f>
        <v>0</v>
      </c>
      <c r="T31" s="288">
        <f>G31-I31</f>
        <v>0</v>
      </c>
      <c r="U31" s="289">
        <v>0</v>
      </c>
      <c r="V31" s="290" t="e">
        <f t="shared" si="0"/>
        <v>#DIV/0!</v>
      </c>
      <c r="X31" s="329"/>
      <c r="Y31" s="285"/>
      <c r="Z31" s="285"/>
      <c r="AA31" s="285"/>
      <c r="AB31" s="285"/>
      <c r="AC31" s="285"/>
      <c r="AD31" s="285"/>
      <c r="AE31" s="285"/>
    </row>
    <row r="32" spans="1:31" ht="18.95" customHeight="1">
      <c r="A32" s="313"/>
      <c r="B32" s="279"/>
      <c r="C32" s="280" t="s">
        <v>50</v>
      </c>
      <c r="D32" s="281" t="s">
        <v>43</v>
      </c>
      <c r="E32" s="282">
        <v>970000</v>
      </c>
      <c r="F32" s="283"/>
      <c r="G32" s="282">
        <v>900000</v>
      </c>
      <c r="H32" s="283"/>
      <c r="I32" s="284">
        <v>700000</v>
      </c>
      <c r="J32" s="285">
        <v>0</v>
      </c>
      <c r="K32" s="285">
        <v>0</v>
      </c>
      <c r="L32" s="285">
        <v>0</v>
      </c>
      <c r="M32" s="285">
        <v>0</v>
      </c>
      <c r="N32" s="285">
        <v>0</v>
      </c>
      <c r="O32" s="285">
        <v>0</v>
      </c>
      <c r="P32" s="285">
        <v>0</v>
      </c>
      <c r="Q32" s="285">
        <v>0</v>
      </c>
      <c r="R32" s="286">
        <f>SUM(J32:Q32)</f>
        <v>0</v>
      </c>
      <c r="S32" s="287">
        <f>I32-R32</f>
        <v>700000</v>
      </c>
      <c r="T32" s="288">
        <f>G32-I32</f>
        <v>200000</v>
      </c>
      <c r="U32" s="289">
        <v>0</v>
      </c>
      <c r="V32" s="290" t="e">
        <f t="shared" si="0"/>
        <v>#DIV/0!</v>
      </c>
      <c r="X32" s="329"/>
      <c r="Y32" s="285"/>
      <c r="Z32" s="285"/>
      <c r="AA32" s="285"/>
      <c r="AB32" s="285"/>
      <c r="AC32" s="285"/>
      <c r="AD32" s="285"/>
      <c r="AE32" s="285"/>
    </row>
    <row r="33" spans="1:31" ht="18.95" customHeight="1">
      <c r="A33" s="314" t="s">
        <v>65</v>
      </c>
      <c r="B33" s="291" t="s">
        <v>66</v>
      </c>
      <c r="C33" s="292" t="s">
        <v>67</v>
      </c>
      <c r="D33" s="293" t="s">
        <v>68</v>
      </c>
      <c r="E33" s="294">
        <v>10752500</v>
      </c>
      <c r="F33" s="295"/>
      <c r="G33" s="294">
        <v>10700000</v>
      </c>
      <c r="H33" s="295"/>
      <c r="I33" s="296">
        <v>10700000</v>
      </c>
      <c r="J33" s="273">
        <v>0</v>
      </c>
      <c r="K33" s="273">
        <v>0</v>
      </c>
      <c r="L33" s="273">
        <v>4333500</v>
      </c>
      <c r="M33" s="273">
        <v>1444500</v>
      </c>
      <c r="N33" s="273">
        <v>0</v>
      </c>
      <c r="O33" s="273">
        <v>0</v>
      </c>
      <c r="P33" s="273">
        <v>0</v>
      </c>
      <c r="Q33" s="273">
        <v>0</v>
      </c>
      <c r="R33" s="274">
        <f>SUM(J33:Q33)</f>
        <v>5778000</v>
      </c>
      <c r="S33" s="275">
        <f>I33-R33</f>
        <v>4922000</v>
      </c>
      <c r="T33" s="276">
        <f>G33-I33</f>
        <v>0</v>
      </c>
      <c r="U33" s="297">
        <v>106</v>
      </c>
      <c r="V33" s="278">
        <f t="shared" si="0"/>
        <v>54509.433962264149</v>
      </c>
      <c r="X33" s="328"/>
      <c r="Y33" s="273"/>
      <c r="Z33" s="273"/>
      <c r="AA33" s="273"/>
      <c r="AB33" s="273"/>
      <c r="AC33" s="273"/>
      <c r="AD33" s="273"/>
      <c r="AE33" s="273"/>
    </row>
    <row r="34" spans="1:31" ht="18.95" customHeight="1">
      <c r="A34" s="312"/>
      <c r="B34" s="279"/>
      <c r="C34" s="280" t="s">
        <v>67</v>
      </c>
      <c r="D34" s="281" t="s">
        <v>43</v>
      </c>
      <c r="E34" s="282">
        <v>0</v>
      </c>
      <c r="F34" s="283"/>
      <c r="G34" s="282">
        <v>0</v>
      </c>
      <c r="H34" s="283"/>
      <c r="I34" s="284">
        <v>0</v>
      </c>
      <c r="J34" s="285">
        <v>0</v>
      </c>
      <c r="K34" s="285">
        <v>0</v>
      </c>
      <c r="L34" s="285">
        <v>0</v>
      </c>
      <c r="M34" s="285">
        <v>0</v>
      </c>
      <c r="N34" s="285">
        <v>0</v>
      </c>
      <c r="O34" s="285">
        <v>0</v>
      </c>
      <c r="P34" s="285">
        <v>0</v>
      </c>
      <c r="Q34" s="285">
        <v>0</v>
      </c>
      <c r="R34" s="286">
        <f>SUM(J34:Q34)</f>
        <v>0</v>
      </c>
      <c r="S34" s="287">
        <f>I34-R34</f>
        <v>0</v>
      </c>
      <c r="T34" s="288">
        <f>G34-I34</f>
        <v>0</v>
      </c>
      <c r="U34" s="289">
        <v>0</v>
      </c>
      <c r="V34" s="290" t="e">
        <f t="shared" si="0"/>
        <v>#DIV/0!</v>
      </c>
      <c r="X34" s="329"/>
      <c r="Y34" s="285"/>
      <c r="Z34" s="285"/>
      <c r="AA34" s="285"/>
      <c r="AB34" s="285"/>
      <c r="AC34" s="285"/>
      <c r="AD34" s="285"/>
      <c r="AE34" s="285"/>
    </row>
    <row r="35" spans="1:31" ht="18.95" customHeight="1">
      <c r="A35" s="312"/>
      <c r="B35" s="279"/>
      <c r="C35" s="280" t="s">
        <v>69</v>
      </c>
      <c r="D35" s="281" t="s">
        <v>43</v>
      </c>
      <c r="E35" s="282">
        <v>0</v>
      </c>
      <c r="F35" s="283"/>
      <c r="G35" s="282">
        <v>0</v>
      </c>
      <c r="H35" s="283"/>
      <c r="I35" s="284">
        <v>0</v>
      </c>
      <c r="J35" s="285">
        <v>0</v>
      </c>
      <c r="K35" s="285">
        <v>0</v>
      </c>
      <c r="L35" s="285">
        <v>0</v>
      </c>
      <c r="M35" s="285">
        <v>0</v>
      </c>
      <c r="N35" s="285">
        <v>0</v>
      </c>
      <c r="O35" s="285">
        <v>0</v>
      </c>
      <c r="P35" s="285">
        <v>0</v>
      </c>
      <c r="Q35" s="285">
        <v>0</v>
      </c>
      <c r="R35" s="286">
        <f>SUM(J35:Q35)</f>
        <v>0</v>
      </c>
      <c r="S35" s="287">
        <f>I35-R35</f>
        <v>0</v>
      </c>
      <c r="T35" s="288">
        <f>G35-I35</f>
        <v>0</v>
      </c>
      <c r="U35" s="289">
        <v>0</v>
      </c>
      <c r="V35" s="290" t="e">
        <f t="shared" si="0"/>
        <v>#DIV/0!</v>
      </c>
      <c r="X35" s="329"/>
      <c r="Y35" s="285"/>
      <c r="Z35" s="285"/>
      <c r="AA35" s="285"/>
      <c r="AB35" s="285"/>
      <c r="AC35" s="285"/>
      <c r="AD35" s="285"/>
      <c r="AE35" s="285"/>
    </row>
    <row r="36" spans="1:31" ht="18.95" customHeight="1">
      <c r="A36" s="312"/>
      <c r="B36" s="279"/>
      <c r="C36" s="280" t="s">
        <v>70</v>
      </c>
      <c r="D36" s="281" t="s">
        <v>43</v>
      </c>
      <c r="E36" s="282">
        <v>126000</v>
      </c>
      <c r="F36" s="283"/>
      <c r="G36" s="282">
        <v>0</v>
      </c>
      <c r="H36" s="283"/>
      <c r="I36" s="284">
        <v>0</v>
      </c>
      <c r="J36" s="285">
        <v>0</v>
      </c>
      <c r="K36" s="285">
        <v>0</v>
      </c>
      <c r="L36" s="285">
        <v>0</v>
      </c>
      <c r="M36" s="285">
        <v>0</v>
      </c>
      <c r="N36" s="285">
        <v>0</v>
      </c>
      <c r="O36" s="285">
        <v>0</v>
      </c>
      <c r="P36" s="285">
        <v>0</v>
      </c>
      <c r="Q36" s="285">
        <v>0</v>
      </c>
      <c r="R36" s="286">
        <f>SUM(J36:Q36)</f>
        <v>0</v>
      </c>
      <c r="S36" s="287">
        <f>I36-R36</f>
        <v>0</v>
      </c>
      <c r="T36" s="288">
        <f>G36-I36</f>
        <v>0</v>
      </c>
      <c r="U36" s="289">
        <v>0</v>
      </c>
      <c r="V36" s="290" t="e">
        <f t="shared" si="0"/>
        <v>#DIV/0!</v>
      </c>
      <c r="X36" s="329"/>
      <c r="Y36" s="285"/>
      <c r="Z36" s="285"/>
      <c r="AA36" s="285"/>
      <c r="AB36" s="285"/>
      <c r="AC36" s="285"/>
      <c r="AD36" s="285"/>
      <c r="AE36" s="285"/>
    </row>
    <row r="37" spans="1:31" ht="18.95" customHeight="1">
      <c r="A37" s="312"/>
      <c r="B37" s="279"/>
      <c r="C37" s="280" t="s">
        <v>71</v>
      </c>
      <c r="D37" s="281" t="s">
        <v>43</v>
      </c>
      <c r="E37" s="282">
        <v>0</v>
      </c>
      <c r="F37" s="283"/>
      <c r="G37" s="282">
        <v>0</v>
      </c>
      <c r="H37" s="283"/>
      <c r="I37" s="284">
        <v>0</v>
      </c>
      <c r="J37" s="285">
        <v>0</v>
      </c>
      <c r="K37" s="285">
        <v>0</v>
      </c>
      <c r="L37" s="285">
        <v>0</v>
      </c>
      <c r="M37" s="285">
        <v>0</v>
      </c>
      <c r="N37" s="285">
        <v>0</v>
      </c>
      <c r="O37" s="285">
        <v>0</v>
      </c>
      <c r="P37" s="285">
        <v>0</v>
      </c>
      <c r="Q37" s="285">
        <v>0</v>
      </c>
      <c r="R37" s="286">
        <f>SUM(J37:Q37)</f>
        <v>0</v>
      </c>
      <c r="S37" s="287">
        <f>I37-R37</f>
        <v>0</v>
      </c>
      <c r="T37" s="288">
        <f>G37-I37</f>
        <v>0</v>
      </c>
      <c r="U37" s="289">
        <v>0</v>
      </c>
      <c r="V37" s="290" t="e">
        <f t="shared" si="0"/>
        <v>#DIV/0!</v>
      </c>
      <c r="X37" s="329"/>
      <c r="Y37" s="285"/>
      <c r="Z37" s="285"/>
      <c r="AA37" s="285"/>
      <c r="AB37" s="285"/>
      <c r="AC37" s="285"/>
      <c r="AD37" s="285"/>
      <c r="AE37" s="285"/>
    </row>
    <row r="38" spans="1:31" ht="18.95" customHeight="1">
      <c r="A38" s="312"/>
      <c r="B38" s="279"/>
      <c r="C38" s="280" t="s">
        <v>72</v>
      </c>
      <c r="D38" s="281" t="s">
        <v>43</v>
      </c>
      <c r="E38" s="282">
        <v>3750000</v>
      </c>
      <c r="F38" s="283"/>
      <c r="G38" s="282">
        <v>625000</v>
      </c>
      <c r="H38" s="283"/>
      <c r="I38" s="284">
        <v>375000</v>
      </c>
      <c r="J38" s="285">
        <v>0</v>
      </c>
      <c r="K38" s="285">
        <v>0</v>
      </c>
      <c r="L38" s="285">
        <v>0</v>
      </c>
      <c r="M38" s="285">
        <v>0</v>
      </c>
      <c r="N38" s="285">
        <v>0</v>
      </c>
      <c r="O38" s="285">
        <v>0</v>
      </c>
      <c r="P38" s="285">
        <v>0</v>
      </c>
      <c r="Q38" s="285">
        <v>0</v>
      </c>
      <c r="R38" s="286">
        <f>SUM(J38:Q38)</f>
        <v>0</v>
      </c>
      <c r="S38" s="287">
        <f>I38-R38</f>
        <v>375000</v>
      </c>
      <c r="T38" s="288">
        <f>G38-I38</f>
        <v>250000</v>
      </c>
      <c r="U38" s="289">
        <v>0</v>
      </c>
      <c r="V38" s="290" t="e">
        <f t="shared" si="0"/>
        <v>#DIV/0!</v>
      </c>
      <c r="X38" s="329"/>
      <c r="Y38" s="285"/>
      <c r="Z38" s="285"/>
      <c r="AA38" s="285"/>
      <c r="AB38" s="285"/>
      <c r="AC38" s="285"/>
      <c r="AD38" s="285"/>
      <c r="AE38" s="285"/>
    </row>
    <row r="39" spans="1:31" ht="18.95" customHeight="1">
      <c r="A39" s="313"/>
      <c r="B39" s="279"/>
      <c r="C39" s="280" t="s">
        <v>73</v>
      </c>
      <c r="D39" s="281" t="s">
        <v>43</v>
      </c>
      <c r="E39" s="282">
        <v>0</v>
      </c>
      <c r="F39" s="283"/>
      <c r="G39" s="282">
        <v>0</v>
      </c>
      <c r="H39" s="283"/>
      <c r="I39" s="284">
        <v>0</v>
      </c>
      <c r="J39" s="285">
        <v>0</v>
      </c>
      <c r="K39" s="285">
        <v>0</v>
      </c>
      <c r="L39" s="285">
        <v>0</v>
      </c>
      <c r="M39" s="285">
        <v>0</v>
      </c>
      <c r="N39" s="285">
        <v>0</v>
      </c>
      <c r="O39" s="285">
        <v>0</v>
      </c>
      <c r="P39" s="285">
        <v>0</v>
      </c>
      <c r="Q39" s="285">
        <v>0</v>
      </c>
      <c r="R39" s="286">
        <f>SUM(J39:Q39)</f>
        <v>0</v>
      </c>
      <c r="S39" s="287">
        <f>I39-R39</f>
        <v>0</v>
      </c>
      <c r="T39" s="288">
        <f>G39-I39</f>
        <v>0</v>
      </c>
      <c r="U39" s="289">
        <v>0</v>
      </c>
      <c r="V39" s="290" t="e">
        <f t="shared" si="0"/>
        <v>#DIV/0!</v>
      </c>
      <c r="X39" s="329"/>
      <c r="Y39" s="285"/>
      <c r="Z39" s="285"/>
      <c r="AA39" s="285"/>
      <c r="AB39" s="285"/>
      <c r="AC39" s="285"/>
      <c r="AD39" s="285"/>
      <c r="AE39" s="285"/>
    </row>
    <row r="40" spans="1:31" ht="18.95" customHeight="1">
      <c r="A40" s="314" t="s">
        <v>74</v>
      </c>
      <c r="B40" s="291" t="s">
        <v>38</v>
      </c>
      <c r="C40" s="292" t="s">
        <v>75</v>
      </c>
      <c r="D40" s="293" t="s">
        <v>40</v>
      </c>
      <c r="E40" s="294">
        <v>8049475</v>
      </c>
      <c r="F40" s="295"/>
      <c r="G40" s="294">
        <v>8583000</v>
      </c>
      <c r="H40" s="295"/>
      <c r="I40" s="296">
        <v>8583000</v>
      </c>
      <c r="J40" s="273">
        <v>0</v>
      </c>
      <c r="K40" s="273">
        <v>0</v>
      </c>
      <c r="L40" s="273">
        <v>1900000</v>
      </c>
      <c r="M40" s="273">
        <v>4270000</v>
      </c>
      <c r="N40" s="273">
        <v>1470000</v>
      </c>
      <c r="O40" s="273">
        <v>0</v>
      </c>
      <c r="P40" s="273">
        <v>0</v>
      </c>
      <c r="Q40" s="273">
        <v>0</v>
      </c>
      <c r="R40" s="274">
        <f>SUM(J40:Q40)</f>
        <v>7640000</v>
      </c>
      <c r="S40" s="275">
        <f>I40-R40</f>
        <v>943000</v>
      </c>
      <c r="T40" s="276">
        <f>G40-I40</f>
        <v>0</v>
      </c>
      <c r="U40" s="297">
        <v>128</v>
      </c>
      <c r="V40" s="278">
        <f t="shared" si="0"/>
        <v>59687.5</v>
      </c>
      <c r="X40" s="328"/>
      <c r="Y40" s="273"/>
      <c r="Z40" s="273"/>
      <c r="AA40" s="273"/>
      <c r="AB40" s="273"/>
      <c r="AC40" s="273"/>
      <c r="AD40" s="273"/>
      <c r="AE40" s="273"/>
    </row>
    <row r="41" spans="1:31" ht="18.95" customHeight="1">
      <c r="A41" s="312"/>
      <c r="B41" s="279" t="s">
        <v>38</v>
      </c>
      <c r="C41" s="280" t="s">
        <v>75</v>
      </c>
      <c r="D41" s="281" t="s">
        <v>43</v>
      </c>
      <c r="E41" s="282">
        <v>0</v>
      </c>
      <c r="F41" s="283"/>
      <c r="G41" s="282">
        <v>0</v>
      </c>
      <c r="H41" s="283"/>
      <c r="I41" s="284">
        <v>0</v>
      </c>
      <c r="J41" s="285">
        <v>0</v>
      </c>
      <c r="K41" s="285">
        <v>0</v>
      </c>
      <c r="L41" s="285">
        <v>0</v>
      </c>
      <c r="M41" s="285">
        <v>-235800</v>
      </c>
      <c r="N41" s="285">
        <v>-527600</v>
      </c>
      <c r="O41" s="285">
        <v>-399200</v>
      </c>
      <c r="P41" s="285">
        <v>0</v>
      </c>
      <c r="Q41" s="285">
        <v>0</v>
      </c>
      <c r="R41" s="286">
        <f>SUM(J41:Q41)</f>
        <v>-1162600</v>
      </c>
      <c r="S41" s="287">
        <f>I41-R41</f>
        <v>1162600</v>
      </c>
      <c r="T41" s="288">
        <f>G41-I41</f>
        <v>0</v>
      </c>
      <c r="U41" s="289">
        <v>0</v>
      </c>
      <c r="V41" s="290" t="e">
        <f t="shared" si="0"/>
        <v>#DIV/0!</v>
      </c>
      <c r="X41" s="329"/>
      <c r="Y41" s="285"/>
      <c r="Z41" s="285"/>
      <c r="AA41" s="285"/>
      <c r="AB41" s="285"/>
      <c r="AC41" s="285"/>
      <c r="AD41" s="285"/>
      <c r="AE41" s="285"/>
    </row>
    <row r="42" spans="1:31" ht="18.95" customHeight="1">
      <c r="A42" s="312"/>
      <c r="B42" s="279" t="s">
        <v>53</v>
      </c>
      <c r="C42" s="280" t="s">
        <v>76</v>
      </c>
      <c r="D42" s="281" t="s">
        <v>43</v>
      </c>
      <c r="E42" s="282">
        <v>0</v>
      </c>
      <c r="F42" s="283"/>
      <c r="G42" s="282">
        <v>0</v>
      </c>
      <c r="H42" s="283"/>
      <c r="I42" s="284">
        <v>0</v>
      </c>
      <c r="J42" s="285">
        <v>0</v>
      </c>
      <c r="K42" s="285">
        <v>0</v>
      </c>
      <c r="L42" s="285">
        <v>221600</v>
      </c>
      <c r="M42" s="285">
        <v>495200</v>
      </c>
      <c r="N42" s="285">
        <v>376200</v>
      </c>
      <c r="O42" s="285">
        <v>0</v>
      </c>
      <c r="P42" s="285">
        <v>0</v>
      </c>
      <c r="Q42" s="285">
        <v>0</v>
      </c>
      <c r="R42" s="286">
        <f>SUM(J42:Q42)</f>
        <v>1093000</v>
      </c>
      <c r="S42" s="287">
        <f>I42-R42</f>
        <v>-1093000</v>
      </c>
      <c r="T42" s="288">
        <f>G42-I42</f>
        <v>0</v>
      </c>
      <c r="U42" s="289">
        <v>0</v>
      </c>
      <c r="V42" s="290" t="e">
        <f t="shared" si="0"/>
        <v>#DIV/0!</v>
      </c>
      <c r="X42" s="329"/>
      <c r="Y42" s="285"/>
      <c r="Z42" s="285"/>
      <c r="AA42" s="285"/>
      <c r="AB42" s="285"/>
      <c r="AC42" s="285"/>
      <c r="AD42" s="285"/>
      <c r="AE42" s="285"/>
    </row>
    <row r="43" spans="1:31" ht="18.95" customHeight="1">
      <c r="A43" s="312"/>
      <c r="B43" s="279"/>
      <c r="C43" s="280" t="s">
        <v>75</v>
      </c>
      <c r="D43" s="281" t="s">
        <v>43</v>
      </c>
      <c r="E43" s="282">
        <v>0</v>
      </c>
      <c r="F43" s="283"/>
      <c r="G43" s="282">
        <v>0</v>
      </c>
      <c r="H43" s="283"/>
      <c r="I43" s="284">
        <v>0</v>
      </c>
      <c r="J43" s="285">
        <v>0</v>
      </c>
      <c r="K43" s="285">
        <v>0</v>
      </c>
      <c r="L43" s="285">
        <v>0</v>
      </c>
      <c r="M43" s="285">
        <v>0</v>
      </c>
      <c r="N43" s="285">
        <v>0</v>
      </c>
      <c r="O43" s="285">
        <v>0</v>
      </c>
      <c r="P43" s="285">
        <v>0</v>
      </c>
      <c r="Q43" s="285">
        <v>0</v>
      </c>
      <c r="R43" s="286">
        <f>SUM(J43:Q43)</f>
        <v>0</v>
      </c>
      <c r="S43" s="287">
        <f>I43-R43</f>
        <v>0</v>
      </c>
      <c r="T43" s="288">
        <f>G43-I43</f>
        <v>0</v>
      </c>
      <c r="U43" s="289">
        <v>0</v>
      </c>
      <c r="V43" s="290" t="e">
        <f t="shared" si="0"/>
        <v>#DIV/0!</v>
      </c>
      <c r="X43" s="329"/>
      <c r="Y43" s="285"/>
      <c r="Z43" s="285"/>
      <c r="AA43" s="285"/>
      <c r="AB43" s="285"/>
      <c r="AC43" s="285"/>
      <c r="AD43" s="285"/>
      <c r="AE43" s="285"/>
    </row>
    <row r="44" spans="1:31" ht="18.95" customHeight="1">
      <c r="A44" s="313"/>
      <c r="B44" s="279"/>
      <c r="C44" s="280" t="s">
        <v>76</v>
      </c>
      <c r="D44" s="281" t="s">
        <v>43</v>
      </c>
      <c r="E44" s="282">
        <v>0</v>
      </c>
      <c r="F44" s="283"/>
      <c r="G44" s="282">
        <v>0</v>
      </c>
      <c r="H44" s="283"/>
      <c r="I44" s="284">
        <v>0</v>
      </c>
      <c r="J44" s="285">
        <v>0</v>
      </c>
      <c r="K44" s="285">
        <v>0</v>
      </c>
      <c r="L44" s="285">
        <v>0</v>
      </c>
      <c r="M44" s="285">
        <v>0</v>
      </c>
      <c r="N44" s="285">
        <v>0</v>
      </c>
      <c r="O44" s="285">
        <v>0</v>
      </c>
      <c r="P44" s="285">
        <v>0</v>
      </c>
      <c r="Q44" s="285">
        <v>0</v>
      </c>
      <c r="R44" s="286">
        <f>SUM(J44:Q44)</f>
        <v>0</v>
      </c>
      <c r="S44" s="287">
        <f>I44-R44</f>
        <v>0</v>
      </c>
      <c r="T44" s="288">
        <f>G44-I44</f>
        <v>0</v>
      </c>
      <c r="U44" s="289">
        <v>0</v>
      </c>
      <c r="V44" s="290" t="e">
        <f t="shared" si="0"/>
        <v>#DIV/0!</v>
      </c>
      <c r="X44" s="329"/>
      <c r="Y44" s="285"/>
      <c r="Z44" s="285"/>
      <c r="AA44" s="285"/>
      <c r="AB44" s="285"/>
      <c r="AC44" s="285"/>
      <c r="AD44" s="285"/>
      <c r="AE44" s="285"/>
    </row>
    <row r="45" spans="1:31" ht="18.95" customHeight="1">
      <c r="A45" s="314" t="s">
        <v>77</v>
      </c>
      <c r="B45" s="291" t="s">
        <v>38</v>
      </c>
      <c r="C45" s="292" t="s">
        <v>78</v>
      </c>
      <c r="D45" s="293" t="s">
        <v>40</v>
      </c>
      <c r="E45" s="294">
        <v>822100</v>
      </c>
      <c r="F45" s="295"/>
      <c r="G45" s="294">
        <v>679200</v>
      </c>
      <c r="H45" s="295"/>
      <c r="I45" s="296">
        <v>679200</v>
      </c>
      <c r="J45" s="273">
        <v>0</v>
      </c>
      <c r="K45" s="273">
        <v>0</v>
      </c>
      <c r="L45" s="273">
        <v>0</v>
      </c>
      <c r="M45" s="273">
        <v>679200</v>
      </c>
      <c r="N45" s="273">
        <v>0</v>
      </c>
      <c r="O45" s="273">
        <v>0</v>
      </c>
      <c r="P45" s="273">
        <v>0</v>
      </c>
      <c r="Q45" s="273">
        <v>0</v>
      </c>
      <c r="R45" s="274">
        <f>SUM(J45:Q45)</f>
        <v>679200</v>
      </c>
      <c r="S45" s="275">
        <f>I45-R45</f>
        <v>0</v>
      </c>
      <c r="T45" s="276">
        <f>G45-I45</f>
        <v>0</v>
      </c>
      <c r="U45" s="297">
        <v>35</v>
      </c>
      <c r="V45" s="278">
        <f t="shared" si="0"/>
        <v>19405.714285714286</v>
      </c>
      <c r="X45" s="328"/>
      <c r="Y45" s="273"/>
      <c r="Z45" s="273"/>
      <c r="AA45" s="273"/>
      <c r="AB45" s="273"/>
      <c r="AC45" s="273"/>
      <c r="AD45" s="273"/>
      <c r="AE45" s="273"/>
    </row>
    <row r="46" spans="1:31" ht="18.95" customHeight="1">
      <c r="A46" s="312"/>
      <c r="B46" s="279" t="s">
        <v>38</v>
      </c>
      <c r="C46" s="280" t="s">
        <v>78</v>
      </c>
      <c r="D46" s="281" t="s">
        <v>43</v>
      </c>
      <c r="E46" s="282">
        <v>0</v>
      </c>
      <c r="F46" s="283"/>
      <c r="G46" s="282">
        <v>0</v>
      </c>
      <c r="H46" s="283"/>
      <c r="I46" s="284">
        <v>0</v>
      </c>
      <c r="J46" s="285">
        <v>0</v>
      </c>
      <c r="K46" s="285">
        <v>0</v>
      </c>
      <c r="L46" s="285">
        <v>325000</v>
      </c>
      <c r="M46" s="285">
        <v>0</v>
      </c>
      <c r="N46" s="285">
        <v>-54300</v>
      </c>
      <c r="O46" s="285">
        <v>0</v>
      </c>
      <c r="P46" s="285">
        <v>0</v>
      </c>
      <c r="Q46" s="285">
        <v>0</v>
      </c>
      <c r="R46" s="286">
        <f>SUM(J46:Q46)</f>
        <v>270700</v>
      </c>
      <c r="S46" s="287">
        <f>I46-R46</f>
        <v>-270700</v>
      </c>
      <c r="T46" s="288">
        <f>G46-I46</f>
        <v>0</v>
      </c>
      <c r="U46" s="289">
        <v>0</v>
      </c>
      <c r="V46" s="290" t="e">
        <f t="shared" si="0"/>
        <v>#DIV/0!</v>
      </c>
      <c r="X46" s="329"/>
      <c r="Y46" s="285"/>
      <c r="Z46" s="285"/>
      <c r="AA46" s="285"/>
      <c r="AB46" s="285"/>
      <c r="AC46" s="285"/>
      <c r="AD46" s="285"/>
      <c r="AE46" s="285"/>
    </row>
    <row r="47" spans="1:31" ht="18.95" customHeight="1">
      <c r="A47" s="312"/>
      <c r="B47" s="279" t="s">
        <v>38</v>
      </c>
      <c r="C47" s="280" t="s">
        <v>79</v>
      </c>
      <c r="D47" s="281" t="s">
        <v>40</v>
      </c>
      <c r="E47" s="282">
        <v>3684600</v>
      </c>
      <c r="F47" s="283"/>
      <c r="G47" s="282">
        <v>3756250</v>
      </c>
      <c r="H47" s="283"/>
      <c r="I47" s="284">
        <v>3756250</v>
      </c>
      <c r="J47" s="285">
        <v>0</v>
      </c>
      <c r="K47" s="285">
        <v>0</v>
      </c>
      <c r="L47" s="285">
        <v>0</v>
      </c>
      <c r="M47" s="285">
        <v>1280800</v>
      </c>
      <c r="N47" s="285">
        <v>1680000</v>
      </c>
      <c r="O47" s="285">
        <v>0</v>
      </c>
      <c r="P47" s="285">
        <v>0</v>
      </c>
      <c r="Q47" s="285">
        <v>0</v>
      </c>
      <c r="R47" s="286">
        <f>SUM(J47:Q47)</f>
        <v>2960800</v>
      </c>
      <c r="S47" s="287">
        <f>I47-R47</f>
        <v>795450</v>
      </c>
      <c r="T47" s="288">
        <f>G47-I47</f>
        <v>0</v>
      </c>
      <c r="U47" s="289">
        <v>30</v>
      </c>
      <c r="V47" s="290">
        <f t="shared" si="0"/>
        <v>98693.333333333328</v>
      </c>
      <c r="X47" s="329"/>
      <c r="Y47" s="285"/>
      <c r="Z47" s="285"/>
      <c r="AA47" s="285"/>
      <c r="AB47" s="285"/>
      <c r="AC47" s="285"/>
      <c r="AD47" s="285"/>
      <c r="AE47" s="285"/>
    </row>
    <row r="48" spans="1:31" ht="18.95" customHeight="1">
      <c r="A48" s="312"/>
      <c r="B48" s="279" t="s">
        <v>38</v>
      </c>
      <c r="C48" s="280" t="s">
        <v>79</v>
      </c>
      <c r="D48" s="281" t="s">
        <v>43</v>
      </c>
      <c r="E48" s="282">
        <v>0</v>
      </c>
      <c r="F48" s="283"/>
      <c r="G48" s="282">
        <v>0</v>
      </c>
      <c r="H48" s="283"/>
      <c r="I48" s="284">
        <v>0</v>
      </c>
      <c r="J48" s="285">
        <v>0</v>
      </c>
      <c r="K48" s="285">
        <v>0</v>
      </c>
      <c r="L48" s="285">
        <v>0</v>
      </c>
      <c r="M48" s="285">
        <v>259400</v>
      </c>
      <c r="N48" s="285">
        <v>0</v>
      </c>
      <c r="O48" s="285">
        <v>0</v>
      </c>
      <c r="P48" s="285">
        <v>0</v>
      </c>
      <c r="Q48" s="285">
        <v>0</v>
      </c>
      <c r="R48" s="286">
        <f>SUM(J48:Q48)</f>
        <v>259400</v>
      </c>
      <c r="S48" s="287">
        <f>I48-R48</f>
        <v>-259400</v>
      </c>
      <c r="T48" s="288">
        <f>G48-I48</f>
        <v>0</v>
      </c>
      <c r="U48" s="289">
        <v>0</v>
      </c>
      <c r="V48" s="290" t="e">
        <f t="shared" si="0"/>
        <v>#DIV/0!</v>
      </c>
      <c r="X48" s="329"/>
      <c r="Y48" s="285"/>
      <c r="Z48" s="285"/>
      <c r="AA48" s="285"/>
      <c r="AB48" s="285"/>
      <c r="AC48" s="285"/>
      <c r="AD48" s="285"/>
      <c r="AE48" s="285"/>
    </row>
    <row r="49" spans="1:31" ht="18.95" customHeight="1">
      <c r="A49" s="312"/>
      <c r="B49" s="279" t="s">
        <v>38</v>
      </c>
      <c r="C49" s="280" t="s">
        <v>80</v>
      </c>
      <c r="D49" s="281" t="s">
        <v>40</v>
      </c>
      <c r="E49" s="282">
        <v>1771450</v>
      </c>
      <c r="F49" s="283"/>
      <c r="G49" s="282">
        <v>1879290</v>
      </c>
      <c r="H49" s="283"/>
      <c r="I49" s="284">
        <v>1879290</v>
      </c>
      <c r="J49" s="285">
        <v>0</v>
      </c>
      <c r="K49" s="285">
        <v>0</v>
      </c>
      <c r="L49" s="285">
        <v>0</v>
      </c>
      <c r="M49" s="285">
        <v>0</v>
      </c>
      <c r="N49" s="285">
        <v>0</v>
      </c>
      <c r="O49" s="285">
        <v>0</v>
      </c>
      <c r="P49" s="285">
        <v>0</v>
      </c>
      <c r="Q49" s="285">
        <v>0</v>
      </c>
      <c r="R49" s="286">
        <f>SUM(J49:Q49)</f>
        <v>0</v>
      </c>
      <c r="S49" s="287">
        <f>I49-R49</f>
        <v>1879290</v>
      </c>
      <c r="T49" s="288">
        <f>G49-I49</f>
        <v>0</v>
      </c>
      <c r="U49" s="289">
        <v>10</v>
      </c>
      <c r="V49" s="290">
        <f t="shared" si="0"/>
        <v>0</v>
      </c>
      <c r="X49" s="329"/>
      <c r="Y49" s="285"/>
      <c r="Z49" s="285"/>
      <c r="AA49" s="285"/>
      <c r="AB49" s="285"/>
      <c r="AC49" s="285"/>
      <c r="AD49" s="285"/>
      <c r="AE49" s="285"/>
    </row>
    <row r="50" spans="1:31" ht="18.95" customHeight="1">
      <c r="A50" s="312"/>
      <c r="B50" s="279" t="s">
        <v>53</v>
      </c>
      <c r="C50" s="280" t="s">
        <v>81</v>
      </c>
      <c r="D50" s="281" t="s">
        <v>43</v>
      </c>
      <c r="E50" s="282">
        <v>0</v>
      </c>
      <c r="F50" s="283"/>
      <c r="G50" s="282">
        <v>0</v>
      </c>
      <c r="H50" s="283"/>
      <c r="I50" s="284">
        <v>0</v>
      </c>
      <c r="J50" s="285">
        <v>0</v>
      </c>
      <c r="K50" s="285">
        <v>0</v>
      </c>
      <c r="L50" s="285">
        <v>0</v>
      </c>
      <c r="M50" s="285">
        <v>48280</v>
      </c>
      <c r="N50" s="285">
        <v>0</v>
      </c>
      <c r="O50" s="285">
        <v>0</v>
      </c>
      <c r="P50" s="285">
        <v>0</v>
      </c>
      <c r="Q50" s="285">
        <v>0</v>
      </c>
      <c r="R50" s="286">
        <f>SUM(J50:Q50)</f>
        <v>48280</v>
      </c>
      <c r="S50" s="287">
        <f>I50-R50</f>
        <v>-48280</v>
      </c>
      <c r="T50" s="288">
        <f>G50-I50</f>
        <v>0</v>
      </c>
      <c r="U50" s="289">
        <v>0</v>
      </c>
      <c r="V50" s="290" t="e">
        <f t="shared" si="0"/>
        <v>#DIV/0!</v>
      </c>
      <c r="X50" s="329"/>
      <c r="Y50" s="285"/>
      <c r="Z50" s="285"/>
      <c r="AA50" s="285"/>
      <c r="AB50" s="285"/>
      <c r="AC50" s="285"/>
      <c r="AD50" s="285"/>
      <c r="AE50" s="285"/>
    </row>
    <row r="51" spans="1:31" ht="18.95" customHeight="1">
      <c r="A51" s="312"/>
      <c r="B51" s="279" t="s">
        <v>53</v>
      </c>
      <c r="C51" s="280" t="s">
        <v>82</v>
      </c>
      <c r="D51" s="281" t="s">
        <v>43</v>
      </c>
      <c r="E51" s="282">
        <v>0</v>
      </c>
      <c r="F51" s="283"/>
      <c r="G51" s="282">
        <v>0</v>
      </c>
      <c r="H51" s="283"/>
      <c r="I51" s="284">
        <v>0</v>
      </c>
      <c r="J51" s="285">
        <v>0</v>
      </c>
      <c r="K51" s="285">
        <v>0</v>
      </c>
      <c r="L51" s="285">
        <v>14700</v>
      </c>
      <c r="M51" s="285">
        <v>33880</v>
      </c>
      <c r="N51" s="285">
        <v>0</v>
      </c>
      <c r="O51" s="285">
        <v>0</v>
      </c>
      <c r="P51" s="285">
        <v>0</v>
      </c>
      <c r="Q51" s="285">
        <v>0</v>
      </c>
      <c r="R51" s="286">
        <f>SUM(J51:Q51)</f>
        <v>48580</v>
      </c>
      <c r="S51" s="287">
        <f>I51-R51</f>
        <v>-48580</v>
      </c>
      <c r="T51" s="288">
        <f>G51-I51</f>
        <v>0</v>
      </c>
      <c r="U51" s="289">
        <v>0</v>
      </c>
      <c r="V51" s="290" t="e">
        <f t="shared" si="0"/>
        <v>#DIV/0!</v>
      </c>
      <c r="X51" s="329"/>
      <c r="Y51" s="285"/>
      <c r="Z51" s="285"/>
      <c r="AA51" s="285"/>
      <c r="AB51" s="285"/>
      <c r="AC51" s="285"/>
      <c r="AD51" s="285"/>
      <c r="AE51" s="285"/>
    </row>
    <row r="52" spans="1:31" ht="18.95" customHeight="1">
      <c r="A52" s="312"/>
      <c r="B52" s="279" t="s">
        <v>83</v>
      </c>
      <c r="C52" s="280" t="s">
        <v>82</v>
      </c>
      <c r="D52" s="281" t="s">
        <v>43</v>
      </c>
      <c r="E52" s="282">
        <v>0</v>
      </c>
      <c r="F52" s="283"/>
      <c r="G52" s="282">
        <v>0</v>
      </c>
      <c r="H52" s="283"/>
      <c r="I52" s="284">
        <v>0</v>
      </c>
      <c r="J52" s="285">
        <v>0</v>
      </c>
      <c r="K52" s="285">
        <v>0</v>
      </c>
      <c r="L52" s="285">
        <v>0</v>
      </c>
      <c r="M52" s="285">
        <v>510900</v>
      </c>
      <c r="N52" s="285">
        <v>0</v>
      </c>
      <c r="O52" s="285">
        <v>0</v>
      </c>
      <c r="P52" s="285">
        <v>0</v>
      </c>
      <c r="Q52" s="285">
        <v>0</v>
      </c>
      <c r="R52" s="286">
        <f>SUM(J52:Q52)</f>
        <v>510900</v>
      </c>
      <c r="S52" s="287">
        <f>I52-R52</f>
        <v>-510900</v>
      </c>
      <c r="T52" s="288">
        <f>G52-I52</f>
        <v>0</v>
      </c>
      <c r="U52" s="289">
        <v>0</v>
      </c>
      <c r="V52" s="290" t="e">
        <f t="shared" si="0"/>
        <v>#DIV/0!</v>
      </c>
      <c r="X52" s="329"/>
      <c r="Y52" s="285"/>
      <c r="Z52" s="285"/>
      <c r="AA52" s="285"/>
      <c r="AB52" s="285"/>
      <c r="AC52" s="285"/>
      <c r="AD52" s="285"/>
      <c r="AE52" s="285"/>
    </row>
    <row r="53" spans="1:31" ht="18.95" customHeight="1">
      <c r="A53" s="312"/>
      <c r="B53" s="279" t="s">
        <v>55</v>
      </c>
      <c r="C53" s="280" t="s">
        <v>82</v>
      </c>
      <c r="D53" s="281" t="s">
        <v>43</v>
      </c>
      <c r="E53" s="282">
        <v>0</v>
      </c>
      <c r="F53" s="283"/>
      <c r="G53" s="282">
        <v>0</v>
      </c>
      <c r="H53" s="283"/>
      <c r="I53" s="284">
        <v>0</v>
      </c>
      <c r="J53" s="285">
        <v>0</v>
      </c>
      <c r="K53" s="285">
        <v>0</v>
      </c>
      <c r="L53" s="285">
        <v>0</v>
      </c>
      <c r="M53" s="285">
        <v>0</v>
      </c>
      <c r="N53" s="285">
        <v>17420</v>
      </c>
      <c r="O53" s="285">
        <v>0</v>
      </c>
      <c r="P53" s="285">
        <v>0</v>
      </c>
      <c r="Q53" s="285">
        <v>0</v>
      </c>
      <c r="R53" s="286">
        <f>SUM(J53:Q53)</f>
        <v>17420</v>
      </c>
      <c r="S53" s="287">
        <f>I53-R53</f>
        <v>-17420</v>
      </c>
      <c r="T53" s="288">
        <f>G53-I53</f>
        <v>0</v>
      </c>
      <c r="U53" s="289">
        <v>0</v>
      </c>
      <c r="V53" s="290" t="e">
        <f t="shared" si="0"/>
        <v>#DIV/0!</v>
      </c>
      <c r="X53" s="329"/>
      <c r="Y53" s="285"/>
      <c r="Z53" s="285"/>
      <c r="AA53" s="285"/>
      <c r="AB53" s="285"/>
      <c r="AC53" s="285"/>
      <c r="AD53" s="285"/>
      <c r="AE53" s="285"/>
    </row>
    <row r="54" spans="1:31" ht="18.95" customHeight="1">
      <c r="A54" s="312"/>
      <c r="B54" s="279" t="s">
        <v>84</v>
      </c>
      <c r="C54" s="280" t="s">
        <v>79</v>
      </c>
      <c r="D54" s="281" t="s">
        <v>43</v>
      </c>
      <c r="E54" s="282">
        <v>0</v>
      </c>
      <c r="F54" s="283"/>
      <c r="G54" s="282">
        <v>0</v>
      </c>
      <c r="H54" s="283"/>
      <c r="I54" s="284">
        <v>220000</v>
      </c>
      <c r="J54" s="285">
        <v>0</v>
      </c>
      <c r="K54" s="285">
        <v>0</v>
      </c>
      <c r="L54" s="285">
        <v>0</v>
      </c>
      <c r="M54" s="285">
        <v>0</v>
      </c>
      <c r="N54" s="285">
        <v>0</v>
      </c>
      <c r="O54" s="285">
        <v>220000</v>
      </c>
      <c r="P54" s="285">
        <v>0</v>
      </c>
      <c r="Q54" s="285">
        <v>0</v>
      </c>
      <c r="R54" s="286">
        <f>SUM(J54:Q54)</f>
        <v>220000</v>
      </c>
      <c r="S54" s="287">
        <f>I54-R54</f>
        <v>0</v>
      </c>
      <c r="T54" s="288">
        <f>G54-I54</f>
        <v>-220000</v>
      </c>
      <c r="U54" s="289">
        <v>0</v>
      </c>
      <c r="V54" s="290" t="e">
        <f t="shared" si="0"/>
        <v>#DIV/0!</v>
      </c>
      <c r="X54" s="329"/>
      <c r="Y54" s="285"/>
      <c r="Z54" s="285"/>
      <c r="AA54" s="285"/>
      <c r="AB54" s="285"/>
      <c r="AC54" s="285"/>
      <c r="AD54" s="285"/>
      <c r="AE54" s="285"/>
    </row>
    <row r="55" spans="1:31" ht="18.95" customHeight="1">
      <c r="A55" s="312"/>
      <c r="B55" s="279"/>
      <c r="C55" s="280" t="s">
        <v>78</v>
      </c>
      <c r="D55" s="281" t="s">
        <v>43</v>
      </c>
      <c r="E55" s="282">
        <v>0</v>
      </c>
      <c r="F55" s="283"/>
      <c r="G55" s="282">
        <v>250000</v>
      </c>
      <c r="H55" s="283"/>
      <c r="I55" s="284">
        <v>325000</v>
      </c>
      <c r="J55" s="285">
        <v>0</v>
      </c>
      <c r="K55" s="285">
        <v>0</v>
      </c>
      <c r="L55" s="285">
        <v>0</v>
      </c>
      <c r="M55" s="285">
        <v>0</v>
      </c>
      <c r="N55" s="285">
        <v>0</v>
      </c>
      <c r="O55" s="285">
        <v>0</v>
      </c>
      <c r="P55" s="285">
        <v>0</v>
      </c>
      <c r="Q55" s="285">
        <v>0</v>
      </c>
      <c r="R55" s="286">
        <f>SUM(J55:Q55)</f>
        <v>0</v>
      </c>
      <c r="S55" s="287">
        <f>I55-R55</f>
        <v>325000</v>
      </c>
      <c r="T55" s="288">
        <f>G55-I55</f>
        <v>-75000</v>
      </c>
      <c r="U55" s="289">
        <v>0</v>
      </c>
      <c r="V55" s="290" t="e">
        <f t="shared" si="0"/>
        <v>#DIV/0!</v>
      </c>
      <c r="X55" s="329"/>
      <c r="Y55" s="285"/>
      <c r="Z55" s="285"/>
      <c r="AA55" s="285"/>
      <c r="AB55" s="285"/>
      <c r="AC55" s="285"/>
      <c r="AD55" s="285"/>
      <c r="AE55" s="285"/>
    </row>
    <row r="56" spans="1:31" ht="18.95" customHeight="1">
      <c r="A56" s="312"/>
      <c r="B56" s="279"/>
      <c r="C56" s="280" t="s">
        <v>81</v>
      </c>
      <c r="D56" s="281" t="s">
        <v>43</v>
      </c>
      <c r="E56" s="282">
        <v>0</v>
      </c>
      <c r="F56" s="283"/>
      <c r="G56" s="282">
        <v>0</v>
      </c>
      <c r="H56" s="283"/>
      <c r="I56" s="284">
        <v>0</v>
      </c>
      <c r="J56" s="285">
        <v>0</v>
      </c>
      <c r="K56" s="285">
        <v>0</v>
      </c>
      <c r="L56" s="285">
        <v>0</v>
      </c>
      <c r="M56" s="285">
        <v>0</v>
      </c>
      <c r="N56" s="285">
        <v>0</v>
      </c>
      <c r="O56" s="285">
        <v>0</v>
      </c>
      <c r="P56" s="285">
        <v>0</v>
      </c>
      <c r="Q56" s="285">
        <v>0</v>
      </c>
      <c r="R56" s="286">
        <f>SUM(J56:Q56)</f>
        <v>0</v>
      </c>
      <c r="S56" s="287">
        <f>I56-R56</f>
        <v>0</v>
      </c>
      <c r="T56" s="288">
        <f>G56-I56</f>
        <v>0</v>
      </c>
      <c r="U56" s="289">
        <v>0</v>
      </c>
      <c r="V56" s="290" t="e">
        <f t="shared" si="0"/>
        <v>#DIV/0!</v>
      </c>
      <c r="X56" s="329"/>
      <c r="Y56" s="285"/>
      <c r="Z56" s="285"/>
      <c r="AA56" s="285"/>
      <c r="AB56" s="285"/>
      <c r="AC56" s="285"/>
      <c r="AD56" s="285"/>
      <c r="AE56" s="285"/>
    </row>
    <row r="57" spans="1:31" ht="18.95" customHeight="1">
      <c r="A57" s="312"/>
      <c r="B57" s="279"/>
      <c r="C57" s="280" t="s">
        <v>79</v>
      </c>
      <c r="D57" s="281" t="s">
        <v>43</v>
      </c>
      <c r="E57" s="282">
        <v>911360</v>
      </c>
      <c r="F57" s="283"/>
      <c r="G57" s="282">
        <v>945000</v>
      </c>
      <c r="H57" s="283"/>
      <c r="I57" s="284">
        <v>945000</v>
      </c>
      <c r="J57" s="285">
        <v>0</v>
      </c>
      <c r="K57" s="285">
        <v>0</v>
      </c>
      <c r="L57" s="285">
        <v>0</v>
      </c>
      <c r="M57" s="285">
        <v>0</v>
      </c>
      <c r="N57" s="285">
        <v>0</v>
      </c>
      <c r="O57" s="285">
        <v>0</v>
      </c>
      <c r="P57" s="285">
        <v>0</v>
      </c>
      <c r="Q57" s="285">
        <v>0</v>
      </c>
      <c r="R57" s="286">
        <f>SUM(J57:Q57)</f>
        <v>0</v>
      </c>
      <c r="S57" s="287">
        <f>I57-R57</f>
        <v>945000</v>
      </c>
      <c r="T57" s="288">
        <f>G57-I57</f>
        <v>0</v>
      </c>
      <c r="U57" s="289">
        <v>0</v>
      </c>
      <c r="V57" s="290" t="e">
        <f t="shared" si="0"/>
        <v>#DIV/0!</v>
      </c>
      <c r="X57" s="329"/>
      <c r="Y57" s="285"/>
      <c r="Z57" s="285"/>
      <c r="AA57" s="285"/>
      <c r="AB57" s="285"/>
      <c r="AC57" s="285"/>
      <c r="AD57" s="285"/>
      <c r="AE57" s="285"/>
    </row>
    <row r="58" spans="1:31" ht="18.95" customHeight="1">
      <c r="A58" s="312"/>
      <c r="B58" s="279"/>
      <c r="C58" s="280" t="s">
        <v>82</v>
      </c>
      <c r="D58" s="281" t="s">
        <v>43</v>
      </c>
      <c r="E58" s="282">
        <v>0</v>
      </c>
      <c r="F58" s="283"/>
      <c r="G58" s="282">
        <v>0</v>
      </c>
      <c r="H58" s="283"/>
      <c r="I58" s="284">
        <v>60000</v>
      </c>
      <c r="J58" s="285">
        <v>0</v>
      </c>
      <c r="K58" s="285">
        <v>0</v>
      </c>
      <c r="L58" s="285">
        <v>0</v>
      </c>
      <c r="M58" s="285">
        <v>0</v>
      </c>
      <c r="N58" s="285">
        <v>0</v>
      </c>
      <c r="O58" s="285">
        <v>0</v>
      </c>
      <c r="P58" s="285">
        <v>0</v>
      </c>
      <c r="Q58" s="285">
        <v>0</v>
      </c>
      <c r="R58" s="286">
        <f>SUM(J58:Q58)</f>
        <v>0</v>
      </c>
      <c r="S58" s="287">
        <f>I58-R58</f>
        <v>60000</v>
      </c>
      <c r="T58" s="288">
        <f>G58-I58</f>
        <v>-60000</v>
      </c>
      <c r="U58" s="289">
        <v>0</v>
      </c>
      <c r="V58" s="290" t="e">
        <f t="shared" si="0"/>
        <v>#DIV/0!</v>
      </c>
      <c r="X58" s="329"/>
      <c r="Y58" s="285"/>
      <c r="Z58" s="285"/>
      <c r="AA58" s="285"/>
      <c r="AB58" s="285"/>
      <c r="AC58" s="285"/>
      <c r="AD58" s="285"/>
      <c r="AE58" s="285"/>
    </row>
    <row r="59" spans="1:31" ht="18.95" customHeight="1">
      <c r="A59" s="312"/>
      <c r="B59" s="279"/>
      <c r="C59" s="280" t="s">
        <v>80</v>
      </c>
      <c r="D59" s="281" t="s">
        <v>43</v>
      </c>
      <c r="E59" s="282">
        <v>0</v>
      </c>
      <c r="F59" s="283"/>
      <c r="G59" s="282">
        <v>0</v>
      </c>
      <c r="H59" s="283"/>
      <c r="I59" s="284">
        <v>0</v>
      </c>
      <c r="J59" s="285">
        <v>0</v>
      </c>
      <c r="K59" s="285">
        <v>0</v>
      </c>
      <c r="L59" s="285">
        <v>0</v>
      </c>
      <c r="M59" s="285">
        <v>0</v>
      </c>
      <c r="N59" s="285">
        <v>0</v>
      </c>
      <c r="O59" s="285">
        <v>0</v>
      </c>
      <c r="P59" s="285">
        <v>0</v>
      </c>
      <c r="Q59" s="285">
        <v>0</v>
      </c>
      <c r="R59" s="286">
        <f>SUM(J59:Q59)</f>
        <v>0</v>
      </c>
      <c r="S59" s="287">
        <f>I59-R59</f>
        <v>0</v>
      </c>
      <c r="T59" s="288">
        <f>G59-I59</f>
        <v>0</v>
      </c>
      <c r="U59" s="289">
        <v>0</v>
      </c>
      <c r="V59" s="290" t="e">
        <f t="shared" si="0"/>
        <v>#DIV/0!</v>
      </c>
      <c r="X59" s="329"/>
      <c r="Y59" s="285"/>
      <c r="Z59" s="285"/>
      <c r="AA59" s="285"/>
      <c r="AB59" s="285"/>
      <c r="AC59" s="285"/>
      <c r="AD59" s="285"/>
      <c r="AE59" s="285"/>
    </row>
    <row r="60" spans="1:31" ht="18.95" customHeight="1">
      <c r="A60" s="313"/>
      <c r="B60" s="279"/>
      <c r="C60" s="280" t="s">
        <v>85</v>
      </c>
      <c r="D60" s="281" t="s">
        <v>43</v>
      </c>
      <c r="E60" s="282">
        <v>0</v>
      </c>
      <c r="F60" s="283"/>
      <c r="G60" s="282">
        <v>0</v>
      </c>
      <c r="H60" s="283"/>
      <c r="I60" s="284">
        <v>0</v>
      </c>
      <c r="J60" s="285">
        <v>0</v>
      </c>
      <c r="K60" s="285">
        <v>0</v>
      </c>
      <c r="L60" s="285">
        <v>0</v>
      </c>
      <c r="M60" s="285">
        <v>0</v>
      </c>
      <c r="N60" s="285">
        <v>0</v>
      </c>
      <c r="O60" s="285">
        <v>0</v>
      </c>
      <c r="P60" s="285">
        <v>0</v>
      </c>
      <c r="Q60" s="285">
        <v>0</v>
      </c>
      <c r="R60" s="286">
        <f>SUM(J60:Q60)</f>
        <v>0</v>
      </c>
      <c r="S60" s="287">
        <f>I60-R60</f>
        <v>0</v>
      </c>
      <c r="T60" s="288">
        <f>G60-I60</f>
        <v>0</v>
      </c>
      <c r="U60" s="289">
        <v>0</v>
      </c>
      <c r="V60" s="290" t="e">
        <f t="shared" si="0"/>
        <v>#DIV/0!</v>
      </c>
      <c r="X60" s="329"/>
      <c r="Y60" s="285"/>
      <c r="Z60" s="285"/>
      <c r="AA60" s="285"/>
      <c r="AB60" s="285"/>
      <c r="AC60" s="285"/>
      <c r="AD60" s="285"/>
      <c r="AE60" s="285"/>
    </row>
    <row r="61" spans="1:31" ht="18.95" customHeight="1">
      <c r="A61" s="314" t="s">
        <v>86</v>
      </c>
      <c r="B61" s="291" t="s">
        <v>38</v>
      </c>
      <c r="C61" s="292" t="s">
        <v>87</v>
      </c>
      <c r="D61" s="293" t="s">
        <v>40</v>
      </c>
      <c r="E61" s="294">
        <v>2752050</v>
      </c>
      <c r="F61" s="295"/>
      <c r="G61" s="294">
        <v>2659000</v>
      </c>
      <c r="H61" s="295"/>
      <c r="I61" s="296">
        <v>2659000</v>
      </c>
      <c r="J61" s="273">
        <v>0</v>
      </c>
      <c r="K61" s="273">
        <v>0</v>
      </c>
      <c r="L61" s="273">
        <v>0</v>
      </c>
      <c r="M61" s="273">
        <v>0</v>
      </c>
      <c r="N61" s="273">
        <v>710000</v>
      </c>
      <c r="O61" s="273">
        <v>1910000</v>
      </c>
      <c r="P61" s="273">
        <v>0</v>
      </c>
      <c r="Q61" s="273">
        <v>0</v>
      </c>
      <c r="R61" s="274">
        <f>SUM(J61:Q61)</f>
        <v>2620000</v>
      </c>
      <c r="S61" s="275">
        <f>I61-R61</f>
        <v>39000</v>
      </c>
      <c r="T61" s="276">
        <f>G61-I61</f>
        <v>0</v>
      </c>
      <c r="U61" s="297">
        <v>0</v>
      </c>
      <c r="V61" s="278" t="e">
        <f t="shared" si="0"/>
        <v>#DIV/0!</v>
      </c>
      <c r="X61" s="328"/>
      <c r="Y61" s="273"/>
      <c r="Z61" s="273"/>
      <c r="AA61" s="273"/>
      <c r="AB61" s="273"/>
      <c r="AC61" s="273"/>
      <c r="AD61" s="273"/>
      <c r="AE61" s="273"/>
    </row>
    <row r="62" spans="1:31" ht="18.95" customHeight="1">
      <c r="A62" s="312"/>
      <c r="B62" s="279" t="s">
        <v>53</v>
      </c>
      <c r="C62" s="280" t="s">
        <v>88</v>
      </c>
      <c r="D62" s="281" t="s">
        <v>43</v>
      </c>
      <c r="E62" s="282">
        <v>0</v>
      </c>
      <c r="F62" s="283"/>
      <c r="G62" s="282">
        <v>0</v>
      </c>
      <c r="H62" s="283"/>
      <c r="I62" s="284">
        <v>0</v>
      </c>
      <c r="J62" s="285">
        <v>0</v>
      </c>
      <c r="K62" s="285">
        <v>0</v>
      </c>
      <c r="L62" s="285">
        <v>0</v>
      </c>
      <c r="M62" s="285">
        <v>0</v>
      </c>
      <c r="N62" s="285">
        <v>0</v>
      </c>
      <c r="O62" s="285">
        <v>1260</v>
      </c>
      <c r="P62" s="285">
        <v>0</v>
      </c>
      <c r="Q62" s="285">
        <v>0</v>
      </c>
      <c r="R62" s="286">
        <f>SUM(J62:Q62)</f>
        <v>1260</v>
      </c>
      <c r="S62" s="287">
        <f>I62-R62</f>
        <v>-1260</v>
      </c>
      <c r="T62" s="288">
        <f>G62-I62</f>
        <v>0</v>
      </c>
      <c r="U62" s="289">
        <v>0</v>
      </c>
      <c r="V62" s="290" t="e">
        <f t="shared" si="0"/>
        <v>#DIV/0!</v>
      </c>
      <c r="X62" s="329"/>
      <c r="Y62" s="285"/>
      <c r="Z62" s="285"/>
      <c r="AA62" s="285"/>
      <c r="AB62" s="285"/>
      <c r="AC62" s="285"/>
      <c r="AD62" s="285"/>
      <c r="AE62" s="285"/>
    </row>
    <row r="63" spans="1:31" ht="18.95" customHeight="1">
      <c r="A63" s="312"/>
      <c r="B63" s="279" t="s">
        <v>89</v>
      </c>
      <c r="C63" s="280" t="s">
        <v>88</v>
      </c>
      <c r="D63" s="281" t="s">
        <v>43</v>
      </c>
      <c r="E63" s="282">
        <v>0</v>
      </c>
      <c r="F63" s="283"/>
      <c r="G63" s="282">
        <v>0</v>
      </c>
      <c r="H63" s="283"/>
      <c r="I63" s="284">
        <v>0</v>
      </c>
      <c r="J63" s="285">
        <v>0</v>
      </c>
      <c r="K63" s="285">
        <v>0</v>
      </c>
      <c r="L63" s="285">
        <v>19900</v>
      </c>
      <c r="M63" s="285">
        <v>0</v>
      </c>
      <c r="N63" s="285">
        <v>474400</v>
      </c>
      <c r="O63" s="285">
        <v>217600</v>
      </c>
      <c r="P63" s="285">
        <v>0</v>
      </c>
      <c r="Q63" s="285">
        <v>0</v>
      </c>
      <c r="R63" s="286">
        <f>SUM(J63:Q63)</f>
        <v>711900</v>
      </c>
      <c r="S63" s="287">
        <f>I63-R63</f>
        <v>-711900</v>
      </c>
      <c r="T63" s="288">
        <f>G63-I63</f>
        <v>0</v>
      </c>
      <c r="U63" s="289">
        <v>0</v>
      </c>
      <c r="V63" s="290" t="e">
        <f t="shared" si="0"/>
        <v>#DIV/0!</v>
      </c>
      <c r="X63" s="329"/>
      <c r="Y63" s="285"/>
      <c r="Z63" s="285"/>
      <c r="AA63" s="285"/>
      <c r="AB63" s="285"/>
      <c r="AC63" s="285"/>
      <c r="AD63" s="285"/>
      <c r="AE63" s="285"/>
    </row>
    <row r="64" spans="1:31" ht="18.95" customHeight="1">
      <c r="A64" s="312"/>
      <c r="B64" s="279"/>
      <c r="C64" s="280" t="s">
        <v>87</v>
      </c>
      <c r="D64" s="281" t="s">
        <v>43</v>
      </c>
      <c r="E64" s="282">
        <v>0</v>
      </c>
      <c r="F64" s="283"/>
      <c r="G64" s="282">
        <v>50000</v>
      </c>
      <c r="H64" s="283"/>
      <c r="I64" s="284">
        <v>50000</v>
      </c>
      <c r="J64" s="285">
        <v>0</v>
      </c>
      <c r="K64" s="285">
        <v>0</v>
      </c>
      <c r="L64" s="285">
        <v>0</v>
      </c>
      <c r="M64" s="285">
        <v>0</v>
      </c>
      <c r="N64" s="285">
        <v>0</v>
      </c>
      <c r="O64" s="285">
        <v>0</v>
      </c>
      <c r="P64" s="285">
        <v>0</v>
      </c>
      <c r="Q64" s="285">
        <v>0</v>
      </c>
      <c r="R64" s="286">
        <f>SUM(J64:Q64)</f>
        <v>0</v>
      </c>
      <c r="S64" s="287">
        <f>I64-R64</f>
        <v>50000</v>
      </c>
      <c r="T64" s="288">
        <f>G64-I64</f>
        <v>0</v>
      </c>
      <c r="U64" s="289">
        <v>0</v>
      </c>
      <c r="V64" s="290" t="e">
        <f t="shared" si="0"/>
        <v>#DIV/0!</v>
      </c>
      <c r="X64" s="329"/>
      <c r="Y64" s="285"/>
      <c r="Z64" s="285"/>
      <c r="AA64" s="285"/>
      <c r="AB64" s="285"/>
      <c r="AC64" s="285"/>
      <c r="AD64" s="285"/>
      <c r="AE64" s="285"/>
    </row>
    <row r="65" spans="1:31" ht="18.95" customHeight="1">
      <c r="A65" s="313"/>
      <c r="B65" s="279"/>
      <c r="C65" s="280" t="s">
        <v>88</v>
      </c>
      <c r="D65" s="281" t="s">
        <v>43</v>
      </c>
      <c r="E65" s="282">
        <v>715800</v>
      </c>
      <c r="F65" s="283"/>
      <c r="G65" s="282">
        <v>715800</v>
      </c>
      <c r="H65" s="283"/>
      <c r="I65" s="284">
        <v>815800</v>
      </c>
      <c r="J65" s="285">
        <v>0</v>
      </c>
      <c r="K65" s="285">
        <v>0</v>
      </c>
      <c r="L65" s="285">
        <v>0</v>
      </c>
      <c r="M65" s="285">
        <v>0</v>
      </c>
      <c r="N65" s="285">
        <v>0</v>
      </c>
      <c r="O65" s="285">
        <v>0</v>
      </c>
      <c r="P65" s="285">
        <v>0</v>
      </c>
      <c r="Q65" s="285">
        <v>0</v>
      </c>
      <c r="R65" s="286">
        <f>SUM(J65:Q65)</f>
        <v>0</v>
      </c>
      <c r="S65" s="287">
        <f>I65-R65</f>
        <v>815800</v>
      </c>
      <c r="T65" s="288">
        <f>G65-I65</f>
        <v>-100000</v>
      </c>
      <c r="U65" s="289">
        <v>0</v>
      </c>
      <c r="V65" s="290" t="e">
        <f t="shared" si="0"/>
        <v>#DIV/0!</v>
      </c>
      <c r="X65" s="329"/>
      <c r="Y65" s="285"/>
      <c r="Z65" s="285"/>
      <c r="AA65" s="285"/>
      <c r="AB65" s="285"/>
      <c r="AC65" s="285"/>
      <c r="AD65" s="285"/>
      <c r="AE65" s="285"/>
    </row>
    <row r="66" spans="1:31" ht="18.95" customHeight="1">
      <c r="A66" s="314" t="s">
        <v>90</v>
      </c>
      <c r="B66" s="291" t="s">
        <v>38</v>
      </c>
      <c r="C66" s="292" t="s">
        <v>91</v>
      </c>
      <c r="D66" s="293" t="s">
        <v>40</v>
      </c>
      <c r="E66" s="294">
        <v>2083500</v>
      </c>
      <c r="F66" s="295"/>
      <c r="G66" s="294">
        <v>2152500</v>
      </c>
      <c r="H66" s="295"/>
      <c r="I66" s="296">
        <v>2152500</v>
      </c>
      <c r="J66" s="273">
        <v>0</v>
      </c>
      <c r="K66" s="273">
        <v>0</v>
      </c>
      <c r="L66" s="273">
        <v>500000</v>
      </c>
      <c r="M66" s="273">
        <v>1080000</v>
      </c>
      <c r="N66" s="273">
        <v>100000</v>
      </c>
      <c r="O66" s="273">
        <v>120000</v>
      </c>
      <c r="P66" s="273">
        <v>0</v>
      </c>
      <c r="Q66" s="273">
        <v>0</v>
      </c>
      <c r="R66" s="274">
        <f>SUM(J66:Q66)</f>
        <v>1800000</v>
      </c>
      <c r="S66" s="275">
        <f>I66-R66</f>
        <v>352500</v>
      </c>
      <c r="T66" s="276">
        <f>G66-I66</f>
        <v>0</v>
      </c>
      <c r="U66" s="297">
        <v>86</v>
      </c>
      <c r="V66" s="278">
        <f t="shared" si="0"/>
        <v>20930.232558139534</v>
      </c>
      <c r="X66" s="328"/>
      <c r="Y66" s="273"/>
      <c r="Z66" s="273"/>
      <c r="AA66" s="273"/>
      <c r="AB66" s="273"/>
      <c r="AC66" s="273"/>
      <c r="AD66" s="273"/>
      <c r="AE66" s="273"/>
    </row>
    <row r="67" spans="1:31" ht="18.95" customHeight="1">
      <c r="A67" s="312"/>
      <c r="B67" s="279" t="s">
        <v>38</v>
      </c>
      <c r="C67" s="280" t="s">
        <v>92</v>
      </c>
      <c r="D67" s="281" t="s">
        <v>40</v>
      </c>
      <c r="E67" s="282">
        <v>60000</v>
      </c>
      <c r="F67" s="283"/>
      <c r="G67" s="282">
        <v>52500</v>
      </c>
      <c r="H67" s="283"/>
      <c r="I67" s="284">
        <v>52500</v>
      </c>
      <c r="J67" s="285">
        <v>0</v>
      </c>
      <c r="K67" s="285">
        <v>0</v>
      </c>
      <c r="L67" s="285">
        <v>0</v>
      </c>
      <c r="M67" s="285">
        <v>0</v>
      </c>
      <c r="N67" s="285">
        <v>0</v>
      </c>
      <c r="O67" s="285">
        <v>0</v>
      </c>
      <c r="P67" s="285">
        <v>0</v>
      </c>
      <c r="Q67" s="285">
        <v>0</v>
      </c>
      <c r="R67" s="286">
        <f>SUM(J67:Q67)</f>
        <v>0</v>
      </c>
      <c r="S67" s="287">
        <f>I67-R67</f>
        <v>52500</v>
      </c>
      <c r="T67" s="288">
        <f>G67-I67</f>
        <v>0</v>
      </c>
      <c r="U67" s="289">
        <v>0</v>
      </c>
      <c r="V67" s="290" t="e">
        <f t="shared" si="0"/>
        <v>#DIV/0!</v>
      </c>
      <c r="X67" s="329"/>
      <c r="Y67" s="285"/>
      <c r="Z67" s="285"/>
      <c r="AA67" s="285"/>
      <c r="AB67" s="285"/>
      <c r="AC67" s="285"/>
      <c r="AD67" s="285"/>
      <c r="AE67" s="285"/>
    </row>
    <row r="68" spans="1:31" ht="18.95" customHeight="1">
      <c r="A68" s="312"/>
      <c r="B68" s="279" t="s">
        <v>89</v>
      </c>
      <c r="C68" s="280" t="s">
        <v>93</v>
      </c>
      <c r="D68" s="281" t="s">
        <v>43</v>
      </c>
      <c r="E68" s="282">
        <v>0</v>
      </c>
      <c r="F68" s="283"/>
      <c r="G68" s="282">
        <v>0</v>
      </c>
      <c r="H68" s="283"/>
      <c r="I68" s="284">
        <v>0</v>
      </c>
      <c r="J68" s="285">
        <v>0</v>
      </c>
      <c r="K68" s="285">
        <v>0</v>
      </c>
      <c r="L68" s="285">
        <v>123300</v>
      </c>
      <c r="M68" s="285">
        <v>185400</v>
      </c>
      <c r="N68" s="285">
        <v>0</v>
      </c>
      <c r="O68" s="285">
        <v>0</v>
      </c>
      <c r="P68" s="285">
        <v>0</v>
      </c>
      <c r="Q68" s="285">
        <v>0</v>
      </c>
      <c r="R68" s="286">
        <f>SUM(J68:Q68)</f>
        <v>308700</v>
      </c>
      <c r="S68" s="287">
        <f>I68-R68</f>
        <v>-308700</v>
      </c>
      <c r="T68" s="288">
        <f>G68-I68</f>
        <v>0</v>
      </c>
      <c r="U68" s="289">
        <v>0</v>
      </c>
      <c r="V68" s="290" t="e">
        <f t="shared" si="0"/>
        <v>#DIV/0!</v>
      </c>
      <c r="X68" s="329"/>
      <c r="Y68" s="285"/>
      <c r="Z68" s="285"/>
      <c r="AA68" s="285"/>
      <c r="AB68" s="285"/>
      <c r="AC68" s="285"/>
      <c r="AD68" s="285"/>
      <c r="AE68" s="285"/>
    </row>
    <row r="69" spans="1:31" ht="18.95" customHeight="1">
      <c r="A69" s="312"/>
      <c r="B69" s="279"/>
      <c r="C69" s="280" t="s">
        <v>91</v>
      </c>
      <c r="D69" s="281" t="s">
        <v>43</v>
      </c>
      <c r="E69" s="282">
        <v>0</v>
      </c>
      <c r="F69" s="283"/>
      <c r="G69" s="282">
        <v>0</v>
      </c>
      <c r="H69" s="283"/>
      <c r="I69" s="284">
        <v>0</v>
      </c>
      <c r="J69" s="285">
        <v>0</v>
      </c>
      <c r="K69" s="285">
        <v>0</v>
      </c>
      <c r="L69" s="285">
        <v>0</v>
      </c>
      <c r="M69" s="285">
        <v>0</v>
      </c>
      <c r="N69" s="285">
        <v>0</v>
      </c>
      <c r="O69" s="285">
        <v>0</v>
      </c>
      <c r="P69" s="285">
        <v>0</v>
      </c>
      <c r="Q69" s="285">
        <v>0</v>
      </c>
      <c r="R69" s="286">
        <f>SUM(J69:Q69)</f>
        <v>0</v>
      </c>
      <c r="S69" s="287">
        <f>I69-R69</f>
        <v>0</v>
      </c>
      <c r="T69" s="288">
        <f>G69-I69</f>
        <v>0</v>
      </c>
      <c r="U69" s="289">
        <v>0</v>
      </c>
      <c r="V69" s="290" t="e">
        <f t="shared" si="0"/>
        <v>#DIV/0!</v>
      </c>
      <c r="X69" s="329"/>
      <c r="Y69" s="285"/>
      <c r="Z69" s="285"/>
      <c r="AA69" s="285"/>
      <c r="AB69" s="285"/>
      <c r="AC69" s="285"/>
      <c r="AD69" s="285"/>
      <c r="AE69" s="285"/>
    </row>
    <row r="70" spans="1:31" ht="18.95" customHeight="1">
      <c r="A70" s="312"/>
      <c r="B70" s="279"/>
      <c r="C70" s="280" t="s">
        <v>93</v>
      </c>
      <c r="D70" s="281" t="s">
        <v>43</v>
      </c>
      <c r="E70" s="282">
        <v>118300</v>
      </c>
      <c r="F70" s="283"/>
      <c r="G70" s="282">
        <v>539300</v>
      </c>
      <c r="H70" s="283"/>
      <c r="I70" s="284">
        <v>439300</v>
      </c>
      <c r="J70" s="285">
        <v>0</v>
      </c>
      <c r="K70" s="285">
        <v>0</v>
      </c>
      <c r="L70" s="285">
        <v>0</v>
      </c>
      <c r="M70" s="285">
        <v>0</v>
      </c>
      <c r="N70" s="285">
        <v>0</v>
      </c>
      <c r="O70" s="285">
        <v>0</v>
      </c>
      <c r="P70" s="285">
        <v>0</v>
      </c>
      <c r="Q70" s="285">
        <v>0</v>
      </c>
      <c r="R70" s="286">
        <f>SUM(J70:Q70)</f>
        <v>0</v>
      </c>
      <c r="S70" s="287">
        <f>I70-R70</f>
        <v>439300</v>
      </c>
      <c r="T70" s="288">
        <f>G70-I70</f>
        <v>100000</v>
      </c>
      <c r="U70" s="289">
        <v>0</v>
      </c>
      <c r="V70" s="290" t="e">
        <f t="shared" si="0"/>
        <v>#DIV/0!</v>
      </c>
      <c r="X70" s="329"/>
      <c r="Y70" s="285"/>
      <c r="Z70" s="285"/>
      <c r="AA70" s="285"/>
      <c r="AB70" s="285"/>
      <c r="AC70" s="285"/>
      <c r="AD70" s="285"/>
      <c r="AE70" s="285"/>
    </row>
    <row r="71" spans="1:31" ht="18.95" customHeight="1">
      <c r="A71" s="312"/>
      <c r="B71" s="279"/>
      <c r="C71" s="280" t="s">
        <v>92</v>
      </c>
      <c r="D71" s="281" t="s">
        <v>43</v>
      </c>
      <c r="E71" s="282">
        <v>0</v>
      </c>
      <c r="F71" s="283"/>
      <c r="G71" s="282">
        <v>0</v>
      </c>
      <c r="H71" s="283"/>
      <c r="I71" s="284">
        <v>0</v>
      </c>
      <c r="J71" s="285">
        <v>0</v>
      </c>
      <c r="K71" s="285">
        <v>0</v>
      </c>
      <c r="L71" s="285">
        <v>0</v>
      </c>
      <c r="M71" s="285">
        <v>0</v>
      </c>
      <c r="N71" s="285">
        <v>0</v>
      </c>
      <c r="O71" s="285">
        <v>0</v>
      </c>
      <c r="P71" s="285">
        <v>0</v>
      </c>
      <c r="Q71" s="285">
        <v>0</v>
      </c>
      <c r="R71" s="286">
        <f>SUM(J71:Q71)</f>
        <v>0</v>
      </c>
      <c r="S71" s="287">
        <f>I71-R71</f>
        <v>0</v>
      </c>
      <c r="T71" s="288">
        <f>G71-I71</f>
        <v>0</v>
      </c>
      <c r="U71" s="289">
        <v>0</v>
      </c>
      <c r="V71" s="290" t="e">
        <f t="shared" si="0"/>
        <v>#DIV/0!</v>
      </c>
      <c r="X71" s="329"/>
      <c r="Y71" s="285"/>
      <c r="Z71" s="285"/>
      <c r="AA71" s="285"/>
      <c r="AB71" s="285"/>
      <c r="AC71" s="285"/>
      <c r="AD71" s="285"/>
      <c r="AE71" s="285"/>
    </row>
    <row r="72" spans="1:31" ht="18.95" customHeight="1">
      <c r="A72" s="313"/>
      <c r="B72" s="279"/>
      <c r="C72" s="280" t="s">
        <v>94</v>
      </c>
      <c r="D72" s="281" t="s">
        <v>43</v>
      </c>
      <c r="E72" s="282">
        <v>0</v>
      </c>
      <c r="F72" s="283"/>
      <c r="G72" s="282">
        <v>0</v>
      </c>
      <c r="H72" s="283"/>
      <c r="I72" s="284">
        <v>0</v>
      </c>
      <c r="J72" s="285">
        <v>0</v>
      </c>
      <c r="K72" s="285">
        <v>0</v>
      </c>
      <c r="L72" s="285">
        <v>0</v>
      </c>
      <c r="M72" s="285">
        <v>0</v>
      </c>
      <c r="N72" s="285">
        <v>0</v>
      </c>
      <c r="O72" s="285">
        <v>0</v>
      </c>
      <c r="P72" s="285">
        <v>0</v>
      </c>
      <c r="Q72" s="285">
        <v>0</v>
      </c>
      <c r="R72" s="286">
        <f>SUM(J72:Q72)</f>
        <v>0</v>
      </c>
      <c r="S72" s="287">
        <f>I72-R72</f>
        <v>0</v>
      </c>
      <c r="T72" s="288">
        <f>G72-I72</f>
        <v>0</v>
      </c>
      <c r="U72" s="289">
        <v>0</v>
      </c>
      <c r="V72" s="290" t="e">
        <f t="shared" si="0"/>
        <v>#DIV/0!</v>
      </c>
      <c r="X72" s="329"/>
      <c r="Y72" s="285"/>
      <c r="Z72" s="285"/>
      <c r="AA72" s="285"/>
      <c r="AB72" s="285"/>
      <c r="AC72" s="285"/>
      <c r="AD72" s="285"/>
      <c r="AE72" s="285"/>
    </row>
    <row r="73" spans="1:31" ht="18.95" customHeight="1">
      <c r="A73" s="314" t="s">
        <v>95</v>
      </c>
      <c r="B73" s="291" t="s">
        <v>38</v>
      </c>
      <c r="C73" s="292" t="s">
        <v>96</v>
      </c>
      <c r="D73" s="293" t="s">
        <v>40</v>
      </c>
      <c r="E73" s="294">
        <v>267800</v>
      </c>
      <c r="F73" s="295"/>
      <c r="G73" s="294">
        <v>282240</v>
      </c>
      <c r="H73" s="295"/>
      <c r="I73" s="296">
        <v>282240</v>
      </c>
      <c r="J73" s="273">
        <v>0</v>
      </c>
      <c r="K73" s="273">
        <v>0</v>
      </c>
      <c r="L73" s="273">
        <v>0</v>
      </c>
      <c r="M73" s="273">
        <v>0</v>
      </c>
      <c r="N73" s="273">
        <v>0</v>
      </c>
      <c r="O73" s="273">
        <v>0</v>
      </c>
      <c r="P73" s="273">
        <v>0</v>
      </c>
      <c r="Q73" s="273">
        <v>0</v>
      </c>
      <c r="R73" s="274">
        <f>SUM(J73:Q73)</f>
        <v>0</v>
      </c>
      <c r="S73" s="275">
        <f>I73-R73</f>
        <v>282240</v>
      </c>
      <c r="T73" s="276">
        <f>G73-I73</f>
        <v>0</v>
      </c>
      <c r="U73" s="297">
        <v>0</v>
      </c>
      <c r="V73" s="278" t="e">
        <f t="shared" si="0"/>
        <v>#DIV/0!</v>
      </c>
      <c r="X73" s="328"/>
      <c r="Y73" s="273"/>
      <c r="Z73" s="273"/>
      <c r="AA73" s="273"/>
      <c r="AB73" s="273"/>
      <c r="AC73" s="273"/>
      <c r="AD73" s="273"/>
      <c r="AE73" s="273"/>
    </row>
    <row r="74" spans="1:31" ht="18.95" customHeight="1">
      <c r="A74" s="312"/>
      <c r="B74" s="279" t="s">
        <v>38</v>
      </c>
      <c r="C74" s="280" t="s">
        <v>97</v>
      </c>
      <c r="D74" s="281" t="s">
        <v>40</v>
      </c>
      <c r="E74" s="282">
        <v>1378700</v>
      </c>
      <c r="F74" s="283"/>
      <c r="G74" s="282">
        <v>3052820</v>
      </c>
      <c r="H74" s="283"/>
      <c r="I74" s="284">
        <v>1652820</v>
      </c>
      <c r="J74" s="285">
        <v>0</v>
      </c>
      <c r="K74" s="285">
        <v>0</v>
      </c>
      <c r="L74" s="285">
        <v>0</v>
      </c>
      <c r="M74" s="285">
        <v>0</v>
      </c>
      <c r="N74" s="285">
        <v>0</v>
      </c>
      <c r="O74" s="285">
        <v>0</v>
      </c>
      <c r="P74" s="285">
        <v>0</v>
      </c>
      <c r="Q74" s="285">
        <v>0</v>
      </c>
      <c r="R74" s="286">
        <f>SUM(J74:Q74)</f>
        <v>0</v>
      </c>
      <c r="S74" s="287">
        <f>I74-R74</f>
        <v>1652820</v>
      </c>
      <c r="T74" s="288">
        <f>G74-I74</f>
        <v>1400000</v>
      </c>
      <c r="U74" s="289">
        <v>0</v>
      </c>
      <c r="V74" s="290" t="e">
        <f t="shared" ref="V74:V119" si="1">R74/U74</f>
        <v>#DIV/0!</v>
      </c>
      <c r="X74" s="329"/>
      <c r="Y74" s="285"/>
      <c r="Z74" s="285"/>
      <c r="AA74" s="285"/>
      <c r="AB74" s="285"/>
      <c r="AC74" s="285"/>
      <c r="AD74" s="285"/>
      <c r="AE74" s="285"/>
    </row>
    <row r="75" spans="1:31" ht="18.95" customHeight="1">
      <c r="A75" s="312"/>
      <c r="B75" s="279" t="s">
        <v>53</v>
      </c>
      <c r="C75" s="280" t="s">
        <v>98</v>
      </c>
      <c r="D75" s="281" t="s">
        <v>43</v>
      </c>
      <c r="E75" s="282">
        <v>0</v>
      </c>
      <c r="F75" s="283"/>
      <c r="G75" s="282">
        <v>0</v>
      </c>
      <c r="H75" s="283"/>
      <c r="I75" s="284">
        <v>0</v>
      </c>
      <c r="J75" s="285">
        <v>0</v>
      </c>
      <c r="K75" s="285">
        <v>0</v>
      </c>
      <c r="L75" s="285">
        <v>0</v>
      </c>
      <c r="M75" s="285">
        <v>0</v>
      </c>
      <c r="N75" s="285">
        <v>0</v>
      </c>
      <c r="O75" s="285">
        <v>69620</v>
      </c>
      <c r="P75" s="285">
        <v>0</v>
      </c>
      <c r="Q75" s="285">
        <v>0</v>
      </c>
      <c r="R75" s="286">
        <f>SUM(J75:Q75)</f>
        <v>69620</v>
      </c>
      <c r="S75" s="287">
        <f>I75-R75</f>
        <v>-69620</v>
      </c>
      <c r="T75" s="288">
        <f>G75-I75</f>
        <v>0</v>
      </c>
      <c r="U75" s="289">
        <v>0</v>
      </c>
      <c r="V75" s="290" t="e">
        <f t="shared" si="1"/>
        <v>#DIV/0!</v>
      </c>
      <c r="X75" s="329"/>
      <c r="Y75" s="285"/>
      <c r="Z75" s="285"/>
      <c r="AA75" s="285"/>
      <c r="AB75" s="285"/>
      <c r="AC75" s="285"/>
      <c r="AD75" s="285"/>
      <c r="AE75" s="285"/>
    </row>
    <row r="76" spans="1:31" ht="18.95" customHeight="1">
      <c r="A76" s="312"/>
      <c r="B76" s="279" t="s">
        <v>99</v>
      </c>
      <c r="C76" s="280" t="s">
        <v>97</v>
      </c>
      <c r="D76" s="281" t="s">
        <v>100</v>
      </c>
      <c r="E76" s="282">
        <v>540000</v>
      </c>
      <c r="F76" s="283"/>
      <c r="G76" s="282">
        <v>0</v>
      </c>
      <c r="H76" s="283"/>
      <c r="I76" s="284">
        <v>331000</v>
      </c>
      <c r="J76" s="285">
        <v>0</v>
      </c>
      <c r="K76" s="285">
        <v>0</v>
      </c>
      <c r="L76" s="285">
        <v>0</v>
      </c>
      <c r="M76" s="285">
        <v>0</v>
      </c>
      <c r="N76" s="285">
        <v>331000</v>
      </c>
      <c r="O76" s="285">
        <v>0</v>
      </c>
      <c r="P76" s="285">
        <v>0</v>
      </c>
      <c r="Q76" s="285">
        <v>0</v>
      </c>
      <c r="R76" s="286">
        <f>SUM(J76:Q76)</f>
        <v>331000</v>
      </c>
      <c r="S76" s="287">
        <f>I76-R76</f>
        <v>0</v>
      </c>
      <c r="T76" s="288">
        <f>G76-I76</f>
        <v>-331000</v>
      </c>
      <c r="U76" s="289">
        <v>0</v>
      </c>
      <c r="V76" s="290" t="e">
        <f t="shared" si="1"/>
        <v>#DIV/0!</v>
      </c>
      <c r="X76" s="329"/>
      <c r="Y76" s="285"/>
      <c r="Z76" s="285"/>
      <c r="AA76" s="285"/>
      <c r="AB76" s="285"/>
      <c r="AC76" s="285"/>
      <c r="AD76" s="285"/>
      <c r="AE76" s="285"/>
    </row>
    <row r="77" spans="1:31" ht="18.95" customHeight="1">
      <c r="A77" s="312"/>
      <c r="B77" s="279" t="s">
        <v>99</v>
      </c>
      <c r="C77" s="280" t="s">
        <v>97</v>
      </c>
      <c r="D77" s="281" t="s">
        <v>101</v>
      </c>
      <c r="E77" s="282">
        <v>0</v>
      </c>
      <c r="F77" s="283"/>
      <c r="G77" s="282">
        <v>0</v>
      </c>
      <c r="H77" s="283"/>
      <c r="I77" s="284">
        <v>603000</v>
      </c>
      <c r="J77" s="285">
        <v>0</v>
      </c>
      <c r="K77" s="285">
        <v>0</v>
      </c>
      <c r="L77" s="285">
        <v>0</v>
      </c>
      <c r="M77" s="285">
        <v>0</v>
      </c>
      <c r="N77" s="285">
        <v>0</v>
      </c>
      <c r="O77" s="285">
        <v>603000</v>
      </c>
      <c r="P77" s="285">
        <v>0</v>
      </c>
      <c r="Q77" s="285">
        <v>0</v>
      </c>
      <c r="R77" s="286">
        <f>SUM(J77:Q77)</f>
        <v>603000</v>
      </c>
      <c r="S77" s="287">
        <f>I77-R77</f>
        <v>0</v>
      </c>
      <c r="T77" s="288">
        <f>G77-I77</f>
        <v>-603000</v>
      </c>
      <c r="U77" s="289">
        <v>0</v>
      </c>
      <c r="V77" s="290" t="e">
        <f t="shared" si="1"/>
        <v>#DIV/0!</v>
      </c>
      <c r="X77" s="329"/>
      <c r="Y77" s="285"/>
      <c r="Z77" s="285"/>
      <c r="AA77" s="285"/>
      <c r="AB77" s="285"/>
      <c r="AC77" s="285"/>
      <c r="AD77" s="285"/>
      <c r="AE77" s="285"/>
    </row>
    <row r="78" spans="1:31" ht="18.95" customHeight="1">
      <c r="A78" s="312"/>
      <c r="B78" s="279" t="s">
        <v>102</v>
      </c>
      <c r="C78" s="280" t="s">
        <v>96</v>
      </c>
      <c r="D78" s="281" t="s">
        <v>43</v>
      </c>
      <c r="E78" s="282">
        <v>0</v>
      </c>
      <c r="F78" s="283"/>
      <c r="G78" s="282">
        <v>0</v>
      </c>
      <c r="H78" s="283"/>
      <c r="I78" s="284">
        <v>0</v>
      </c>
      <c r="J78" s="285">
        <v>0</v>
      </c>
      <c r="K78" s="285">
        <v>0</v>
      </c>
      <c r="L78" s="285">
        <v>0</v>
      </c>
      <c r="M78" s="285">
        <v>0</v>
      </c>
      <c r="N78" s="285">
        <v>0</v>
      </c>
      <c r="O78" s="285">
        <v>0</v>
      </c>
      <c r="P78" s="285">
        <v>-74360</v>
      </c>
      <c r="Q78" s="285">
        <v>0</v>
      </c>
      <c r="R78" s="286">
        <f>SUM(J78:Q78)</f>
        <v>-74360</v>
      </c>
      <c r="S78" s="287">
        <f>I78-R78</f>
        <v>74360</v>
      </c>
      <c r="T78" s="288">
        <f>G78-I78</f>
        <v>0</v>
      </c>
      <c r="U78" s="289">
        <v>0</v>
      </c>
      <c r="V78" s="290" t="e">
        <f t="shared" si="1"/>
        <v>#DIV/0!</v>
      </c>
      <c r="X78" s="329"/>
      <c r="Y78" s="285"/>
      <c r="Z78" s="285"/>
      <c r="AA78" s="285"/>
      <c r="AB78" s="285"/>
      <c r="AC78" s="285"/>
      <c r="AD78" s="285"/>
      <c r="AE78" s="285"/>
    </row>
    <row r="79" spans="1:31" ht="18.95" customHeight="1">
      <c r="A79" s="312"/>
      <c r="B79" s="279" t="s">
        <v>102</v>
      </c>
      <c r="C79" s="280" t="s">
        <v>103</v>
      </c>
      <c r="D79" s="281" t="s">
        <v>104</v>
      </c>
      <c r="E79" s="282">
        <v>0</v>
      </c>
      <c r="F79" s="283"/>
      <c r="G79" s="282">
        <v>0</v>
      </c>
      <c r="H79" s="283"/>
      <c r="I79" s="284">
        <v>8150000</v>
      </c>
      <c r="J79" s="285">
        <v>0</v>
      </c>
      <c r="K79" s="285">
        <v>0</v>
      </c>
      <c r="L79" s="285">
        <v>0</v>
      </c>
      <c r="M79" s="285">
        <v>0</v>
      </c>
      <c r="N79" s="285">
        <v>4914450</v>
      </c>
      <c r="O79" s="285">
        <v>2273850</v>
      </c>
      <c r="P79" s="285">
        <v>0</v>
      </c>
      <c r="Q79" s="285">
        <v>0</v>
      </c>
      <c r="R79" s="286">
        <f>SUM(J79:Q79)</f>
        <v>7188300</v>
      </c>
      <c r="S79" s="287">
        <f>I79-R79</f>
        <v>961700</v>
      </c>
      <c r="T79" s="288">
        <f>G79-I79</f>
        <v>-8150000</v>
      </c>
      <c r="U79" s="289">
        <v>0</v>
      </c>
      <c r="V79" s="290" t="e">
        <f t="shared" si="1"/>
        <v>#DIV/0!</v>
      </c>
      <c r="X79" s="329"/>
      <c r="Y79" s="285"/>
      <c r="Z79" s="285"/>
      <c r="AA79" s="285"/>
      <c r="AB79" s="285"/>
      <c r="AC79" s="285"/>
      <c r="AD79" s="285"/>
      <c r="AE79" s="285"/>
    </row>
    <row r="80" spans="1:31" ht="18.95" customHeight="1">
      <c r="A80" s="312"/>
      <c r="B80" s="279"/>
      <c r="C80" s="280" t="s">
        <v>96</v>
      </c>
      <c r="D80" s="281" t="s">
        <v>43</v>
      </c>
      <c r="E80" s="282">
        <v>0</v>
      </c>
      <c r="F80" s="283"/>
      <c r="G80" s="282">
        <v>0</v>
      </c>
      <c r="H80" s="283"/>
      <c r="I80" s="284">
        <v>0</v>
      </c>
      <c r="J80" s="285">
        <v>0</v>
      </c>
      <c r="K80" s="285">
        <v>0</v>
      </c>
      <c r="L80" s="285">
        <v>0</v>
      </c>
      <c r="M80" s="285">
        <v>0</v>
      </c>
      <c r="N80" s="285">
        <v>0</v>
      </c>
      <c r="O80" s="285">
        <v>0</v>
      </c>
      <c r="P80" s="285">
        <v>0</v>
      </c>
      <c r="Q80" s="285">
        <v>0</v>
      </c>
      <c r="R80" s="286">
        <f>SUM(J80:Q80)</f>
        <v>0</v>
      </c>
      <c r="S80" s="287">
        <f>I80-R80</f>
        <v>0</v>
      </c>
      <c r="T80" s="288">
        <f>G80-I80</f>
        <v>0</v>
      </c>
      <c r="U80" s="289">
        <v>0</v>
      </c>
      <c r="V80" s="290" t="e">
        <f t="shared" si="1"/>
        <v>#DIV/0!</v>
      </c>
      <c r="X80" s="329"/>
      <c r="Y80" s="285"/>
      <c r="Z80" s="285"/>
      <c r="AA80" s="285"/>
      <c r="AB80" s="285"/>
      <c r="AC80" s="285"/>
      <c r="AD80" s="285"/>
      <c r="AE80" s="285"/>
    </row>
    <row r="81" spans="1:31" ht="18.95" customHeight="1">
      <c r="A81" s="312"/>
      <c r="B81" s="279"/>
      <c r="C81" s="280" t="s">
        <v>98</v>
      </c>
      <c r="D81" s="281" t="s">
        <v>43</v>
      </c>
      <c r="E81" s="282">
        <v>0</v>
      </c>
      <c r="F81" s="283"/>
      <c r="G81" s="282">
        <v>0</v>
      </c>
      <c r="H81" s="283"/>
      <c r="I81" s="284">
        <v>0</v>
      </c>
      <c r="J81" s="285">
        <v>0</v>
      </c>
      <c r="K81" s="285">
        <v>0</v>
      </c>
      <c r="L81" s="285">
        <v>0</v>
      </c>
      <c r="M81" s="285">
        <v>0</v>
      </c>
      <c r="N81" s="285">
        <v>0</v>
      </c>
      <c r="O81" s="285">
        <v>0</v>
      </c>
      <c r="P81" s="285">
        <v>0</v>
      </c>
      <c r="Q81" s="285">
        <v>0</v>
      </c>
      <c r="R81" s="286">
        <f>SUM(J81:Q81)</f>
        <v>0</v>
      </c>
      <c r="S81" s="287">
        <f>I81-R81</f>
        <v>0</v>
      </c>
      <c r="T81" s="288">
        <f>G81-I81</f>
        <v>0</v>
      </c>
      <c r="U81" s="289">
        <v>0</v>
      </c>
      <c r="V81" s="290" t="e">
        <f t="shared" si="1"/>
        <v>#DIV/0!</v>
      </c>
      <c r="X81" s="329"/>
      <c r="Y81" s="285"/>
      <c r="Z81" s="285"/>
      <c r="AA81" s="285"/>
      <c r="AB81" s="285"/>
      <c r="AC81" s="285"/>
      <c r="AD81" s="285"/>
      <c r="AE81" s="285"/>
    </row>
    <row r="82" spans="1:31" ht="18.95" customHeight="1">
      <c r="A82" s="312"/>
      <c r="B82" s="279"/>
      <c r="C82" s="280" t="s">
        <v>97</v>
      </c>
      <c r="D82" s="281" t="s">
        <v>43</v>
      </c>
      <c r="E82" s="282">
        <v>1070000</v>
      </c>
      <c r="F82" s="283"/>
      <c r="G82" s="282">
        <v>0</v>
      </c>
      <c r="H82" s="283"/>
      <c r="I82" s="284">
        <v>0</v>
      </c>
      <c r="J82" s="285">
        <v>0</v>
      </c>
      <c r="K82" s="285">
        <v>0</v>
      </c>
      <c r="L82" s="285">
        <v>0</v>
      </c>
      <c r="M82" s="285">
        <v>0</v>
      </c>
      <c r="N82" s="285">
        <v>0</v>
      </c>
      <c r="O82" s="285">
        <v>0</v>
      </c>
      <c r="P82" s="285">
        <v>0</v>
      </c>
      <c r="Q82" s="285">
        <v>0</v>
      </c>
      <c r="R82" s="286">
        <f>SUM(J82:Q82)</f>
        <v>0</v>
      </c>
      <c r="S82" s="287">
        <f>I82-R82</f>
        <v>0</v>
      </c>
      <c r="T82" s="288">
        <f>G82-I82</f>
        <v>0</v>
      </c>
      <c r="U82" s="289">
        <v>0</v>
      </c>
      <c r="V82" s="290" t="e">
        <f t="shared" si="1"/>
        <v>#DIV/0!</v>
      </c>
      <c r="X82" s="329"/>
      <c r="Y82" s="285"/>
      <c r="Z82" s="285"/>
      <c r="AA82" s="285"/>
      <c r="AB82" s="285"/>
      <c r="AC82" s="285"/>
      <c r="AD82" s="285"/>
      <c r="AE82" s="285"/>
    </row>
    <row r="83" spans="1:31" ht="18.95" customHeight="1">
      <c r="A83" s="313"/>
      <c r="B83" s="279"/>
      <c r="C83" s="280" t="s">
        <v>105</v>
      </c>
      <c r="D83" s="281" t="s">
        <v>43</v>
      </c>
      <c r="E83" s="282">
        <v>0</v>
      </c>
      <c r="F83" s="283"/>
      <c r="G83" s="282">
        <v>0</v>
      </c>
      <c r="H83" s="283"/>
      <c r="I83" s="284">
        <v>0</v>
      </c>
      <c r="J83" s="285">
        <v>0</v>
      </c>
      <c r="K83" s="285">
        <v>0</v>
      </c>
      <c r="L83" s="285">
        <v>0</v>
      </c>
      <c r="M83" s="285">
        <v>0</v>
      </c>
      <c r="N83" s="285">
        <v>0</v>
      </c>
      <c r="O83" s="285">
        <v>0</v>
      </c>
      <c r="P83" s="285">
        <v>0</v>
      </c>
      <c r="Q83" s="285">
        <v>0</v>
      </c>
      <c r="R83" s="286">
        <f>SUM(J83:Q83)</f>
        <v>0</v>
      </c>
      <c r="S83" s="287">
        <f>I83-R83</f>
        <v>0</v>
      </c>
      <c r="T83" s="288">
        <f>G83-I83</f>
        <v>0</v>
      </c>
      <c r="U83" s="289">
        <v>0</v>
      </c>
      <c r="V83" s="290" t="e">
        <f t="shared" si="1"/>
        <v>#DIV/0!</v>
      </c>
      <c r="X83" s="329"/>
      <c r="Y83" s="285"/>
      <c r="Z83" s="285"/>
      <c r="AA83" s="285"/>
      <c r="AB83" s="285"/>
      <c r="AC83" s="285"/>
      <c r="AD83" s="285"/>
      <c r="AE83" s="285"/>
    </row>
    <row r="84" spans="1:31" ht="18.95" customHeight="1">
      <c r="A84" s="314" t="s">
        <v>106</v>
      </c>
      <c r="B84" s="291" t="s">
        <v>38</v>
      </c>
      <c r="C84" s="292" t="s">
        <v>107</v>
      </c>
      <c r="D84" s="293" t="s">
        <v>40</v>
      </c>
      <c r="E84" s="294">
        <v>884700</v>
      </c>
      <c r="F84" s="295"/>
      <c r="G84" s="294">
        <v>1071750</v>
      </c>
      <c r="H84" s="295"/>
      <c r="I84" s="296">
        <v>1071750</v>
      </c>
      <c r="J84" s="273">
        <v>0</v>
      </c>
      <c r="K84" s="273">
        <v>0</v>
      </c>
      <c r="L84" s="273">
        <v>0</v>
      </c>
      <c r="M84" s="273">
        <v>0</v>
      </c>
      <c r="N84" s="273">
        <v>0</v>
      </c>
      <c r="O84" s="273">
        <v>0</v>
      </c>
      <c r="P84" s="273">
        <v>0</v>
      </c>
      <c r="Q84" s="273">
        <v>0</v>
      </c>
      <c r="R84" s="274">
        <f>SUM(J84:Q84)</f>
        <v>0</v>
      </c>
      <c r="S84" s="275">
        <f>I84-R84</f>
        <v>1071750</v>
      </c>
      <c r="T84" s="276">
        <f>G84-I84</f>
        <v>0</v>
      </c>
      <c r="U84" s="297">
        <v>8</v>
      </c>
      <c r="V84" s="278">
        <f t="shared" si="1"/>
        <v>0</v>
      </c>
      <c r="X84" s="328"/>
      <c r="Y84" s="273"/>
      <c r="Z84" s="273"/>
      <c r="AA84" s="273"/>
      <c r="AB84" s="273"/>
      <c r="AC84" s="273"/>
      <c r="AD84" s="273"/>
      <c r="AE84" s="273"/>
    </row>
    <row r="85" spans="1:31" ht="18.95" customHeight="1">
      <c r="A85" s="312"/>
      <c r="B85" s="279"/>
      <c r="C85" s="280" t="s">
        <v>107</v>
      </c>
      <c r="D85" s="281" t="s">
        <v>43</v>
      </c>
      <c r="E85" s="282">
        <v>0</v>
      </c>
      <c r="F85" s="283"/>
      <c r="G85" s="282">
        <v>0</v>
      </c>
      <c r="H85" s="283"/>
      <c r="I85" s="284">
        <v>0</v>
      </c>
      <c r="J85" s="285">
        <v>0</v>
      </c>
      <c r="K85" s="285">
        <v>0</v>
      </c>
      <c r="L85" s="285">
        <v>0</v>
      </c>
      <c r="M85" s="285">
        <v>0</v>
      </c>
      <c r="N85" s="285">
        <v>0</v>
      </c>
      <c r="O85" s="285">
        <v>0</v>
      </c>
      <c r="P85" s="285">
        <v>0</v>
      </c>
      <c r="Q85" s="285">
        <v>0</v>
      </c>
      <c r="R85" s="286">
        <f>SUM(J85:Q85)</f>
        <v>0</v>
      </c>
      <c r="S85" s="287">
        <f>I85-R85</f>
        <v>0</v>
      </c>
      <c r="T85" s="288">
        <f>G85-I85</f>
        <v>0</v>
      </c>
      <c r="U85" s="289">
        <v>0</v>
      </c>
      <c r="V85" s="290" t="e">
        <f t="shared" si="1"/>
        <v>#DIV/0!</v>
      </c>
      <c r="X85" s="329"/>
      <c r="Y85" s="285"/>
      <c r="Z85" s="285"/>
      <c r="AA85" s="285"/>
      <c r="AB85" s="285"/>
      <c r="AC85" s="285"/>
      <c r="AD85" s="285"/>
      <c r="AE85" s="285"/>
    </row>
    <row r="86" spans="1:31" ht="18.95" customHeight="1">
      <c r="A86" s="313"/>
      <c r="B86" s="279"/>
      <c r="C86" s="280" t="s">
        <v>108</v>
      </c>
      <c r="D86" s="281" t="s">
        <v>43</v>
      </c>
      <c r="E86" s="282">
        <v>0</v>
      </c>
      <c r="F86" s="283"/>
      <c r="G86" s="282">
        <v>0</v>
      </c>
      <c r="H86" s="283"/>
      <c r="I86" s="284">
        <v>0</v>
      </c>
      <c r="J86" s="285">
        <v>0</v>
      </c>
      <c r="K86" s="285">
        <v>0</v>
      </c>
      <c r="L86" s="285">
        <v>0</v>
      </c>
      <c r="M86" s="285">
        <v>0</v>
      </c>
      <c r="N86" s="285">
        <v>0</v>
      </c>
      <c r="O86" s="285">
        <v>0</v>
      </c>
      <c r="P86" s="285">
        <v>0</v>
      </c>
      <c r="Q86" s="285">
        <v>0</v>
      </c>
      <c r="R86" s="286">
        <f>SUM(J86:Q86)</f>
        <v>0</v>
      </c>
      <c r="S86" s="287">
        <f>I86-R86</f>
        <v>0</v>
      </c>
      <c r="T86" s="288">
        <f>G86-I86</f>
        <v>0</v>
      </c>
      <c r="U86" s="289">
        <v>0</v>
      </c>
      <c r="V86" s="290" t="e">
        <f t="shared" si="1"/>
        <v>#DIV/0!</v>
      </c>
      <c r="X86" s="329"/>
      <c r="Y86" s="285"/>
      <c r="Z86" s="285"/>
      <c r="AA86" s="285"/>
      <c r="AB86" s="285"/>
      <c r="AC86" s="285"/>
      <c r="AD86" s="285"/>
      <c r="AE86" s="285"/>
    </row>
    <row r="87" spans="1:31" ht="18.95" customHeight="1">
      <c r="A87" s="314" t="s">
        <v>109</v>
      </c>
      <c r="B87" s="291" t="s">
        <v>38</v>
      </c>
      <c r="C87" s="292" t="s">
        <v>110</v>
      </c>
      <c r="D87" s="293" t="s">
        <v>40</v>
      </c>
      <c r="E87" s="294">
        <v>4145400</v>
      </c>
      <c r="F87" s="295"/>
      <c r="G87" s="294">
        <v>4604830</v>
      </c>
      <c r="H87" s="295"/>
      <c r="I87" s="296">
        <v>4545390</v>
      </c>
      <c r="J87" s="273">
        <v>0</v>
      </c>
      <c r="K87" s="273">
        <v>0</v>
      </c>
      <c r="L87" s="273">
        <v>2800000</v>
      </c>
      <c r="M87" s="273">
        <v>0</v>
      </c>
      <c r="N87" s="273">
        <v>0</v>
      </c>
      <c r="O87" s="273">
        <v>1141700</v>
      </c>
      <c r="P87" s="273">
        <v>0</v>
      </c>
      <c r="Q87" s="273">
        <v>0</v>
      </c>
      <c r="R87" s="274">
        <f>SUM(J87:Q87)</f>
        <v>3941700</v>
      </c>
      <c r="S87" s="275">
        <f>I87-R87</f>
        <v>603690</v>
      </c>
      <c r="T87" s="276">
        <f>G87-I87</f>
        <v>59440</v>
      </c>
      <c r="U87" s="297">
        <v>2</v>
      </c>
      <c r="V87" s="278">
        <f t="shared" si="1"/>
        <v>1970850</v>
      </c>
      <c r="X87" s="328"/>
      <c r="Y87" s="273"/>
      <c r="Z87" s="273"/>
      <c r="AA87" s="273"/>
      <c r="AB87" s="273"/>
      <c r="AC87" s="273"/>
      <c r="AD87" s="273"/>
      <c r="AE87" s="273"/>
    </row>
    <row r="88" spans="1:31" ht="18.95" customHeight="1">
      <c r="A88" s="312"/>
      <c r="B88" s="279" t="s">
        <v>38</v>
      </c>
      <c r="C88" s="280" t="s">
        <v>110</v>
      </c>
      <c r="D88" s="281" t="s">
        <v>43</v>
      </c>
      <c r="E88" s="282">
        <v>0</v>
      </c>
      <c r="F88" s="283"/>
      <c r="G88" s="282">
        <v>0</v>
      </c>
      <c r="H88" s="283"/>
      <c r="I88" s="284">
        <v>0</v>
      </c>
      <c r="J88" s="285">
        <v>0</v>
      </c>
      <c r="K88" s="285">
        <v>0</v>
      </c>
      <c r="L88" s="285">
        <v>0</v>
      </c>
      <c r="M88" s="285">
        <v>0</v>
      </c>
      <c r="N88" s="285">
        <v>-158100</v>
      </c>
      <c r="O88" s="285">
        <v>-479500</v>
      </c>
      <c r="P88" s="285">
        <v>-727180</v>
      </c>
      <c r="Q88" s="285">
        <v>0</v>
      </c>
      <c r="R88" s="286">
        <f>SUM(J88:Q88)</f>
        <v>-1364780</v>
      </c>
      <c r="S88" s="287">
        <f>I88-R88</f>
        <v>1364780</v>
      </c>
      <c r="T88" s="288">
        <f>G88-I88</f>
        <v>0</v>
      </c>
      <c r="U88" s="289">
        <v>0</v>
      </c>
      <c r="V88" s="290" t="e">
        <f t="shared" si="1"/>
        <v>#DIV/0!</v>
      </c>
      <c r="X88" s="329"/>
      <c r="Y88" s="285"/>
      <c r="Z88" s="285"/>
      <c r="AA88" s="285"/>
      <c r="AB88" s="285"/>
      <c r="AC88" s="285"/>
      <c r="AD88" s="285"/>
      <c r="AE88" s="285"/>
    </row>
    <row r="89" spans="1:31" ht="18.95" customHeight="1">
      <c r="A89" s="312"/>
      <c r="B89" s="279" t="s">
        <v>38</v>
      </c>
      <c r="C89" s="280" t="s">
        <v>111</v>
      </c>
      <c r="D89" s="281" t="s">
        <v>40</v>
      </c>
      <c r="E89" s="282">
        <v>4275800</v>
      </c>
      <c r="F89" s="283"/>
      <c r="G89" s="282">
        <v>4366500</v>
      </c>
      <c r="H89" s="283"/>
      <c r="I89" s="284">
        <v>4366500</v>
      </c>
      <c r="J89" s="285">
        <v>0</v>
      </c>
      <c r="K89" s="285">
        <v>0</v>
      </c>
      <c r="L89" s="285">
        <v>0</v>
      </c>
      <c r="M89" s="285">
        <v>1840000</v>
      </c>
      <c r="N89" s="285">
        <v>1860000</v>
      </c>
      <c r="O89" s="285">
        <v>0</v>
      </c>
      <c r="P89" s="285">
        <v>0</v>
      </c>
      <c r="Q89" s="285">
        <v>0</v>
      </c>
      <c r="R89" s="286">
        <f>SUM(J89:Q89)</f>
        <v>3700000</v>
      </c>
      <c r="S89" s="287">
        <f>I89-R89</f>
        <v>666500</v>
      </c>
      <c r="T89" s="288">
        <f>G89-I89</f>
        <v>0</v>
      </c>
      <c r="U89" s="289">
        <v>21</v>
      </c>
      <c r="V89" s="290">
        <f t="shared" si="1"/>
        <v>176190.47619047618</v>
      </c>
      <c r="X89" s="329"/>
      <c r="Y89" s="285"/>
      <c r="Z89" s="285"/>
      <c r="AA89" s="285"/>
      <c r="AB89" s="285"/>
      <c r="AC89" s="285"/>
      <c r="AD89" s="285"/>
      <c r="AE89" s="285"/>
    </row>
    <row r="90" spans="1:31" ht="18.95" customHeight="1">
      <c r="A90" s="312"/>
      <c r="B90" s="279" t="s">
        <v>53</v>
      </c>
      <c r="C90" s="280" t="s">
        <v>112</v>
      </c>
      <c r="D90" s="281" t="s">
        <v>43</v>
      </c>
      <c r="E90" s="282">
        <v>0</v>
      </c>
      <c r="F90" s="283"/>
      <c r="G90" s="282">
        <v>0</v>
      </c>
      <c r="H90" s="283"/>
      <c r="I90" s="284">
        <v>0</v>
      </c>
      <c r="J90" s="285">
        <v>0</v>
      </c>
      <c r="K90" s="285">
        <v>0</v>
      </c>
      <c r="L90" s="285">
        <v>0</v>
      </c>
      <c r="M90" s="285">
        <v>149560</v>
      </c>
      <c r="N90" s="285">
        <v>803080</v>
      </c>
      <c r="O90" s="285">
        <v>688060</v>
      </c>
      <c r="P90" s="285">
        <v>0</v>
      </c>
      <c r="Q90" s="285">
        <v>0</v>
      </c>
      <c r="R90" s="286">
        <f>SUM(J90:Q90)</f>
        <v>1640700</v>
      </c>
      <c r="S90" s="287">
        <f>I90-R90</f>
        <v>-1640700</v>
      </c>
      <c r="T90" s="288">
        <f>G90-I90</f>
        <v>0</v>
      </c>
      <c r="U90" s="289">
        <v>0</v>
      </c>
      <c r="V90" s="290" t="e">
        <f t="shared" si="1"/>
        <v>#DIV/0!</v>
      </c>
      <c r="X90" s="329"/>
      <c r="Y90" s="285"/>
      <c r="Z90" s="285"/>
      <c r="AA90" s="285"/>
      <c r="AB90" s="285"/>
      <c r="AC90" s="285"/>
      <c r="AD90" s="285"/>
      <c r="AE90" s="285"/>
    </row>
    <row r="91" spans="1:31" ht="18.95" customHeight="1">
      <c r="A91" s="312"/>
      <c r="B91" s="279" t="s">
        <v>102</v>
      </c>
      <c r="C91" s="280" t="s">
        <v>110</v>
      </c>
      <c r="D91" s="281" t="s">
        <v>43</v>
      </c>
      <c r="E91" s="282">
        <v>0</v>
      </c>
      <c r="F91" s="283"/>
      <c r="G91" s="282">
        <v>0</v>
      </c>
      <c r="H91" s="283"/>
      <c r="I91" s="284">
        <v>0</v>
      </c>
      <c r="J91" s="285">
        <v>0</v>
      </c>
      <c r="K91" s="285">
        <v>0</v>
      </c>
      <c r="L91" s="285">
        <v>0</v>
      </c>
      <c r="M91" s="285">
        <v>0</v>
      </c>
      <c r="N91" s="285">
        <v>0</v>
      </c>
      <c r="O91" s="285">
        <v>-368600</v>
      </c>
      <c r="P91" s="285">
        <v>0</v>
      </c>
      <c r="Q91" s="285">
        <v>0</v>
      </c>
      <c r="R91" s="286">
        <f>SUM(J91:Q91)</f>
        <v>-368600</v>
      </c>
      <c r="S91" s="287">
        <f>I91-R91</f>
        <v>368600</v>
      </c>
      <c r="T91" s="288">
        <f>G91-I91</f>
        <v>0</v>
      </c>
      <c r="U91" s="289">
        <v>0</v>
      </c>
      <c r="V91" s="290" t="e">
        <f t="shared" si="1"/>
        <v>#DIV/0!</v>
      </c>
      <c r="X91" s="329"/>
      <c r="Y91" s="285"/>
      <c r="Z91" s="285"/>
      <c r="AA91" s="285"/>
      <c r="AB91" s="285"/>
      <c r="AC91" s="285"/>
      <c r="AD91" s="285"/>
      <c r="AE91" s="285"/>
    </row>
    <row r="92" spans="1:31" ht="18.95" customHeight="1">
      <c r="A92" s="312"/>
      <c r="B92" s="279"/>
      <c r="C92" s="280" t="s">
        <v>110</v>
      </c>
      <c r="D92" s="281" t="s">
        <v>43</v>
      </c>
      <c r="E92" s="282">
        <v>81200</v>
      </c>
      <c r="F92" s="283"/>
      <c r="G92" s="282">
        <v>0</v>
      </c>
      <c r="H92" s="283"/>
      <c r="I92" s="284">
        <v>0</v>
      </c>
      <c r="J92" s="285">
        <v>0</v>
      </c>
      <c r="K92" s="285">
        <v>0</v>
      </c>
      <c r="L92" s="285">
        <v>0</v>
      </c>
      <c r="M92" s="285">
        <v>0</v>
      </c>
      <c r="N92" s="285">
        <v>0</v>
      </c>
      <c r="O92" s="285">
        <v>0</v>
      </c>
      <c r="P92" s="285">
        <v>0</v>
      </c>
      <c r="Q92" s="285">
        <v>0</v>
      </c>
      <c r="R92" s="286">
        <f>SUM(J92:Q92)</f>
        <v>0</v>
      </c>
      <c r="S92" s="287">
        <f>I92-R92</f>
        <v>0</v>
      </c>
      <c r="T92" s="288">
        <f>G92-I92</f>
        <v>0</v>
      </c>
      <c r="U92" s="289">
        <v>0</v>
      </c>
      <c r="V92" s="290" t="e">
        <f t="shared" si="1"/>
        <v>#DIV/0!</v>
      </c>
      <c r="X92" s="329"/>
      <c r="Y92" s="285"/>
      <c r="Z92" s="285"/>
      <c r="AA92" s="285"/>
      <c r="AB92" s="285"/>
      <c r="AC92" s="285"/>
      <c r="AD92" s="285"/>
      <c r="AE92" s="285"/>
    </row>
    <row r="93" spans="1:31" ht="18.95" customHeight="1">
      <c r="A93" s="312"/>
      <c r="B93" s="279"/>
      <c r="C93" s="280" t="s">
        <v>112</v>
      </c>
      <c r="D93" s="281" t="s">
        <v>43</v>
      </c>
      <c r="E93" s="282">
        <v>0</v>
      </c>
      <c r="F93" s="283"/>
      <c r="G93" s="282">
        <v>0</v>
      </c>
      <c r="H93" s="283"/>
      <c r="I93" s="284">
        <v>0</v>
      </c>
      <c r="J93" s="285">
        <v>0</v>
      </c>
      <c r="K93" s="285">
        <v>0</v>
      </c>
      <c r="L93" s="285">
        <v>0</v>
      </c>
      <c r="M93" s="285">
        <v>0</v>
      </c>
      <c r="N93" s="285">
        <v>0</v>
      </c>
      <c r="O93" s="285">
        <v>0</v>
      </c>
      <c r="P93" s="285">
        <v>0</v>
      </c>
      <c r="Q93" s="285">
        <v>0</v>
      </c>
      <c r="R93" s="286">
        <f>SUM(J93:Q93)</f>
        <v>0</v>
      </c>
      <c r="S93" s="287">
        <f>I93-R93</f>
        <v>0</v>
      </c>
      <c r="T93" s="288">
        <f>G93-I93</f>
        <v>0</v>
      </c>
      <c r="U93" s="289">
        <v>0</v>
      </c>
      <c r="V93" s="290" t="e">
        <f t="shared" si="1"/>
        <v>#DIV/0!</v>
      </c>
      <c r="X93" s="329"/>
      <c r="Y93" s="285"/>
      <c r="Z93" s="285"/>
      <c r="AA93" s="285"/>
      <c r="AB93" s="285"/>
      <c r="AC93" s="285"/>
      <c r="AD93" s="285"/>
      <c r="AE93" s="285"/>
    </row>
    <row r="94" spans="1:31" ht="18.95" customHeight="1">
      <c r="A94" s="312"/>
      <c r="B94" s="279"/>
      <c r="C94" s="280" t="s">
        <v>111</v>
      </c>
      <c r="D94" s="281" t="s">
        <v>43</v>
      </c>
      <c r="E94" s="282">
        <v>0</v>
      </c>
      <c r="F94" s="283"/>
      <c r="G94" s="282">
        <v>0</v>
      </c>
      <c r="H94" s="283"/>
      <c r="I94" s="284">
        <v>0</v>
      </c>
      <c r="J94" s="285">
        <v>0</v>
      </c>
      <c r="K94" s="285">
        <v>0</v>
      </c>
      <c r="L94" s="285">
        <v>0</v>
      </c>
      <c r="M94" s="285">
        <v>0</v>
      </c>
      <c r="N94" s="285">
        <v>0</v>
      </c>
      <c r="O94" s="285">
        <v>0</v>
      </c>
      <c r="P94" s="285">
        <v>0</v>
      </c>
      <c r="Q94" s="285">
        <v>0</v>
      </c>
      <c r="R94" s="286">
        <f>SUM(J94:Q94)</f>
        <v>0</v>
      </c>
      <c r="S94" s="287">
        <f>I94-R94</f>
        <v>0</v>
      </c>
      <c r="T94" s="288">
        <f>G94-I94</f>
        <v>0</v>
      </c>
      <c r="U94" s="289">
        <v>0</v>
      </c>
      <c r="V94" s="290" t="e">
        <f t="shared" si="1"/>
        <v>#DIV/0!</v>
      </c>
      <c r="X94" s="329"/>
      <c r="Y94" s="285"/>
      <c r="Z94" s="285"/>
      <c r="AA94" s="285"/>
      <c r="AB94" s="285"/>
      <c r="AC94" s="285"/>
      <c r="AD94" s="285"/>
      <c r="AE94" s="285"/>
    </row>
    <row r="95" spans="1:31" ht="18.95" customHeight="1">
      <c r="A95" s="313"/>
      <c r="B95" s="279"/>
      <c r="C95" s="280" t="s">
        <v>113</v>
      </c>
      <c r="D95" s="281" t="s">
        <v>43</v>
      </c>
      <c r="E95" s="282">
        <v>0</v>
      </c>
      <c r="F95" s="283"/>
      <c r="G95" s="282">
        <v>0</v>
      </c>
      <c r="H95" s="283"/>
      <c r="I95" s="284">
        <v>0</v>
      </c>
      <c r="J95" s="285">
        <v>0</v>
      </c>
      <c r="K95" s="285">
        <v>0</v>
      </c>
      <c r="L95" s="285">
        <v>0</v>
      </c>
      <c r="M95" s="285">
        <v>0</v>
      </c>
      <c r="N95" s="285">
        <v>0</v>
      </c>
      <c r="O95" s="285">
        <v>0</v>
      </c>
      <c r="P95" s="285">
        <v>0</v>
      </c>
      <c r="Q95" s="285">
        <v>0</v>
      </c>
      <c r="R95" s="286">
        <f>SUM(J95:Q95)</f>
        <v>0</v>
      </c>
      <c r="S95" s="287">
        <f>I95-R95</f>
        <v>0</v>
      </c>
      <c r="T95" s="288">
        <f>G95-I95</f>
        <v>0</v>
      </c>
      <c r="U95" s="289">
        <v>0</v>
      </c>
      <c r="V95" s="290" t="e">
        <f t="shared" si="1"/>
        <v>#DIV/0!</v>
      </c>
      <c r="X95" s="329"/>
      <c r="Y95" s="285"/>
      <c r="Z95" s="285"/>
      <c r="AA95" s="285"/>
      <c r="AB95" s="285"/>
      <c r="AC95" s="285"/>
      <c r="AD95" s="285"/>
      <c r="AE95" s="285"/>
    </row>
    <row r="96" spans="1:31" ht="18.95" customHeight="1">
      <c r="A96" s="314" t="s">
        <v>114</v>
      </c>
      <c r="B96" s="291" t="s">
        <v>38</v>
      </c>
      <c r="C96" s="292" t="s">
        <v>115</v>
      </c>
      <c r="D96" s="293" t="s">
        <v>40</v>
      </c>
      <c r="E96" s="294">
        <v>2843500</v>
      </c>
      <c r="F96" s="295"/>
      <c r="G96" s="294">
        <v>3056300</v>
      </c>
      <c r="H96" s="295"/>
      <c r="I96" s="296">
        <v>3056300</v>
      </c>
      <c r="J96" s="273">
        <v>0</v>
      </c>
      <c r="K96" s="273">
        <v>0</v>
      </c>
      <c r="L96" s="273">
        <v>0</v>
      </c>
      <c r="M96" s="273">
        <v>0</v>
      </c>
      <c r="N96" s="273">
        <v>0</v>
      </c>
      <c r="O96" s="273">
        <v>3056300</v>
      </c>
      <c r="P96" s="273">
        <v>0</v>
      </c>
      <c r="Q96" s="273">
        <v>0</v>
      </c>
      <c r="R96" s="274">
        <f>SUM(J96:Q96)</f>
        <v>3056300</v>
      </c>
      <c r="S96" s="275">
        <f>I96-R96</f>
        <v>0</v>
      </c>
      <c r="T96" s="276">
        <f>G96-I96</f>
        <v>0</v>
      </c>
      <c r="U96" s="297">
        <v>0</v>
      </c>
      <c r="V96" s="278" t="e">
        <f t="shared" si="1"/>
        <v>#DIV/0!</v>
      </c>
      <c r="X96" s="328"/>
      <c r="Y96" s="273"/>
      <c r="Z96" s="273"/>
      <c r="AA96" s="273"/>
      <c r="AB96" s="273"/>
      <c r="AC96" s="273"/>
      <c r="AD96" s="273"/>
      <c r="AE96" s="273"/>
    </row>
    <row r="97" spans="1:31" ht="18.95" customHeight="1">
      <c r="A97" s="312"/>
      <c r="B97" s="279" t="s">
        <v>38</v>
      </c>
      <c r="C97" s="280" t="s">
        <v>116</v>
      </c>
      <c r="D97" s="281" t="s">
        <v>40</v>
      </c>
      <c r="E97" s="282">
        <v>3837900</v>
      </c>
      <c r="F97" s="283"/>
      <c r="G97" s="282">
        <v>3892000</v>
      </c>
      <c r="H97" s="283"/>
      <c r="I97" s="284">
        <v>3892000</v>
      </c>
      <c r="J97" s="285">
        <v>0</v>
      </c>
      <c r="K97" s="285">
        <v>0</v>
      </c>
      <c r="L97" s="285">
        <v>0</v>
      </c>
      <c r="M97" s="285">
        <v>0</v>
      </c>
      <c r="N97" s="285">
        <v>0</v>
      </c>
      <c r="O97" s="285">
        <v>3892000</v>
      </c>
      <c r="P97" s="285">
        <v>0</v>
      </c>
      <c r="Q97" s="285">
        <v>0</v>
      </c>
      <c r="R97" s="286">
        <f>SUM(J97:Q97)</f>
        <v>3892000</v>
      </c>
      <c r="S97" s="287">
        <f>I97-R97</f>
        <v>0</v>
      </c>
      <c r="T97" s="288">
        <f>G97-I97</f>
        <v>0</v>
      </c>
      <c r="U97" s="289">
        <v>17</v>
      </c>
      <c r="V97" s="290">
        <f t="shared" si="1"/>
        <v>228941.17647058822</v>
      </c>
      <c r="X97" s="329"/>
      <c r="Y97" s="285"/>
      <c r="Z97" s="285"/>
      <c r="AA97" s="285"/>
      <c r="AB97" s="285"/>
      <c r="AC97" s="285"/>
      <c r="AD97" s="285"/>
      <c r="AE97" s="285"/>
    </row>
    <row r="98" spans="1:31" ht="18.95" customHeight="1">
      <c r="A98" s="312"/>
      <c r="B98" s="279"/>
      <c r="C98" s="280" t="s">
        <v>115</v>
      </c>
      <c r="D98" s="281" t="s">
        <v>43</v>
      </c>
      <c r="E98" s="282">
        <v>62300</v>
      </c>
      <c r="F98" s="283"/>
      <c r="G98" s="282">
        <v>0</v>
      </c>
      <c r="H98" s="283"/>
      <c r="I98" s="284">
        <v>0</v>
      </c>
      <c r="J98" s="285">
        <v>0</v>
      </c>
      <c r="K98" s="285">
        <v>0</v>
      </c>
      <c r="L98" s="285">
        <v>0</v>
      </c>
      <c r="M98" s="285">
        <v>0</v>
      </c>
      <c r="N98" s="285">
        <v>0</v>
      </c>
      <c r="O98" s="285">
        <v>0</v>
      </c>
      <c r="P98" s="285">
        <v>0</v>
      </c>
      <c r="Q98" s="285">
        <v>0</v>
      </c>
      <c r="R98" s="286">
        <f>SUM(J98:Q98)</f>
        <v>0</v>
      </c>
      <c r="S98" s="287">
        <f>I98-R98</f>
        <v>0</v>
      </c>
      <c r="T98" s="288">
        <f>G98-I98</f>
        <v>0</v>
      </c>
      <c r="U98" s="289">
        <v>0</v>
      </c>
      <c r="V98" s="290" t="e">
        <f t="shared" si="1"/>
        <v>#DIV/0!</v>
      </c>
      <c r="X98" s="329"/>
      <c r="Y98" s="285"/>
      <c r="Z98" s="285"/>
      <c r="AA98" s="285"/>
      <c r="AB98" s="285"/>
      <c r="AC98" s="285"/>
      <c r="AD98" s="285"/>
      <c r="AE98" s="285"/>
    </row>
    <row r="99" spans="1:31" ht="18.95" customHeight="1">
      <c r="A99" s="312"/>
      <c r="B99" s="279"/>
      <c r="C99" s="280" t="s">
        <v>117</v>
      </c>
      <c r="D99" s="281" t="s">
        <v>43</v>
      </c>
      <c r="E99" s="282">
        <v>0</v>
      </c>
      <c r="F99" s="283"/>
      <c r="G99" s="282">
        <v>0</v>
      </c>
      <c r="H99" s="283"/>
      <c r="I99" s="284">
        <v>0</v>
      </c>
      <c r="J99" s="285">
        <v>0</v>
      </c>
      <c r="K99" s="285">
        <v>0</v>
      </c>
      <c r="L99" s="285">
        <v>0</v>
      </c>
      <c r="M99" s="285">
        <v>0</v>
      </c>
      <c r="N99" s="285">
        <v>0</v>
      </c>
      <c r="O99" s="285">
        <v>0</v>
      </c>
      <c r="P99" s="285">
        <v>0</v>
      </c>
      <c r="Q99" s="285">
        <v>0</v>
      </c>
      <c r="R99" s="286">
        <f>SUM(J99:Q99)</f>
        <v>0</v>
      </c>
      <c r="S99" s="287">
        <f>I99-R99</f>
        <v>0</v>
      </c>
      <c r="T99" s="288">
        <f>G99-I99</f>
        <v>0</v>
      </c>
      <c r="U99" s="289">
        <v>0</v>
      </c>
      <c r="V99" s="290" t="e">
        <f t="shared" si="1"/>
        <v>#DIV/0!</v>
      </c>
      <c r="X99" s="329"/>
      <c r="Y99" s="285"/>
      <c r="Z99" s="285"/>
      <c r="AA99" s="285"/>
      <c r="AB99" s="285"/>
      <c r="AC99" s="285"/>
      <c r="AD99" s="285"/>
      <c r="AE99" s="285"/>
    </row>
    <row r="100" spans="1:31" ht="18.95" customHeight="1">
      <c r="A100" s="312"/>
      <c r="B100" s="279"/>
      <c r="C100" s="280" t="s">
        <v>116</v>
      </c>
      <c r="D100" s="281" t="s">
        <v>43</v>
      </c>
      <c r="E100" s="282">
        <v>0</v>
      </c>
      <c r="F100" s="283"/>
      <c r="G100" s="282">
        <v>0</v>
      </c>
      <c r="H100" s="283"/>
      <c r="I100" s="284">
        <v>0</v>
      </c>
      <c r="J100" s="285">
        <v>0</v>
      </c>
      <c r="K100" s="285">
        <v>0</v>
      </c>
      <c r="L100" s="285">
        <v>0</v>
      </c>
      <c r="M100" s="285">
        <v>0</v>
      </c>
      <c r="N100" s="285">
        <v>0</v>
      </c>
      <c r="O100" s="285">
        <v>0</v>
      </c>
      <c r="P100" s="285">
        <v>0</v>
      </c>
      <c r="Q100" s="285">
        <v>0</v>
      </c>
      <c r="R100" s="286">
        <f>SUM(J100:Q100)</f>
        <v>0</v>
      </c>
      <c r="S100" s="287">
        <f>I100-R100</f>
        <v>0</v>
      </c>
      <c r="T100" s="288">
        <f>G100-I100</f>
        <v>0</v>
      </c>
      <c r="U100" s="289">
        <v>0</v>
      </c>
      <c r="V100" s="290" t="e">
        <f t="shared" si="1"/>
        <v>#DIV/0!</v>
      </c>
      <c r="X100" s="329"/>
      <c r="Y100" s="285"/>
      <c r="Z100" s="285"/>
      <c r="AA100" s="285"/>
      <c r="AB100" s="285"/>
      <c r="AC100" s="285"/>
      <c r="AD100" s="285"/>
      <c r="AE100" s="285"/>
    </row>
    <row r="101" spans="1:31" ht="18.95" customHeight="1">
      <c r="A101" s="313"/>
      <c r="B101" s="279"/>
      <c r="C101" s="280" t="s">
        <v>118</v>
      </c>
      <c r="D101" s="281" t="s">
        <v>43</v>
      </c>
      <c r="E101" s="282">
        <v>0</v>
      </c>
      <c r="F101" s="283"/>
      <c r="G101" s="282">
        <v>0</v>
      </c>
      <c r="H101" s="283"/>
      <c r="I101" s="284">
        <v>0</v>
      </c>
      <c r="J101" s="285">
        <v>0</v>
      </c>
      <c r="K101" s="285">
        <v>0</v>
      </c>
      <c r="L101" s="285">
        <v>0</v>
      </c>
      <c r="M101" s="285">
        <v>0</v>
      </c>
      <c r="N101" s="285">
        <v>0</v>
      </c>
      <c r="O101" s="285">
        <v>0</v>
      </c>
      <c r="P101" s="285">
        <v>0</v>
      </c>
      <c r="Q101" s="285">
        <v>0</v>
      </c>
      <c r="R101" s="286">
        <f>SUM(J101:Q101)</f>
        <v>0</v>
      </c>
      <c r="S101" s="287">
        <f>I101-R101</f>
        <v>0</v>
      </c>
      <c r="T101" s="288">
        <f>G101-I101</f>
        <v>0</v>
      </c>
      <c r="U101" s="289">
        <v>0</v>
      </c>
      <c r="V101" s="290" t="e">
        <f t="shared" si="1"/>
        <v>#DIV/0!</v>
      </c>
      <c r="X101" s="329"/>
      <c r="Y101" s="285"/>
      <c r="Z101" s="285"/>
      <c r="AA101" s="285"/>
      <c r="AB101" s="285"/>
      <c r="AC101" s="285"/>
      <c r="AD101" s="285"/>
      <c r="AE101" s="285"/>
    </row>
    <row r="102" spans="1:31" ht="18.95" customHeight="1">
      <c r="A102" s="314" t="s">
        <v>119</v>
      </c>
      <c r="B102" s="291" t="s">
        <v>38</v>
      </c>
      <c r="C102" s="292" t="s">
        <v>120</v>
      </c>
      <c r="D102" s="293" t="s">
        <v>40</v>
      </c>
      <c r="E102" s="294">
        <v>1539000</v>
      </c>
      <c r="F102" s="295"/>
      <c r="G102" s="294">
        <v>1556560</v>
      </c>
      <c r="H102" s="295"/>
      <c r="I102" s="296">
        <v>1556560</v>
      </c>
      <c r="J102" s="273">
        <v>0</v>
      </c>
      <c r="K102" s="273">
        <v>0</v>
      </c>
      <c r="L102" s="273">
        <v>0</v>
      </c>
      <c r="M102" s="273">
        <v>0</v>
      </c>
      <c r="N102" s="273">
        <v>0</v>
      </c>
      <c r="O102" s="273">
        <v>0</v>
      </c>
      <c r="P102" s="273">
        <v>0</v>
      </c>
      <c r="Q102" s="273">
        <v>0</v>
      </c>
      <c r="R102" s="274">
        <f>SUM(J102:Q102)</f>
        <v>0</v>
      </c>
      <c r="S102" s="275">
        <f>I102-R102</f>
        <v>1556560</v>
      </c>
      <c r="T102" s="276">
        <f>G102-I102</f>
        <v>0</v>
      </c>
      <c r="U102" s="297">
        <v>0</v>
      </c>
      <c r="V102" s="278" t="e">
        <f t="shared" si="1"/>
        <v>#DIV/0!</v>
      </c>
      <c r="X102" s="328"/>
      <c r="Y102" s="273"/>
      <c r="Z102" s="273"/>
      <c r="AA102" s="273"/>
      <c r="AB102" s="273"/>
      <c r="AC102" s="273"/>
      <c r="AD102" s="273"/>
      <c r="AE102" s="273"/>
    </row>
    <row r="103" spans="1:31" ht="18.95" customHeight="1">
      <c r="A103" s="312"/>
      <c r="B103" s="279"/>
      <c r="C103" s="280" t="s">
        <v>120</v>
      </c>
      <c r="D103" s="281" t="s">
        <v>43</v>
      </c>
      <c r="E103" s="282">
        <v>0</v>
      </c>
      <c r="F103" s="283"/>
      <c r="G103" s="282">
        <v>0</v>
      </c>
      <c r="H103" s="283"/>
      <c r="I103" s="284">
        <v>0</v>
      </c>
      <c r="J103" s="285">
        <v>0</v>
      </c>
      <c r="K103" s="285">
        <v>0</v>
      </c>
      <c r="L103" s="285">
        <v>0</v>
      </c>
      <c r="M103" s="285">
        <v>0</v>
      </c>
      <c r="N103" s="285">
        <v>0</v>
      </c>
      <c r="O103" s="285">
        <v>0</v>
      </c>
      <c r="P103" s="285">
        <v>0</v>
      </c>
      <c r="Q103" s="285">
        <v>0</v>
      </c>
      <c r="R103" s="286">
        <f>SUM(J103:Q103)</f>
        <v>0</v>
      </c>
      <c r="S103" s="287">
        <f>I103-R103</f>
        <v>0</v>
      </c>
      <c r="T103" s="288">
        <f>G103-I103</f>
        <v>0</v>
      </c>
      <c r="U103" s="289">
        <v>0</v>
      </c>
      <c r="V103" s="290" t="e">
        <f t="shared" si="1"/>
        <v>#DIV/0!</v>
      </c>
      <c r="X103" s="329"/>
      <c r="Y103" s="285"/>
      <c r="Z103" s="285"/>
      <c r="AA103" s="285"/>
      <c r="AB103" s="285"/>
      <c r="AC103" s="285"/>
      <c r="AD103" s="285"/>
      <c r="AE103" s="285"/>
    </row>
    <row r="104" spans="1:31" ht="18.95" customHeight="1">
      <c r="A104" s="313"/>
      <c r="B104" s="279"/>
      <c r="C104" s="280" t="s">
        <v>121</v>
      </c>
      <c r="D104" s="281" t="s">
        <v>43</v>
      </c>
      <c r="E104" s="282">
        <v>0</v>
      </c>
      <c r="F104" s="283"/>
      <c r="G104" s="282">
        <v>0</v>
      </c>
      <c r="H104" s="283"/>
      <c r="I104" s="284">
        <v>0</v>
      </c>
      <c r="J104" s="285">
        <v>0</v>
      </c>
      <c r="K104" s="285">
        <v>0</v>
      </c>
      <c r="L104" s="285">
        <v>0</v>
      </c>
      <c r="M104" s="285">
        <v>0</v>
      </c>
      <c r="N104" s="285">
        <v>0</v>
      </c>
      <c r="O104" s="285">
        <v>0</v>
      </c>
      <c r="P104" s="285">
        <v>0</v>
      </c>
      <c r="Q104" s="285">
        <v>0</v>
      </c>
      <c r="R104" s="286">
        <f>SUM(J104:Q104)</f>
        <v>0</v>
      </c>
      <c r="S104" s="287">
        <f>I104-R104</f>
        <v>0</v>
      </c>
      <c r="T104" s="288">
        <f>G104-I104</f>
        <v>0</v>
      </c>
      <c r="U104" s="289">
        <v>0</v>
      </c>
      <c r="V104" s="290" t="e">
        <f t="shared" si="1"/>
        <v>#DIV/0!</v>
      </c>
      <c r="X104" s="329"/>
      <c r="Y104" s="285"/>
      <c r="Z104" s="285"/>
      <c r="AA104" s="285"/>
      <c r="AB104" s="285"/>
      <c r="AC104" s="285"/>
      <c r="AD104" s="285"/>
      <c r="AE104" s="285"/>
    </row>
    <row r="105" spans="1:31" ht="18.95" customHeight="1">
      <c r="A105" s="314" t="s">
        <v>122</v>
      </c>
      <c r="B105" s="291" t="s">
        <v>38</v>
      </c>
      <c r="C105" s="292" t="s">
        <v>123</v>
      </c>
      <c r="D105" s="293" t="s">
        <v>40</v>
      </c>
      <c r="E105" s="294">
        <v>2525000</v>
      </c>
      <c r="F105" s="295"/>
      <c r="G105" s="294">
        <v>3351500</v>
      </c>
      <c r="H105" s="295"/>
      <c r="I105" s="296">
        <v>2851450</v>
      </c>
      <c r="J105" s="273">
        <v>0</v>
      </c>
      <c r="K105" s="273">
        <v>0</v>
      </c>
      <c r="L105" s="273">
        <v>600000</v>
      </c>
      <c r="M105" s="273">
        <v>90000</v>
      </c>
      <c r="N105" s="273">
        <v>0</v>
      </c>
      <c r="O105" s="273">
        <v>690000</v>
      </c>
      <c r="P105" s="273">
        <v>0</v>
      </c>
      <c r="Q105" s="273">
        <v>0</v>
      </c>
      <c r="R105" s="274">
        <f>SUM(J105:Q105)</f>
        <v>1380000</v>
      </c>
      <c r="S105" s="275">
        <f>I105-R105</f>
        <v>1471450</v>
      </c>
      <c r="T105" s="276">
        <f>G105-I105</f>
        <v>500050</v>
      </c>
      <c r="U105" s="297">
        <v>27</v>
      </c>
      <c r="V105" s="278">
        <f t="shared" si="1"/>
        <v>51111.111111111109</v>
      </c>
      <c r="X105" s="328"/>
      <c r="Y105" s="273"/>
      <c r="Z105" s="273"/>
      <c r="AA105" s="273"/>
      <c r="AB105" s="273"/>
      <c r="AC105" s="273"/>
      <c r="AD105" s="273"/>
      <c r="AE105" s="273"/>
    </row>
    <row r="106" spans="1:31" ht="18.95" customHeight="1">
      <c r="A106" s="312"/>
      <c r="B106" s="279" t="s">
        <v>124</v>
      </c>
      <c r="C106" s="280" t="s">
        <v>123</v>
      </c>
      <c r="D106" s="281" t="s">
        <v>125</v>
      </c>
      <c r="E106" s="282">
        <v>500000</v>
      </c>
      <c r="F106" s="283"/>
      <c r="G106" s="282">
        <v>0</v>
      </c>
      <c r="H106" s="283"/>
      <c r="I106" s="284">
        <v>527000</v>
      </c>
      <c r="J106" s="285">
        <v>0</v>
      </c>
      <c r="K106" s="285">
        <v>0</v>
      </c>
      <c r="L106" s="285">
        <v>0</v>
      </c>
      <c r="M106" s="285">
        <v>0</v>
      </c>
      <c r="N106" s="285">
        <v>0</v>
      </c>
      <c r="O106" s="285">
        <v>527000</v>
      </c>
      <c r="P106" s="285">
        <v>0</v>
      </c>
      <c r="Q106" s="285">
        <v>0</v>
      </c>
      <c r="R106" s="286">
        <f>SUM(J106:Q106)</f>
        <v>527000</v>
      </c>
      <c r="S106" s="287">
        <f>I106-R106</f>
        <v>0</v>
      </c>
      <c r="T106" s="288">
        <f>G106-I106</f>
        <v>-527000</v>
      </c>
      <c r="U106" s="289">
        <v>0</v>
      </c>
      <c r="V106" s="290" t="e">
        <f t="shared" si="1"/>
        <v>#DIV/0!</v>
      </c>
      <c r="X106" s="329"/>
      <c r="Y106" s="285"/>
      <c r="Z106" s="285"/>
      <c r="AA106" s="285"/>
      <c r="AB106" s="285"/>
      <c r="AC106" s="285"/>
      <c r="AD106" s="285"/>
      <c r="AE106" s="285"/>
    </row>
    <row r="107" spans="1:31" ht="18.95" customHeight="1">
      <c r="A107" s="312"/>
      <c r="B107" s="279" t="s">
        <v>124</v>
      </c>
      <c r="C107" s="280" t="s">
        <v>123</v>
      </c>
      <c r="D107" s="281" t="s">
        <v>43</v>
      </c>
      <c r="E107" s="282">
        <v>0</v>
      </c>
      <c r="F107" s="283"/>
      <c r="G107" s="282">
        <v>0</v>
      </c>
      <c r="H107" s="283"/>
      <c r="I107" s="284">
        <v>0</v>
      </c>
      <c r="J107" s="285">
        <v>0</v>
      </c>
      <c r="K107" s="285">
        <v>0</v>
      </c>
      <c r="L107" s="285">
        <v>0</v>
      </c>
      <c r="M107" s="285">
        <v>0</v>
      </c>
      <c r="N107" s="285">
        <v>30000</v>
      </c>
      <c r="O107" s="285">
        <v>0</v>
      </c>
      <c r="P107" s="285">
        <v>0</v>
      </c>
      <c r="Q107" s="285">
        <v>0</v>
      </c>
      <c r="R107" s="286">
        <f>SUM(J107:Q107)</f>
        <v>30000</v>
      </c>
      <c r="S107" s="287">
        <f>I107-R107</f>
        <v>-30000</v>
      </c>
      <c r="T107" s="288">
        <f>G107-I107</f>
        <v>0</v>
      </c>
      <c r="U107" s="289">
        <v>0</v>
      </c>
      <c r="V107" s="290" t="e">
        <f t="shared" si="1"/>
        <v>#DIV/0!</v>
      </c>
      <c r="X107" s="329"/>
      <c r="Y107" s="285"/>
      <c r="Z107" s="285"/>
      <c r="AA107" s="285"/>
      <c r="AB107" s="285"/>
      <c r="AC107" s="285"/>
      <c r="AD107" s="285"/>
      <c r="AE107" s="285"/>
    </row>
    <row r="108" spans="1:31" ht="18.95" customHeight="1">
      <c r="A108" s="312"/>
      <c r="B108" s="279" t="s">
        <v>46</v>
      </c>
      <c r="C108" s="280" t="s">
        <v>126</v>
      </c>
      <c r="D108" s="281" t="s">
        <v>127</v>
      </c>
      <c r="E108" s="282">
        <v>3285050</v>
      </c>
      <c r="F108" s="283"/>
      <c r="G108" s="282">
        <v>2000000</v>
      </c>
      <c r="H108" s="283"/>
      <c r="I108" s="284">
        <v>2000000</v>
      </c>
      <c r="J108" s="285">
        <v>0</v>
      </c>
      <c r="K108" s="285">
        <v>0</v>
      </c>
      <c r="L108" s="285">
        <v>0</v>
      </c>
      <c r="M108" s="285">
        <v>0</v>
      </c>
      <c r="N108" s="285">
        <v>0</v>
      </c>
      <c r="O108" s="285">
        <v>0</v>
      </c>
      <c r="P108" s="285">
        <v>0</v>
      </c>
      <c r="Q108" s="285">
        <v>0</v>
      </c>
      <c r="R108" s="286">
        <f>SUM(J108:Q108)</f>
        <v>0</v>
      </c>
      <c r="S108" s="287">
        <f>I108-R108</f>
        <v>2000000</v>
      </c>
      <c r="T108" s="288">
        <f>G108-I108</f>
        <v>0</v>
      </c>
      <c r="U108" s="289">
        <v>0</v>
      </c>
      <c r="V108" s="290" t="e">
        <f t="shared" si="1"/>
        <v>#DIV/0!</v>
      </c>
      <c r="X108" s="329"/>
      <c r="Y108" s="285"/>
      <c r="Z108" s="285"/>
      <c r="AA108" s="285"/>
      <c r="AB108" s="285"/>
      <c r="AC108" s="285"/>
      <c r="AD108" s="285"/>
      <c r="AE108" s="285"/>
    </row>
    <row r="109" spans="1:31" ht="18.95" customHeight="1">
      <c r="A109" s="312"/>
      <c r="B109" s="279" t="s">
        <v>46</v>
      </c>
      <c r="C109" s="280" t="s">
        <v>123</v>
      </c>
      <c r="D109" s="281" t="s">
        <v>43</v>
      </c>
      <c r="E109" s="282">
        <v>0</v>
      </c>
      <c r="F109" s="283"/>
      <c r="G109" s="282">
        <v>0</v>
      </c>
      <c r="H109" s="283"/>
      <c r="I109" s="284">
        <v>0</v>
      </c>
      <c r="J109" s="285">
        <v>0</v>
      </c>
      <c r="K109" s="285">
        <v>0</v>
      </c>
      <c r="L109" s="285">
        <v>0</v>
      </c>
      <c r="M109" s="285">
        <v>108000</v>
      </c>
      <c r="N109" s="285">
        <v>0</v>
      </c>
      <c r="O109" s="285">
        <v>54000</v>
      </c>
      <c r="P109" s="285">
        <v>0</v>
      </c>
      <c r="Q109" s="285">
        <v>0</v>
      </c>
      <c r="R109" s="286">
        <f>SUM(J109:Q109)</f>
        <v>162000</v>
      </c>
      <c r="S109" s="287">
        <f>I109-R109</f>
        <v>-162000</v>
      </c>
      <c r="T109" s="288">
        <f>G109-I109</f>
        <v>0</v>
      </c>
      <c r="U109" s="289">
        <v>2</v>
      </c>
      <c r="V109" s="290">
        <f t="shared" si="1"/>
        <v>81000</v>
      </c>
      <c r="X109" s="329"/>
      <c r="Y109" s="285"/>
      <c r="Z109" s="285"/>
      <c r="AA109" s="285"/>
      <c r="AB109" s="285"/>
      <c r="AC109" s="285"/>
      <c r="AD109" s="285"/>
      <c r="AE109" s="285"/>
    </row>
    <row r="110" spans="1:31" ht="18.95" customHeight="1">
      <c r="A110" s="312"/>
      <c r="B110" s="279" t="s">
        <v>128</v>
      </c>
      <c r="C110" s="280" t="s">
        <v>123</v>
      </c>
      <c r="D110" s="281" t="s">
        <v>43</v>
      </c>
      <c r="E110" s="282">
        <v>0</v>
      </c>
      <c r="F110" s="283"/>
      <c r="G110" s="282">
        <v>0</v>
      </c>
      <c r="H110" s="283"/>
      <c r="I110" s="284">
        <v>0</v>
      </c>
      <c r="J110" s="285">
        <v>0</v>
      </c>
      <c r="K110" s="285">
        <v>0</v>
      </c>
      <c r="L110" s="285">
        <v>155000</v>
      </c>
      <c r="M110" s="285">
        <v>0</v>
      </c>
      <c r="N110" s="285">
        <v>0</v>
      </c>
      <c r="O110" s="285">
        <v>0</v>
      </c>
      <c r="P110" s="285">
        <v>0</v>
      </c>
      <c r="Q110" s="285">
        <v>0</v>
      </c>
      <c r="R110" s="286">
        <f>SUM(J110:Q110)</f>
        <v>155000</v>
      </c>
      <c r="S110" s="287">
        <f>I110-R110</f>
        <v>-155000</v>
      </c>
      <c r="T110" s="288">
        <f>G110-I110</f>
        <v>0</v>
      </c>
      <c r="U110" s="289">
        <v>0</v>
      </c>
      <c r="V110" s="290" t="e">
        <f t="shared" si="1"/>
        <v>#DIV/0!</v>
      </c>
      <c r="X110" s="329"/>
      <c r="Y110" s="285"/>
      <c r="Z110" s="285"/>
      <c r="AA110" s="285"/>
      <c r="AB110" s="285"/>
      <c r="AC110" s="285"/>
      <c r="AD110" s="285"/>
      <c r="AE110" s="285"/>
    </row>
    <row r="111" spans="1:31" ht="18.95" customHeight="1">
      <c r="A111" s="312"/>
      <c r="B111" s="279" t="s">
        <v>129</v>
      </c>
      <c r="C111" s="280" t="s">
        <v>123</v>
      </c>
      <c r="D111" s="281" t="s">
        <v>43</v>
      </c>
      <c r="E111" s="282">
        <v>0</v>
      </c>
      <c r="F111" s="283"/>
      <c r="G111" s="282">
        <v>0</v>
      </c>
      <c r="H111" s="283"/>
      <c r="I111" s="284">
        <v>90000</v>
      </c>
      <c r="J111" s="285">
        <v>0</v>
      </c>
      <c r="K111" s="285">
        <v>0</v>
      </c>
      <c r="L111" s="285">
        <v>0</v>
      </c>
      <c r="M111" s="285">
        <v>90000</v>
      </c>
      <c r="N111" s="285">
        <v>0</v>
      </c>
      <c r="O111" s="285">
        <v>0</v>
      </c>
      <c r="P111" s="285">
        <v>0</v>
      </c>
      <c r="Q111" s="285">
        <v>0</v>
      </c>
      <c r="R111" s="286">
        <f>SUM(J111:Q111)</f>
        <v>90000</v>
      </c>
      <c r="S111" s="287">
        <f>I111-R111</f>
        <v>0</v>
      </c>
      <c r="T111" s="288">
        <f>G111-I111</f>
        <v>-90000</v>
      </c>
      <c r="U111" s="289">
        <v>4</v>
      </c>
      <c r="V111" s="290">
        <f t="shared" si="1"/>
        <v>22500</v>
      </c>
      <c r="X111" s="329"/>
      <c r="Y111" s="285"/>
      <c r="Z111" s="285"/>
      <c r="AA111" s="285"/>
      <c r="AB111" s="285"/>
      <c r="AC111" s="285"/>
      <c r="AD111" s="285"/>
      <c r="AE111" s="285"/>
    </row>
    <row r="112" spans="1:31" ht="18.95" customHeight="1">
      <c r="A112" s="312"/>
      <c r="B112" s="279" t="s">
        <v>99</v>
      </c>
      <c r="C112" s="280" t="s">
        <v>123</v>
      </c>
      <c r="D112" s="281" t="s">
        <v>43</v>
      </c>
      <c r="E112" s="282">
        <v>0</v>
      </c>
      <c r="F112" s="283"/>
      <c r="G112" s="282">
        <v>0</v>
      </c>
      <c r="H112" s="283"/>
      <c r="I112" s="284">
        <v>75000</v>
      </c>
      <c r="J112" s="285">
        <v>0</v>
      </c>
      <c r="K112" s="285">
        <v>0</v>
      </c>
      <c r="L112" s="285">
        <v>0</v>
      </c>
      <c r="M112" s="285">
        <v>25000</v>
      </c>
      <c r="N112" s="285">
        <v>0</v>
      </c>
      <c r="O112" s="285">
        <v>0</v>
      </c>
      <c r="P112" s="285">
        <v>0</v>
      </c>
      <c r="Q112" s="285">
        <v>0</v>
      </c>
      <c r="R112" s="286">
        <f>SUM(J112:Q112)</f>
        <v>25000</v>
      </c>
      <c r="S112" s="287">
        <f>I112-R112</f>
        <v>50000</v>
      </c>
      <c r="T112" s="288">
        <f>G112-I112</f>
        <v>-75000</v>
      </c>
      <c r="U112" s="289">
        <v>1</v>
      </c>
      <c r="V112" s="290">
        <f t="shared" si="1"/>
        <v>25000</v>
      </c>
      <c r="X112" s="329"/>
      <c r="Y112" s="285"/>
      <c r="Z112" s="285"/>
      <c r="AA112" s="285"/>
      <c r="AB112" s="285"/>
      <c r="AC112" s="285"/>
      <c r="AD112" s="285"/>
      <c r="AE112" s="285"/>
    </row>
    <row r="113" spans="1:31" ht="18.95" customHeight="1">
      <c r="A113" s="312"/>
      <c r="B113" s="279"/>
      <c r="C113" s="280" t="s">
        <v>126</v>
      </c>
      <c r="D113" s="281" t="s">
        <v>43</v>
      </c>
      <c r="E113" s="282">
        <v>100000</v>
      </c>
      <c r="F113" s="283"/>
      <c r="G113" s="282">
        <v>0</v>
      </c>
      <c r="H113" s="283"/>
      <c r="I113" s="284">
        <v>0</v>
      </c>
      <c r="J113" s="285">
        <v>0</v>
      </c>
      <c r="K113" s="285">
        <v>0</v>
      </c>
      <c r="L113" s="285">
        <v>0</v>
      </c>
      <c r="M113" s="285">
        <v>0</v>
      </c>
      <c r="N113" s="285">
        <v>0</v>
      </c>
      <c r="O113" s="285">
        <v>0</v>
      </c>
      <c r="P113" s="285">
        <v>0</v>
      </c>
      <c r="Q113" s="285">
        <v>0</v>
      </c>
      <c r="R113" s="286">
        <f>SUM(J113:Q113)</f>
        <v>0</v>
      </c>
      <c r="S113" s="287">
        <f>I113-R113</f>
        <v>0</v>
      </c>
      <c r="T113" s="288">
        <f>G113-I113</f>
        <v>0</v>
      </c>
      <c r="U113" s="289">
        <v>0</v>
      </c>
      <c r="V113" s="290" t="e">
        <f t="shared" si="1"/>
        <v>#DIV/0!</v>
      </c>
      <c r="X113" s="329"/>
      <c r="Y113" s="285"/>
      <c r="Z113" s="285"/>
      <c r="AA113" s="285"/>
      <c r="AB113" s="285"/>
      <c r="AC113" s="285"/>
      <c r="AD113" s="285"/>
      <c r="AE113" s="285"/>
    </row>
    <row r="114" spans="1:31" ht="18.95" customHeight="1">
      <c r="A114" s="312"/>
      <c r="B114" s="279"/>
      <c r="C114" s="280" t="s">
        <v>130</v>
      </c>
      <c r="D114" s="281" t="s">
        <v>43</v>
      </c>
      <c r="E114" s="282">
        <v>0</v>
      </c>
      <c r="F114" s="283"/>
      <c r="G114" s="282">
        <v>0</v>
      </c>
      <c r="H114" s="283"/>
      <c r="I114" s="284">
        <v>0</v>
      </c>
      <c r="J114" s="285">
        <v>0</v>
      </c>
      <c r="K114" s="285">
        <v>0</v>
      </c>
      <c r="L114" s="285">
        <v>0</v>
      </c>
      <c r="M114" s="285">
        <v>0</v>
      </c>
      <c r="N114" s="285">
        <v>0</v>
      </c>
      <c r="O114" s="285">
        <v>0</v>
      </c>
      <c r="P114" s="285">
        <v>0</v>
      </c>
      <c r="Q114" s="285">
        <v>0</v>
      </c>
      <c r="R114" s="286">
        <f>SUM(J114:Q114)</f>
        <v>0</v>
      </c>
      <c r="S114" s="287">
        <f>I114-R114</f>
        <v>0</v>
      </c>
      <c r="T114" s="288">
        <f>G114-I114</f>
        <v>0</v>
      </c>
      <c r="U114" s="289">
        <v>0</v>
      </c>
      <c r="V114" s="290" t="e">
        <f t="shared" si="1"/>
        <v>#DIV/0!</v>
      </c>
      <c r="X114" s="329"/>
      <c r="Y114" s="285"/>
      <c r="Z114" s="285"/>
      <c r="AA114" s="285"/>
      <c r="AB114" s="285"/>
      <c r="AC114" s="285"/>
      <c r="AD114" s="285"/>
      <c r="AE114" s="285"/>
    </row>
    <row r="115" spans="1:31" ht="18.95" customHeight="1">
      <c r="A115" s="312"/>
      <c r="B115" s="279"/>
      <c r="C115" s="280" t="s">
        <v>123</v>
      </c>
      <c r="D115" s="281" t="s">
        <v>43</v>
      </c>
      <c r="E115" s="282">
        <v>300000</v>
      </c>
      <c r="F115" s="283"/>
      <c r="G115" s="282">
        <v>200000</v>
      </c>
      <c r="H115" s="283"/>
      <c r="I115" s="284">
        <v>425000</v>
      </c>
      <c r="J115" s="285">
        <v>0</v>
      </c>
      <c r="K115" s="285">
        <v>0</v>
      </c>
      <c r="L115" s="285">
        <v>0</v>
      </c>
      <c r="M115" s="285">
        <v>0</v>
      </c>
      <c r="N115" s="285">
        <v>0</v>
      </c>
      <c r="O115" s="285">
        <v>0</v>
      </c>
      <c r="P115" s="285">
        <v>0</v>
      </c>
      <c r="Q115" s="285">
        <v>0</v>
      </c>
      <c r="R115" s="286">
        <f>SUM(J115:Q115)</f>
        <v>0</v>
      </c>
      <c r="S115" s="287">
        <f>I115-R115</f>
        <v>425000</v>
      </c>
      <c r="T115" s="288">
        <f>G115-I115</f>
        <v>-225000</v>
      </c>
      <c r="U115" s="289">
        <v>0</v>
      </c>
      <c r="V115" s="290" t="e">
        <f t="shared" si="1"/>
        <v>#DIV/0!</v>
      </c>
      <c r="X115" s="329"/>
      <c r="Y115" s="285"/>
      <c r="Z115" s="285"/>
      <c r="AA115" s="285"/>
      <c r="AB115" s="285"/>
      <c r="AC115" s="285"/>
      <c r="AD115" s="285"/>
      <c r="AE115" s="285"/>
    </row>
    <row r="116" spans="1:31" ht="18.95" customHeight="1">
      <c r="A116" s="313"/>
      <c r="B116" s="279"/>
      <c r="C116" s="280" t="s">
        <v>131</v>
      </c>
      <c r="D116" s="281" t="s">
        <v>43</v>
      </c>
      <c r="E116" s="282">
        <v>0</v>
      </c>
      <c r="F116" s="283"/>
      <c r="G116" s="282">
        <v>0</v>
      </c>
      <c r="H116" s="283"/>
      <c r="I116" s="284">
        <v>0</v>
      </c>
      <c r="J116" s="285">
        <v>0</v>
      </c>
      <c r="K116" s="285">
        <v>0</v>
      </c>
      <c r="L116" s="285">
        <v>0</v>
      </c>
      <c r="M116" s="285">
        <v>0</v>
      </c>
      <c r="N116" s="285">
        <v>0</v>
      </c>
      <c r="O116" s="285">
        <v>0</v>
      </c>
      <c r="P116" s="285">
        <v>0</v>
      </c>
      <c r="Q116" s="285">
        <v>0</v>
      </c>
      <c r="R116" s="286">
        <f>SUM(J116:Q116)</f>
        <v>0</v>
      </c>
      <c r="S116" s="287">
        <f>I116-R116</f>
        <v>0</v>
      </c>
      <c r="T116" s="288">
        <f>G116-I116</f>
        <v>0</v>
      </c>
      <c r="U116" s="289">
        <v>0</v>
      </c>
      <c r="V116" s="290" t="e">
        <f t="shared" si="1"/>
        <v>#DIV/0!</v>
      </c>
      <c r="X116" s="329"/>
      <c r="Y116" s="285"/>
      <c r="Z116" s="285"/>
      <c r="AA116" s="285"/>
      <c r="AB116" s="285"/>
      <c r="AC116" s="285"/>
      <c r="AD116" s="285"/>
      <c r="AE116" s="285"/>
    </row>
    <row r="117" spans="1:31" ht="18.95" customHeight="1">
      <c r="A117" s="314" t="s">
        <v>132</v>
      </c>
      <c r="B117" s="291" t="s">
        <v>38</v>
      </c>
      <c r="C117" s="292" t="s">
        <v>133</v>
      </c>
      <c r="D117" s="293" t="s">
        <v>40</v>
      </c>
      <c r="E117" s="294">
        <v>607100</v>
      </c>
      <c r="F117" s="295"/>
      <c r="G117" s="294">
        <v>477250</v>
      </c>
      <c r="H117" s="295"/>
      <c r="I117" s="296">
        <v>477250</v>
      </c>
      <c r="J117" s="273">
        <v>0</v>
      </c>
      <c r="K117" s="273">
        <v>0</v>
      </c>
      <c r="L117" s="273">
        <v>0</v>
      </c>
      <c r="M117" s="273">
        <v>0</v>
      </c>
      <c r="N117" s="273">
        <v>0</v>
      </c>
      <c r="O117" s="273">
        <v>0</v>
      </c>
      <c r="P117" s="273">
        <v>0</v>
      </c>
      <c r="Q117" s="273">
        <v>0</v>
      </c>
      <c r="R117" s="274">
        <f>SUM(J117:Q117)</f>
        <v>0</v>
      </c>
      <c r="S117" s="275">
        <f>I117-R117</f>
        <v>477250</v>
      </c>
      <c r="T117" s="276">
        <f>G117-I117</f>
        <v>0</v>
      </c>
      <c r="U117" s="297">
        <v>0</v>
      </c>
      <c r="V117" s="278" t="e">
        <f t="shared" si="1"/>
        <v>#DIV/0!</v>
      </c>
      <c r="X117" s="328"/>
      <c r="Y117" s="273"/>
      <c r="Z117" s="273"/>
      <c r="AA117" s="273"/>
      <c r="AB117" s="273"/>
      <c r="AC117" s="273"/>
      <c r="AD117" s="273"/>
      <c r="AE117" s="273"/>
    </row>
    <row r="118" spans="1:31" ht="18.95" customHeight="1">
      <c r="A118" s="312"/>
      <c r="B118" s="279"/>
      <c r="C118" s="280" t="s">
        <v>133</v>
      </c>
      <c r="D118" s="281" t="s">
        <v>43</v>
      </c>
      <c r="E118" s="282">
        <v>150000</v>
      </c>
      <c r="F118" s="283"/>
      <c r="G118" s="282">
        <v>0</v>
      </c>
      <c r="H118" s="283"/>
      <c r="I118" s="284">
        <v>0</v>
      </c>
      <c r="J118" s="285">
        <v>0</v>
      </c>
      <c r="K118" s="285">
        <v>0</v>
      </c>
      <c r="L118" s="285">
        <v>0</v>
      </c>
      <c r="M118" s="285">
        <v>0</v>
      </c>
      <c r="N118" s="285">
        <v>0</v>
      </c>
      <c r="O118" s="285">
        <v>0</v>
      </c>
      <c r="P118" s="285">
        <v>0</v>
      </c>
      <c r="Q118" s="285">
        <v>0</v>
      </c>
      <c r="R118" s="286">
        <f>SUM(J118:Q118)</f>
        <v>0</v>
      </c>
      <c r="S118" s="287">
        <f>I118-R118</f>
        <v>0</v>
      </c>
      <c r="T118" s="288">
        <f>G118-I118</f>
        <v>0</v>
      </c>
      <c r="U118" s="289">
        <v>0</v>
      </c>
      <c r="V118" s="290" t="e">
        <f t="shared" si="1"/>
        <v>#DIV/0!</v>
      </c>
      <c r="X118" s="329"/>
      <c r="Y118" s="285"/>
      <c r="Z118" s="285"/>
      <c r="AA118" s="285"/>
      <c r="AB118" s="285"/>
      <c r="AC118" s="285"/>
      <c r="AD118" s="285"/>
      <c r="AE118" s="285"/>
    </row>
    <row r="119" spans="1:31" ht="18.95" customHeight="1" thickBot="1">
      <c r="A119" s="315"/>
      <c r="B119" s="299"/>
      <c r="C119" s="300" t="s">
        <v>134</v>
      </c>
      <c r="D119" s="301" t="s">
        <v>43</v>
      </c>
      <c r="E119" s="302">
        <v>0</v>
      </c>
      <c r="F119" s="303"/>
      <c r="G119" s="302">
        <v>0</v>
      </c>
      <c r="H119" s="303"/>
      <c r="I119" s="304">
        <v>0</v>
      </c>
      <c r="J119" s="305">
        <v>0</v>
      </c>
      <c r="K119" s="305">
        <v>0</v>
      </c>
      <c r="L119" s="305">
        <v>0</v>
      </c>
      <c r="M119" s="305">
        <v>0</v>
      </c>
      <c r="N119" s="305">
        <v>0</v>
      </c>
      <c r="O119" s="305">
        <v>0</v>
      </c>
      <c r="P119" s="305">
        <v>0</v>
      </c>
      <c r="Q119" s="305">
        <v>0</v>
      </c>
      <c r="R119" s="306">
        <f>SUM(J119:Q119)</f>
        <v>0</v>
      </c>
      <c r="S119" s="307">
        <f>I119-R119</f>
        <v>0</v>
      </c>
      <c r="T119" s="308">
        <f>G119-I119</f>
        <v>0</v>
      </c>
      <c r="U119" s="309">
        <v>0</v>
      </c>
      <c r="V119" s="310" t="e">
        <f t="shared" si="1"/>
        <v>#DIV/0!</v>
      </c>
      <c r="X119" s="330"/>
      <c r="Y119" s="305"/>
      <c r="Z119" s="305"/>
      <c r="AA119" s="305"/>
      <c r="AB119" s="305"/>
      <c r="AC119" s="305"/>
      <c r="AD119" s="305"/>
      <c r="AE119" s="305"/>
    </row>
    <row r="120" spans="1:31" ht="18.95" customHeight="1" thickTop="1" thickBot="1">
      <c r="A120" s="27"/>
      <c r="B120" s="28" t="s">
        <v>12</v>
      </c>
      <c r="C120" s="29"/>
      <c r="D120" s="29"/>
      <c r="E120" s="187">
        <f>SUM(E9:F119)</f>
        <v>68199585</v>
      </c>
      <c r="F120" s="188"/>
      <c r="G120" s="187">
        <f>SUM(G9:H119)</f>
        <v>66523590</v>
      </c>
      <c r="H120" s="188"/>
      <c r="I120" s="87">
        <f>SUM(I9:I119)</f>
        <v>73978400</v>
      </c>
      <c r="J120" s="30"/>
      <c r="K120" s="30"/>
      <c r="L120" s="30"/>
      <c r="M120" s="30"/>
      <c r="N120" s="30"/>
      <c r="O120" s="30"/>
      <c r="P120" s="30"/>
      <c r="Q120" s="30"/>
      <c r="R120" s="32">
        <f>SUM(R9:R119)</f>
        <v>52413802</v>
      </c>
      <c r="S120" s="32">
        <f>SUM(S9:S119)</f>
        <v>21564598</v>
      </c>
      <c r="T120" s="33">
        <f>SUM(T9:T119)</f>
        <v>-7454810</v>
      </c>
      <c r="U120" s="298">
        <f>SUM(U9:U119)</f>
        <v>478</v>
      </c>
      <c r="V120" s="34"/>
    </row>
    <row r="121" spans="1:31" ht="15" customHeight="1" thickTop="1">
      <c r="A121" s="189"/>
      <c r="B121" s="190"/>
      <c r="C121" s="190"/>
      <c r="D121" s="190"/>
      <c r="E121" s="191"/>
      <c r="F121" s="191"/>
      <c r="G121" s="191"/>
      <c r="H121" s="191"/>
      <c r="I121" s="191"/>
      <c r="J121" s="190"/>
      <c r="K121" s="190"/>
      <c r="L121" s="190"/>
      <c r="M121" s="190"/>
      <c r="N121" s="190"/>
      <c r="O121" s="190"/>
      <c r="P121" s="190"/>
      <c r="Q121" s="190"/>
      <c r="R121" s="190"/>
      <c r="S121" s="190"/>
      <c r="T121" s="190"/>
      <c r="U121" s="191"/>
      <c r="V121" s="192"/>
    </row>
    <row r="122" spans="1:31" ht="18.95" customHeight="1">
      <c r="A122" s="97"/>
      <c r="B122" s="98" t="s">
        <v>13</v>
      </c>
      <c r="C122" s="98"/>
      <c r="D122" s="99"/>
      <c r="E122" s="193" t="s">
        <v>32</v>
      </c>
      <c r="F122" s="194"/>
      <c r="G122" s="193" t="s">
        <v>14</v>
      </c>
      <c r="H122" s="194"/>
      <c r="I122" s="100" t="s">
        <v>15</v>
      </c>
      <c r="J122" s="101"/>
      <c r="K122" s="101"/>
      <c r="L122" s="101"/>
      <c r="M122" s="101"/>
      <c r="N122" s="101"/>
      <c r="O122" s="101"/>
      <c r="P122" s="101"/>
      <c r="Q122" s="101"/>
      <c r="R122" s="101"/>
      <c r="S122" s="102"/>
      <c r="T122" s="103"/>
      <c r="U122" s="103"/>
      <c r="V122" s="104"/>
    </row>
    <row r="123" spans="1:31" ht="18.95" customHeight="1">
      <c r="A123" s="105"/>
      <c r="B123" s="107"/>
      <c r="C123" s="80"/>
      <c r="D123" s="158"/>
      <c r="E123" s="183"/>
      <c r="F123" s="184"/>
      <c r="G123" s="183"/>
      <c r="H123" s="184"/>
      <c r="I123" s="108"/>
      <c r="J123" s="20"/>
      <c r="K123" s="20"/>
      <c r="L123" s="20"/>
      <c r="M123" s="20"/>
      <c r="N123" s="20"/>
      <c r="O123" s="20"/>
      <c r="P123" s="20"/>
      <c r="Q123" s="20"/>
      <c r="R123" s="81">
        <f>SUM(J123:Q123)</f>
        <v>0</v>
      </c>
      <c r="S123" s="23">
        <f>I123-R123</f>
        <v>0</v>
      </c>
      <c r="T123" s="24">
        <f>G123-I123</f>
        <v>0</v>
      </c>
      <c r="U123" s="68"/>
      <c r="V123" s="88" t="e">
        <f>R123/U123</f>
        <v>#DIV/0!</v>
      </c>
    </row>
    <row r="124" spans="1:31" ht="18.95" customHeight="1">
      <c r="A124" s="106"/>
      <c r="B124" s="109"/>
      <c r="C124" s="71"/>
      <c r="D124" s="157"/>
      <c r="E124" s="185"/>
      <c r="F124" s="186"/>
      <c r="G124" s="185"/>
      <c r="H124" s="186"/>
      <c r="I124" s="110"/>
      <c r="J124" s="111"/>
      <c r="K124" s="111"/>
      <c r="L124" s="111"/>
      <c r="M124" s="111"/>
      <c r="N124" s="111"/>
      <c r="O124" s="111"/>
      <c r="P124" s="111"/>
      <c r="Q124" s="111"/>
      <c r="R124" s="81">
        <f>SUM(J124:Q124)</f>
        <v>0</v>
      </c>
      <c r="S124" s="23">
        <f>I124-R124</f>
        <v>0</v>
      </c>
      <c r="T124" s="24">
        <f>G124-I124</f>
        <v>0</v>
      </c>
      <c r="U124" s="69"/>
      <c r="V124" s="160" t="e">
        <f>R124/U124</f>
        <v>#DIV/0!</v>
      </c>
    </row>
    <row r="125" spans="1:31" ht="18.95" customHeight="1" thickBot="1">
      <c r="A125" s="89"/>
      <c r="B125" s="35" t="s">
        <v>16</v>
      </c>
      <c r="C125" s="35"/>
      <c r="D125" s="36"/>
      <c r="E125" s="168">
        <f>SUM(E123:E124)</f>
        <v>0</v>
      </c>
      <c r="F125" s="169"/>
      <c r="G125" s="168">
        <f>SUM(G123:G124)</f>
        <v>0</v>
      </c>
      <c r="H125" s="169"/>
      <c r="I125" s="37">
        <f>SUM(I123:I124)</f>
        <v>0</v>
      </c>
      <c r="J125" s="38"/>
      <c r="K125" s="38"/>
      <c r="L125" s="38"/>
      <c r="M125" s="38"/>
      <c r="N125" s="38"/>
      <c r="O125" s="38"/>
      <c r="P125" s="38"/>
      <c r="Q125" s="38"/>
      <c r="R125" s="39">
        <f>SUM(R123:R124)</f>
        <v>0</v>
      </c>
      <c r="S125" s="40">
        <f>SUM(S123:S124)</f>
        <v>0</v>
      </c>
      <c r="T125" s="41">
        <f>SUM(T123:T124)</f>
        <v>0</v>
      </c>
      <c r="U125" s="42">
        <f>SUM(U123:U124)</f>
        <v>0</v>
      </c>
      <c r="V125" s="159"/>
    </row>
    <row r="126" spans="1:31" ht="2.25" customHeight="1" thickTop="1" thickBot="1">
      <c r="A126" s="90"/>
      <c r="B126" s="43"/>
      <c r="C126" s="43"/>
      <c r="D126" s="43"/>
      <c r="E126" s="43"/>
      <c r="F126" s="44"/>
      <c r="G126" s="43"/>
      <c r="H126" s="44"/>
      <c r="I126" s="45"/>
      <c r="J126" s="44"/>
      <c r="K126" s="44"/>
      <c r="L126" s="44"/>
      <c r="M126" s="44"/>
      <c r="N126" s="44"/>
      <c r="O126" s="44"/>
      <c r="P126" s="44"/>
      <c r="Q126" s="44"/>
      <c r="R126" s="44"/>
      <c r="S126" s="46"/>
      <c r="T126" s="47"/>
      <c r="U126" s="48"/>
      <c r="V126" s="91"/>
    </row>
    <row r="127" spans="1:31" ht="26.25" customHeight="1" thickTop="1" thickBot="1">
      <c r="A127" s="92"/>
      <c r="B127" s="93" t="s">
        <v>17</v>
      </c>
      <c r="C127" s="93"/>
      <c r="D127" s="93"/>
      <c r="E127" s="170"/>
      <c r="F127" s="171"/>
      <c r="G127" s="170"/>
      <c r="H127" s="171"/>
      <c r="I127" s="49"/>
      <c r="J127" s="49"/>
      <c r="K127" s="49"/>
      <c r="L127" s="49"/>
      <c r="M127" s="49"/>
      <c r="N127" s="49"/>
      <c r="O127" s="49"/>
      <c r="P127" s="49"/>
      <c r="Q127" s="49"/>
      <c r="R127" s="50">
        <f>SUM(R125,R120)</f>
        <v>52413802</v>
      </c>
      <c r="S127" s="51">
        <f>SUM(S125,S120)</f>
        <v>21564598</v>
      </c>
      <c r="T127" s="94">
        <f>T120+T125</f>
        <v>-7454810</v>
      </c>
      <c r="U127" s="95">
        <f>SUM(U125,U120)</f>
        <v>478</v>
      </c>
      <c r="V127" s="96"/>
    </row>
    <row r="128" spans="1:31" ht="2.25" customHeight="1" thickTop="1">
      <c r="A128" s="137"/>
      <c r="B128" s="138"/>
      <c r="C128" s="138"/>
      <c r="D128" s="138"/>
      <c r="E128" s="138"/>
      <c r="F128" s="139"/>
      <c r="G128" s="138"/>
      <c r="H128" s="139"/>
      <c r="I128" s="140"/>
      <c r="J128" s="139"/>
      <c r="K128" s="139"/>
      <c r="L128" s="139"/>
      <c r="M128" s="139"/>
      <c r="N128" s="139"/>
      <c r="O128" s="139"/>
      <c r="P128" s="139"/>
      <c r="Q128" s="139"/>
      <c r="R128" s="139"/>
      <c r="S128" s="141"/>
      <c r="T128" s="142"/>
      <c r="U128" s="143"/>
      <c r="V128" s="144"/>
    </row>
    <row r="129" spans="1:31" ht="18.2" customHeight="1">
      <c r="A129" s="145"/>
      <c r="B129" s="146"/>
      <c r="C129" s="146"/>
      <c r="D129" s="146"/>
      <c r="E129" s="146"/>
      <c r="F129" s="128"/>
      <c r="G129" s="146"/>
      <c r="H129" s="128"/>
      <c r="I129" s="147"/>
      <c r="J129" s="128"/>
      <c r="K129" s="128"/>
      <c r="L129" s="128"/>
      <c r="M129" s="128"/>
      <c r="N129" s="128"/>
      <c r="O129" s="128"/>
      <c r="P129" s="128"/>
      <c r="Q129" s="128"/>
      <c r="R129" s="128"/>
      <c r="S129" s="148"/>
      <c r="T129" s="149"/>
      <c r="U129" s="150"/>
      <c r="V129" s="149"/>
    </row>
    <row r="130" spans="1:31" ht="18.2" customHeight="1">
      <c r="A130" s="258" t="s">
        <v>135</v>
      </c>
      <c r="B130" s="338" t="s">
        <v>38</v>
      </c>
      <c r="C130" s="115"/>
      <c r="D130" s="116"/>
      <c r="E130" s="172">
        <v>0</v>
      </c>
      <c r="F130" s="173"/>
      <c r="G130" s="174">
        <v>4000000</v>
      </c>
      <c r="H130" s="175"/>
      <c r="I130" s="117">
        <v>0</v>
      </c>
      <c r="J130" s="261">
        <v>0</v>
      </c>
      <c r="K130" s="261">
        <v>0</v>
      </c>
      <c r="L130" s="261">
        <v>0</v>
      </c>
      <c r="M130" s="261">
        <v>0</v>
      </c>
      <c r="N130" s="261">
        <v>0</v>
      </c>
      <c r="O130" s="261">
        <v>0</v>
      </c>
      <c r="P130" s="261">
        <v>0</v>
      </c>
      <c r="Q130" s="261">
        <v>0</v>
      </c>
      <c r="R130" s="119">
        <f>SUM(J130:Q130)</f>
        <v>0</v>
      </c>
      <c r="S130" s="120">
        <f>I130-R130</f>
        <v>0</v>
      </c>
      <c r="T130" s="121">
        <f>G130-I130</f>
        <v>4000000</v>
      </c>
      <c r="U130" s="122">
        <v>0</v>
      </c>
      <c r="V130" s="123" t="e">
        <f>R130/U130</f>
        <v>#DIV/0!</v>
      </c>
      <c r="X130" s="261"/>
      <c r="Y130" s="261"/>
      <c r="Z130" s="261"/>
      <c r="AA130" s="261"/>
      <c r="AB130" s="261"/>
      <c r="AC130" s="261"/>
      <c r="AD130" s="261"/>
      <c r="AE130" s="261"/>
    </row>
    <row r="131" spans="1:31" ht="18.2" customHeight="1">
      <c r="A131" s="259"/>
      <c r="B131" s="338" t="s">
        <v>38</v>
      </c>
      <c r="C131" s="115"/>
      <c r="D131" s="116"/>
      <c r="E131" s="172">
        <v>0</v>
      </c>
      <c r="F131" s="173"/>
      <c r="G131" s="174">
        <v>0</v>
      </c>
      <c r="H131" s="175"/>
      <c r="I131" s="117">
        <v>4000000</v>
      </c>
      <c r="J131" s="261">
        <v>0</v>
      </c>
      <c r="K131" s="261">
        <v>0</v>
      </c>
      <c r="L131" s="261">
        <v>600000</v>
      </c>
      <c r="M131" s="261">
        <v>660000</v>
      </c>
      <c r="N131" s="261">
        <v>540000</v>
      </c>
      <c r="O131" s="261">
        <v>540000</v>
      </c>
      <c r="P131" s="261">
        <v>0</v>
      </c>
      <c r="Q131" s="261">
        <v>0</v>
      </c>
      <c r="R131" s="119">
        <f>SUM(J131:Q131)</f>
        <v>2340000</v>
      </c>
      <c r="S131" s="120">
        <f>I131-R131</f>
        <v>1660000</v>
      </c>
      <c r="T131" s="121">
        <f>G131-I131</f>
        <v>-4000000</v>
      </c>
      <c r="U131" s="122">
        <v>43</v>
      </c>
      <c r="V131" s="123">
        <f t="shared" ref="V131:V140" si="2">R131/U131</f>
        <v>54418.604651162794</v>
      </c>
      <c r="X131" s="261"/>
      <c r="Y131" s="261"/>
      <c r="Z131" s="261"/>
      <c r="AA131" s="261"/>
      <c r="AB131" s="261"/>
      <c r="AC131" s="261"/>
      <c r="AD131" s="261"/>
      <c r="AE131" s="261"/>
    </row>
    <row r="132" spans="1:31" ht="18.2" customHeight="1">
      <c r="A132" s="259"/>
      <c r="B132" s="114" t="s">
        <v>144</v>
      </c>
      <c r="C132" s="115"/>
      <c r="D132" s="116"/>
      <c r="E132" s="172">
        <v>0</v>
      </c>
      <c r="F132" s="173"/>
      <c r="G132" s="174">
        <v>0</v>
      </c>
      <c r="H132" s="175"/>
      <c r="I132" s="117">
        <v>0</v>
      </c>
      <c r="J132" s="261">
        <v>0</v>
      </c>
      <c r="K132" s="261">
        <v>1304</v>
      </c>
      <c r="L132" s="261">
        <v>0</v>
      </c>
      <c r="M132" s="261">
        <v>655</v>
      </c>
      <c r="N132" s="261">
        <v>0</v>
      </c>
      <c r="O132" s="261">
        <v>0</v>
      </c>
      <c r="P132" s="261">
        <v>0</v>
      </c>
      <c r="Q132" s="261">
        <v>0</v>
      </c>
      <c r="R132" s="119">
        <f>SUM(J132:Q132)</f>
        <v>1959</v>
      </c>
      <c r="S132" s="120">
        <f>I132-R132</f>
        <v>-1959</v>
      </c>
      <c r="T132" s="121">
        <f>G132-I132</f>
        <v>0</v>
      </c>
      <c r="U132" s="122">
        <v>0</v>
      </c>
      <c r="V132" s="123" t="e">
        <f t="shared" si="2"/>
        <v>#DIV/0!</v>
      </c>
      <c r="X132" s="261"/>
      <c r="Y132" s="261"/>
      <c r="Z132" s="261"/>
      <c r="AA132" s="261"/>
      <c r="AB132" s="261"/>
      <c r="AC132" s="261"/>
      <c r="AD132" s="261"/>
      <c r="AE132" s="261"/>
    </row>
    <row r="133" spans="1:31" ht="18.2" customHeight="1">
      <c r="A133" s="259"/>
      <c r="B133" s="114" t="s">
        <v>145</v>
      </c>
      <c r="C133" s="115"/>
      <c r="D133" s="116"/>
      <c r="E133" s="172">
        <v>0</v>
      </c>
      <c r="F133" s="173"/>
      <c r="G133" s="174">
        <v>0</v>
      </c>
      <c r="H133" s="175"/>
      <c r="I133" s="117">
        <v>0</v>
      </c>
      <c r="J133" s="261">
        <v>0</v>
      </c>
      <c r="K133" s="261">
        <v>0</v>
      </c>
      <c r="L133" s="261">
        <v>1926</v>
      </c>
      <c r="M133" s="261">
        <v>0</v>
      </c>
      <c r="N133" s="261">
        <v>0</v>
      </c>
      <c r="O133" s="261">
        <v>0</v>
      </c>
      <c r="P133" s="261">
        <v>0</v>
      </c>
      <c r="Q133" s="261">
        <v>0</v>
      </c>
      <c r="R133" s="119">
        <f>SUM(J133:Q133)</f>
        <v>1926</v>
      </c>
      <c r="S133" s="120">
        <f>I133-R133</f>
        <v>-1926</v>
      </c>
      <c r="T133" s="121">
        <f>G133-I133</f>
        <v>0</v>
      </c>
      <c r="U133" s="122">
        <v>0</v>
      </c>
      <c r="V133" s="123" t="e">
        <f t="shared" si="2"/>
        <v>#DIV/0!</v>
      </c>
      <c r="X133" s="261"/>
      <c r="Y133" s="261"/>
      <c r="Z133" s="261"/>
      <c r="AA133" s="261"/>
      <c r="AB133" s="261"/>
      <c r="AC133" s="261"/>
      <c r="AD133" s="261"/>
      <c r="AE133" s="261"/>
    </row>
    <row r="134" spans="1:31" ht="18.2" customHeight="1">
      <c r="A134" s="259"/>
      <c r="B134" s="114" t="s">
        <v>146</v>
      </c>
      <c r="C134" s="115"/>
      <c r="D134" s="116"/>
      <c r="E134" s="172">
        <v>0</v>
      </c>
      <c r="F134" s="173"/>
      <c r="G134" s="174">
        <v>0</v>
      </c>
      <c r="H134" s="175"/>
      <c r="I134" s="117">
        <v>0</v>
      </c>
      <c r="J134" s="261">
        <v>0</v>
      </c>
      <c r="K134" s="261">
        <v>0</v>
      </c>
      <c r="L134" s="261">
        <v>13130</v>
      </c>
      <c r="M134" s="261">
        <v>122228</v>
      </c>
      <c r="N134" s="261">
        <v>210960</v>
      </c>
      <c r="O134" s="261">
        <v>169189</v>
      </c>
      <c r="P134" s="261">
        <v>36141</v>
      </c>
      <c r="Q134" s="261">
        <v>0</v>
      </c>
      <c r="R134" s="119">
        <f>SUM(J134:Q134)</f>
        <v>551648</v>
      </c>
      <c r="S134" s="120">
        <f>I134-R134</f>
        <v>-551648</v>
      </c>
      <c r="T134" s="121">
        <f>G134-I134</f>
        <v>0</v>
      </c>
      <c r="U134" s="122">
        <v>0</v>
      </c>
      <c r="V134" s="123" t="e">
        <f t="shared" si="2"/>
        <v>#DIV/0!</v>
      </c>
      <c r="X134" s="261"/>
      <c r="Y134" s="261"/>
      <c r="Z134" s="261"/>
      <c r="AA134" s="261"/>
      <c r="AB134" s="261"/>
      <c r="AC134" s="261"/>
      <c r="AD134" s="261"/>
      <c r="AE134" s="261"/>
    </row>
    <row r="135" spans="1:31" ht="18.2" customHeight="1">
      <c r="A135" s="259"/>
      <c r="B135" s="114" t="s">
        <v>147</v>
      </c>
      <c r="C135" s="115"/>
      <c r="D135" s="116"/>
      <c r="E135" s="172">
        <v>0</v>
      </c>
      <c r="F135" s="173"/>
      <c r="G135" s="174">
        <v>0</v>
      </c>
      <c r="H135" s="175"/>
      <c r="I135" s="117">
        <v>0</v>
      </c>
      <c r="J135" s="261">
        <v>13000</v>
      </c>
      <c r="K135" s="261">
        <v>38490</v>
      </c>
      <c r="L135" s="261">
        <v>13341</v>
      </c>
      <c r="M135" s="261">
        <v>3000</v>
      </c>
      <c r="N135" s="261">
        <v>750</v>
      </c>
      <c r="O135" s="261">
        <v>300</v>
      </c>
      <c r="P135" s="261">
        <v>750</v>
      </c>
      <c r="Q135" s="261">
        <v>0</v>
      </c>
      <c r="R135" s="119">
        <f>SUM(J135:Q135)</f>
        <v>69631</v>
      </c>
      <c r="S135" s="120">
        <f>I135-R135</f>
        <v>-69631</v>
      </c>
      <c r="T135" s="121">
        <f>G135-I135</f>
        <v>0</v>
      </c>
      <c r="U135" s="122">
        <v>0</v>
      </c>
      <c r="V135" s="123" t="e">
        <f t="shared" si="2"/>
        <v>#DIV/0!</v>
      </c>
      <c r="X135" s="261"/>
      <c r="Y135" s="261"/>
      <c r="Z135" s="261"/>
      <c r="AA135" s="261"/>
      <c r="AB135" s="261"/>
      <c r="AC135" s="261"/>
      <c r="AD135" s="261"/>
      <c r="AE135" s="261"/>
    </row>
    <row r="136" spans="1:31" ht="18.2" customHeight="1">
      <c r="A136" s="259"/>
      <c r="B136" s="338" t="s">
        <v>63</v>
      </c>
      <c r="C136" s="115"/>
      <c r="D136" s="116"/>
      <c r="E136" s="172">
        <v>0</v>
      </c>
      <c r="F136" s="173"/>
      <c r="G136" s="174">
        <v>0</v>
      </c>
      <c r="H136" s="175"/>
      <c r="I136" s="117">
        <v>0</v>
      </c>
      <c r="J136" s="261">
        <v>0</v>
      </c>
      <c r="K136" s="261">
        <v>986469</v>
      </c>
      <c r="L136" s="261">
        <v>92273</v>
      </c>
      <c r="M136" s="261">
        <v>368121</v>
      </c>
      <c r="N136" s="261">
        <v>10821</v>
      </c>
      <c r="O136" s="261">
        <v>24039</v>
      </c>
      <c r="P136" s="261">
        <v>18928</v>
      </c>
      <c r="Q136" s="261">
        <v>0</v>
      </c>
      <c r="R136" s="119">
        <f>SUM(J136:Q136)</f>
        <v>1500651</v>
      </c>
      <c r="S136" s="120">
        <f>I136-R136</f>
        <v>-1500651</v>
      </c>
      <c r="T136" s="121">
        <f>G136-I136</f>
        <v>0</v>
      </c>
      <c r="U136" s="122">
        <v>0</v>
      </c>
      <c r="V136" s="123" t="e">
        <f t="shared" si="2"/>
        <v>#DIV/0!</v>
      </c>
      <c r="X136" s="261"/>
      <c r="Y136" s="261"/>
      <c r="Z136" s="261"/>
      <c r="AA136" s="261"/>
      <c r="AB136" s="261"/>
      <c r="AC136" s="261"/>
      <c r="AD136" s="261"/>
      <c r="AE136" s="261"/>
    </row>
    <row r="137" spans="1:31" ht="18.2" customHeight="1">
      <c r="A137" s="259"/>
      <c r="B137" s="338" t="s">
        <v>63</v>
      </c>
      <c r="C137" s="115"/>
      <c r="D137" s="116"/>
      <c r="E137" s="172">
        <v>0</v>
      </c>
      <c r="F137" s="173"/>
      <c r="G137" s="174">
        <v>0</v>
      </c>
      <c r="H137" s="175"/>
      <c r="I137" s="117">
        <v>0</v>
      </c>
      <c r="J137" s="261">
        <v>0</v>
      </c>
      <c r="K137" s="261">
        <v>684415</v>
      </c>
      <c r="L137" s="261">
        <v>0</v>
      </c>
      <c r="M137" s="261">
        <v>0</v>
      </c>
      <c r="N137" s="261">
        <v>0</v>
      </c>
      <c r="O137" s="261">
        <v>0</v>
      </c>
      <c r="P137" s="261">
        <v>0</v>
      </c>
      <c r="Q137" s="261">
        <v>0</v>
      </c>
      <c r="R137" s="119">
        <f>SUM(J137:Q137)</f>
        <v>684415</v>
      </c>
      <c r="S137" s="120">
        <f>I137-R137</f>
        <v>-684415</v>
      </c>
      <c r="T137" s="121">
        <f>G137-I137</f>
        <v>0</v>
      </c>
      <c r="U137" s="122">
        <v>0</v>
      </c>
      <c r="V137" s="123" t="e">
        <f t="shared" si="2"/>
        <v>#DIV/0!</v>
      </c>
      <c r="X137" s="261"/>
      <c r="Y137" s="261"/>
      <c r="Z137" s="261"/>
      <c r="AA137" s="261"/>
      <c r="AB137" s="261"/>
      <c r="AC137" s="261"/>
      <c r="AD137" s="261"/>
      <c r="AE137" s="261"/>
    </row>
    <row r="138" spans="1:31" ht="18.2" customHeight="1">
      <c r="A138" s="259"/>
      <c r="B138" s="114" t="s">
        <v>148</v>
      </c>
      <c r="C138" s="115"/>
      <c r="D138" s="116"/>
      <c r="E138" s="172">
        <v>0</v>
      </c>
      <c r="F138" s="173"/>
      <c r="G138" s="174">
        <v>0</v>
      </c>
      <c r="H138" s="175"/>
      <c r="I138" s="117">
        <v>0</v>
      </c>
      <c r="J138" s="261">
        <v>0</v>
      </c>
      <c r="K138" s="261">
        <v>4983</v>
      </c>
      <c r="L138" s="261">
        <v>1391</v>
      </c>
      <c r="M138" s="261">
        <v>0</v>
      </c>
      <c r="N138" s="261">
        <v>364</v>
      </c>
      <c r="O138" s="261">
        <v>182</v>
      </c>
      <c r="P138" s="261">
        <v>1182</v>
      </c>
      <c r="Q138" s="261">
        <v>0</v>
      </c>
      <c r="R138" s="119">
        <f>SUM(J138:Q138)</f>
        <v>8102</v>
      </c>
      <c r="S138" s="120">
        <f>I138-R138</f>
        <v>-8102</v>
      </c>
      <c r="T138" s="121">
        <f>G138-I138</f>
        <v>0</v>
      </c>
      <c r="U138" s="122">
        <v>0</v>
      </c>
      <c r="V138" s="123" t="e">
        <f t="shared" si="2"/>
        <v>#DIV/0!</v>
      </c>
      <c r="X138" s="261"/>
      <c r="Y138" s="261"/>
      <c r="Z138" s="261"/>
      <c r="AA138" s="261"/>
      <c r="AB138" s="261"/>
      <c r="AC138" s="261"/>
      <c r="AD138" s="261"/>
      <c r="AE138" s="261"/>
    </row>
    <row r="139" spans="1:31" ht="18.2" customHeight="1">
      <c r="A139" s="259"/>
      <c r="B139" s="114"/>
      <c r="C139" s="115"/>
      <c r="D139" s="116"/>
      <c r="E139" s="172">
        <v>22480000</v>
      </c>
      <c r="F139" s="173"/>
      <c r="G139" s="174">
        <v>2680000</v>
      </c>
      <c r="H139" s="175"/>
      <c r="I139" s="117">
        <v>2249920</v>
      </c>
      <c r="J139" s="261">
        <v>0</v>
      </c>
      <c r="K139" s="261">
        <v>0</v>
      </c>
      <c r="L139" s="261">
        <v>0</v>
      </c>
      <c r="M139" s="261">
        <v>0</v>
      </c>
      <c r="N139" s="261">
        <v>0</v>
      </c>
      <c r="O139" s="261">
        <v>0</v>
      </c>
      <c r="P139" s="261">
        <v>0</v>
      </c>
      <c r="Q139" s="261">
        <v>0</v>
      </c>
      <c r="R139" s="119">
        <f>SUM(J139:Q139)</f>
        <v>0</v>
      </c>
      <c r="S139" s="120">
        <f>I139-R139</f>
        <v>2249920</v>
      </c>
      <c r="T139" s="121">
        <f>G139-I139</f>
        <v>430080</v>
      </c>
      <c r="U139" s="122">
        <v>0</v>
      </c>
      <c r="V139" s="123" t="e">
        <f t="shared" si="2"/>
        <v>#DIV/0!</v>
      </c>
      <c r="X139" s="261"/>
      <c r="Y139" s="261"/>
      <c r="Z139" s="261"/>
      <c r="AA139" s="261"/>
      <c r="AB139" s="261"/>
      <c r="AC139" s="261"/>
      <c r="AD139" s="261"/>
      <c r="AE139" s="261"/>
    </row>
    <row r="140" spans="1:31" ht="18.2" customHeight="1">
      <c r="A140" s="259"/>
      <c r="B140" s="114"/>
      <c r="C140" s="115"/>
      <c r="D140" s="116"/>
      <c r="E140" s="172">
        <v>0</v>
      </c>
      <c r="F140" s="173"/>
      <c r="G140" s="174">
        <v>0</v>
      </c>
      <c r="H140" s="175"/>
      <c r="I140" s="117">
        <v>0</v>
      </c>
      <c r="J140" s="261">
        <v>0</v>
      </c>
      <c r="K140" s="261">
        <v>0</v>
      </c>
      <c r="L140" s="261">
        <v>0</v>
      </c>
      <c r="M140" s="261">
        <v>0</v>
      </c>
      <c r="N140" s="261">
        <v>0</v>
      </c>
      <c r="O140" s="261">
        <v>0</v>
      </c>
      <c r="P140" s="261">
        <v>0</v>
      </c>
      <c r="Q140" s="261">
        <v>0</v>
      </c>
      <c r="R140" s="119">
        <f>SUM(J140:Q140)</f>
        <v>0</v>
      </c>
      <c r="S140" s="120">
        <f>I140-R140</f>
        <v>0</v>
      </c>
      <c r="T140" s="121">
        <f>G140-I140</f>
        <v>0</v>
      </c>
      <c r="U140" s="122">
        <v>0</v>
      </c>
      <c r="V140" s="123" t="e">
        <f t="shared" si="2"/>
        <v>#DIV/0!</v>
      </c>
      <c r="X140" s="261"/>
      <c r="Y140" s="261"/>
      <c r="Z140" s="261"/>
      <c r="AA140" s="261"/>
      <c r="AB140" s="261"/>
      <c r="AC140" s="261"/>
      <c r="AD140" s="261"/>
      <c r="AE140" s="261"/>
    </row>
    <row r="141" spans="1:31" ht="18.2" customHeight="1">
      <c r="A141" s="260"/>
      <c r="B141" s="124"/>
      <c r="C141" s="125"/>
      <c r="D141" s="126"/>
      <c r="E141" s="163">
        <v>1680000</v>
      </c>
      <c r="F141" s="164"/>
      <c r="G141" s="165">
        <v>1747000</v>
      </c>
      <c r="H141" s="166"/>
      <c r="I141" s="127">
        <v>1747000</v>
      </c>
      <c r="J141" s="262">
        <v>0</v>
      </c>
      <c r="K141" s="262">
        <v>0</v>
      </c>
      <c r="L141" s="262">
        <v>0</v>
      </c>
      <c r="M141" s="262">
        <v>0</v>
      </c>
      <c r="N141" s="262">
        <v>0</v>
      </c>
      <c r="O141" s="262">
        <v>0</v>
      </c>
      <c r="P141" s="262">
        <v>0</v>
      </c>
      <c r="Q141" s="262">
        <v>0</v>
      </c>
      <c r="R141" s="129">
        <f>SUM(J141:Q141)</f>
        <v>0</v>
      </c>
      <c r="S141" s="130">
        <f>I141-R141</f>
        <v>1747000</v>
      </c>
      <c r="T141" s="131">
        <f>G141-I141</f>
        <v>0</v>
      </c>
      <c r="U141" s="132">
        <v>0</v>
      </c>
      <c r="V141" s="133" t="e">
        <f>R141/U141</f>
        <v>#DIV/0!</v>
      </c>
      <c r="X141" s="262"/>
      <c r="Y141" s="262"/>
      <c r="Z141" s="262"/>
      <c r="AA141" s="262"/>
      <c r="AB141" s="262"/>
      <c r="AC141" s="262"/>
      <c r="AD141" s="262"/>
      <c r="AE141" s="262"/>
    </row>
    <row r="142" spans="1:31" ht="18.95" customHeight="1" thickBot="1">
      <c r="A142" s="113"/>
      <c r="B142" s="78" t="s">
        <v>34</v>
      </c>
      <c r="C142" s="79"/>
      <c r="D142" s="151"/>
      <c r="E142" s="180">
        <f>SUM(E130:F141)</f>
        <v>24160000</v>
      </c>
      <c r="F142" s="181"/>
      <c r="G142" s="182">
        <f>SUM(G130:H141)</f>
        <v>8427000</v>
      </c>
      <c r="H142" s="181"/>
      <c r="I142" s="135">
        <f>SUM(I130:I141)</f>
        <v>7996920</v>
      </c>
      <c r="J142" s="30"/>
      <c r="K142" s="30"/>
      <c r="L142" s="30"/>
      <c r="M142" s="30"/>
      <c r="N142" s="30"/>
      <c r="O142" s="30"/>
      <c r="P142" s="30"/>
      <c r="Q142" s="30"/>
      <c r="R142" s="32">
        <f>SUM(R130:R141)</f>
        <v>5158332</v>
      </c>
      <c r="S142" s="32">
        <f>SUM(S130:S141)</f>
        <v>2838588</v>
      </c>
      <c r="T142" s="33">
        <f>SUM(T130:T141)</f>
        <v>430080</v>
      </c>
      <c r="U142" s="136">
        <f>SUM(U130:U141)</f>
        <v>43</v>
      </c>
      <c r="V142" s="34"/>
    </row>
    <row r="143" spans="1:31" ht="18.2" customHeight="1" thickTop="1">
      <c r="A143" s="52"/>
      <c r="B143" s="176" t="s">
        <v>18</v>
      </c>
      <c r="C143" s="177"/>
      <c r="D143" s="134"/>
      <c r="E143" s="178">
        <f>SUM(E120,E125,E142)</f>
        <v>92359585</v>
      </c>
      <c r="F143" s="179"/>
      <c r="G143" s="178">
        <f>SUM(G120,G125,G142)</f>
        <v>74950590</v>
      </c>
      <c r="H143" s="179"/>
      <c r="I143" s="53">
        <f>SUM(I142,I125,I120)</f>
        <v>81975320</v>
      </c>
      <c r="J143" s="54">
        <f>SUM(J9:J141)</f>
        <v>212000</v>
      </c>
      <c r="K143" s="54">
        <f>SUM(K9:K141)</f>
        <v>1742061</v>
      </c>
      <c r="L143" s="54">
        <f>SUM(L9:L141)</f>
        <v>13420616</v>
      </c>
      <c r="M143" s="54">
        <f>SUM(M9:M141)</f>
        <v>14617236</v>
      </c>
      <c r="N143" s="54">
        <f>SUM(N9:N141)</f>
        <v>13149144</v>
      </c>
      <c r="O143" s="54">
        <f>SUM(O9:O141)</f>
        <v>15175616</v>
      </c>
      <c r="P143" s="54">
        <f>SUM(P9:P141)</f>
        <v>-744539</v>
      </c>
      <c r="Q143" s="54">
        <f>SUM(Q9:Q141)</f>
        <v>0</v>
      </c>
      <c r="R143" s="54">
        <f>SUM(J143:Q143)</f>
        <v>57572134</v>
      </c>
      <c r="S143" s="55">
        <f>I143-R143</f>
        <v>24403186</v>
      </c>
      <c r="T143" s="56">
        <f>SUM(T142,T127)</f>
        <v>-7024730</v>
      </c>
      <c r="U143" s="57">
        <f>SUM(U142,U127)</f>
        <v>521</v>
      </c>
      <c r="V143" s="58"/>
    </row>
    <row r="144" spans="1:31" ht="25.5" customHeight="1">
      <c r="A144" s="59"/>
      <c r="B144" s="59"/>
      <c r="C144" s="59"/>
      <c r="D144" s="59"/>
      <c r="E144" s="59"/>
      <c r="F144" s="60"/>
      <c r="G144" s="59"/>
      <c r="H144" s="60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2"/>
      <c r="T144" s="59"/>
      <c r="U144" s="59"/>
    </row>
    <row r="145" spans="1:17" ht="6" customHeight="1"/>
    <row r="146" spans="1:17" ht="18" customHeight="1">
      <c r="A146" s="13" t="s">
        <v>19</v>
      </c>
    </row>
    <row r="147" spans="1:17" ht="18" customHeight="1">
      <c r="A147" s="167" t="s">
        <v>20</v>
      </c>
      <c r="B147" s="167"/>
      <c r="C147" s="167"/>
      <c r="D147" s="167"/>
      <c r="E147" s="167"/>
      <c r="F147" s="167"/>
      <c r="G147" s="167"/>
      <c r="H147" s="167"/>
      <c r="I147" s="167"/>
      <c r="J147" s="167"/>
      <c r="K147" s="167"/>
      <c r="L147" s="167"/>
      <c r="M147" s="167"/>
      <c r="N147" s="167"/>
      <c r="O147" s="167"/>
      <c r="P147" s="167"/>
      <c r="Q147" s="167"/>
    </row>
    <row r="148" spans="1:17" ht="18" customHeight="1">
      <c r="A148" s="167" t="s">
        <v>21</v>
      </c>
      <c r="B148" s="167"/>
      <c r="C148" s="167"/>
      <c r="D148" s="167"/>
      <c r="E148" s="167"/>
      <c r="F148" s="167"/>
    </row>
    <row r="149" spans="1:17" ht="18" customHeight="1">
      <c r="A149" s="167" t="s">
        <v>22</v>
      </c>
      <c r="B149" s="167"/>
      <c r="C149" s="167"/>
      <c r="D149" s="167"/>
      <c r="E149" s="167"/>
      <c r="F149" s="167"/>
    </row>
    <row r="150" spans="1:17" ht="18" customHeight="1">
      <c r="E150" s="340">
        <f>SUM(E139:F141)</f>
        <v>24160000</v>
      </c>
      <c r="G150" s="340">
        <f>SUM(G139:H141)</f>
        <v>4427000</v>
      </c>
      <c r="I150" s="64">
        <f>SUM(I139:I141)</f>
        <v>3996920</v>
      </c>
    </row>
  </sheetData>
  <mergeCells count="308">
    <mergeCell ref="A87:A95"/>
    <mergeCell ref="A96:A101"/>
    <mergeCell ref="A102:A104"/>
    <mergeCell ref="A105:A116"/>
    <mergeCell ref="A117:A119"/>
    <mergeCell ref="E140:F140"/>
    <mergeCell ref="G140:H140"/>
    <mergeCell ref="A9:A32"/>
    <mergeCell ref="A33:A39"/>
    <mergeCell ref="A40:A44"/>
    <mergeCell ref="A45:A60"/>
    <mergeCell ref="A61:A65"/>
    <mergeCell ref="A66:A72"/>
    <mergeCell ref="A73:A83"/>
    <mergeCell ref="A84:A86"/>
    <mergeCell ref="E137:F137"/>
    <mergeCell ref="G137:H137"/>
    <mergeCell ref="E138:F138"/>
    <mergeCell ref="G138:H138"/>
    <mergeCell ref="E139:F139"/>
    <mergeCell ref="G139:H139"/>
    <mergeCell ref="G133:H133"/>
    <mergeCell ref="E134:F134"/>
    <mergeCell ref="G134:H134"/>
    <mergeCell ref="E135:F135"/>
    <mergeCell ref="G135:H135"/>
    <mergeCell ref="E136:F136"/>
    <mergeCell ref="G136:H136"/>
    <mergeCell ref="E119:F119"/>
    <mergeCell ref="G119:H119"/>
    <mergeCell ref="J3:N3"/>
    <mergeCell ref="J4:N4"/>
    <mergeCell ref="J5:N5"/>
    <mergeCell ref="E131:F131"/>
    <mergeCell ref="G131:H131"/>
    <mergeCell ref="E116:F116"/>
    <mergeCell ref="G116:H116"/>
    <mergeCell ref="E117:F117"/>
    <mergeCell ref="G117:H117"/>
    <mergeCell ref="E118:F118"/>
    <mergeCell ref="G118:H118"/>
    <mergeCell ref="E113:F113"/>
    <mergeCell ref="G113:H113"/>
    <mergeCell ref="E114:F114"/>
    <mergeCell ref="G114:H114"/>
    <mergeCell ref="E115:F115"/>
    <mergeCell ref="G115:H115"/>
    <mergeCell ref="E110:F110"/>
    <mergeCell ref="G110:H110"/>
    <mergeCell ref="E111:F111"/>
    <mergeCell ref="G111:H111"/>
    <mergeCell ref="E112:F112"/>
    <mergeCell ref="G112:H112"/>
    <mergeCell ref="E107:F107"/>
    <mergeCell ref="G107:H107"/>
    <mergeCell ref="E108:F108"/>
    <mergeCell ref="G108:H108"/>
    <mergeCell ref="E109:F109"/>
    <mergeCell ref="G109:H109"/>
    <mergeCell ref="E104:F104"/>
    <mergeCell ref="G104:H104"/>
    <mergeCell ref="E105:F105"/>
    <mergeCell ref="G105:H105"/>
    <mergeCell ref="E106:F106"/>
    <mergeCell ref="G106:H106"/>
    <mergeCell ref="E101:F101"/>
    <mergeCell ref="G101:H101"/>
    <mergeCell ref="E102:F102"/>
    <mergeCell ref="G102:H102"/>
    <mergeCell ref="E103:F103"/>
    <mergeCell ref="G103:H103"/>
    <mergeCell ref="E98:F98"/>
    <mergeCell ref="G98:H98"/>
    <mergeCell ref="E99:F99"/>
    <mergeCell ref="G99:H99"/>
    <mergeCell ref="E100:F100"/>
    <mergeCell ref="G100:H100"/>
    <mergeCell ref="E95:F95"/>
    <mergeCell ref="G95:H95"/>
    <mergeCell ref="E96:F96"/>
    <mergeCell ref="G96:H96"/>
    <mergeCell ref="E97:F97"/>
    <mergeCell ref="G97:H97"/>
    <mergeCell ref="E92:F92"/>
    <mergeCell ref="G92:H92"/>
    <mergeCell ref="E93:F93"/>
    <mergeCell ref="G93:H93"/>
    <mergeCell ref="E94:F94"/>
    <mergeCell ref="G94:H94"/>
    <mergeCell ref="E89:F89"/>
    <mergeCell ref="G89:H89"/>
    <mergeCell ref="E90:F90"/>
    <mergeCell ref="G90:H90"/>
    <mergeCell ref="E91:F91"/>
    <mergeCell ref="G91:H91"/>
    <mergeCell ref="E86:F86"/>
    <mergeCell ref="G86:H86"/>
    <mergeCell ref="E87:F87"/>
    <mergeCell ref="G87:H87"/>
    <mergeCell ref="E88:F88"/>
    <mergeCell ref="G88:H88"/>
    <mergeCell ref="E83:F83"/>
    <mergeCell ref="G83:H83"/>
    <mergeCell ref="E84:F84"/>
    <mergeCell ref="G84:H84"/>
    <mergeCell ref="E85:F85"/>
    <mergeCell ref="G85:H85"/>
    <mergeCell ref="E80:F80"/>
    <mergeCell ref="G80:H80"/>
    <mergeCell ref="E81:F81"/>
    <mergeCell ref="G81:H81"/>
    <mergeCell ref="E82:F82"/>
    <mergeCell ref="G82:H82"/>
    <mergeCell ref="E77:F77"/>
    <mergeCell ref="G77:H77"/>
    <mergeCell ref="E78:F78"/>
    <mergeCell ref="G78:H78"/>
    <mergeCell ref="E79:F79"/>
    <mergeCell ref="G79:H79"/>
    <mergeCell ref="E74:F74"/>
    <mergeCell ref="G74:H74"/>
    <mergeCell ref="E75:F75"/>
    <mergeCell ref="G75:H75"/>
    <mergeCell ref="E76:F76"/>
    <mergeCell ref="G76:H76"/>
    <mergeCell ref="E71:F71"/>
    <mergeCell ref="G71:H71"/>
    <mergeCell ref="E72:F72"/>
    <mergeCell ref="G72:H72"/>
    <mergeCell ref="E73:F73"/>
    <mergeCell ref="G73:H73"/>
    <mergeCell ref="E68:F68"/>
    <mergeCell ref="G68:H68"/>
    <mergeCell ref="E69:F69"/>
    <mergeCell ref="G69:H69"/>
    <mergeCell ref="E70:F70"/>
    <mergeCell ref="G70:H70"/>
    <mergeCell ref="E65:F65"/>
    <mergeCell ref="G65:H65"/>
    <mergeCell ref="E66:F66"/>
    <mergeCell ref="G66:H66"/>
    <mergeCell ref="E67:F67"/>
    <mergeCell ref="G67:H67"/>
    <mergeCell ref="E62:F62"/>
    <mergeCell ref="G62:H62"/>
    <mergeCell ref="E63:F63"/>
    <mergeCell ref="G63:H63"/>
    <mergeCell ref="E64:F64"/>
    <mergeCell ref="G64:H64"/>
    <mergeCell ref="E59:F59"/>
    <mergeCell ref="G59:H59"/>
    <mergeCell ref="E60:F60"/>
    <mergeCell ref="G60:H60"/>
    <mergeCell ref="E61:F61"/>
    <mergeCell ref="G61:H61"/>
    <mergeCell ref="E56:F56"/>
    <mergeCell ref="G56:H56"/>
    <mergeCell ref="E57:F57"/>
    <mergeCell ref="G57:H57"/>
    <mergeCell ref="E58:F58"/>
    <mergeCell ref="G58:H58"/>
    <mergeCell ref="E53:F53"/>
    <mergeCell ref="G53:H53"/>
    <mergeCell ref="E54:F54"/>
    <mergeCell ref="G54:H54"/>
    <mergeCell ref="E55:F55"/>
    <mergeCell ref="G55:H55"/>
    <mergeCell ref="E50:F50"/>
    <mergeCell ref="G50:H50"/>
    <mergeCell ref="E51:F51"/>
    <mergeCell ref="G51:H51"/>
    <mergeCell ref="E52:F52"/>
    <mergeCell ref="G52:H52"/>
    <mergeCell ref="E47:F47"/>
    <mergeCell ref="G47:H47"/>
    <mergeCell ref="E48:F48"/>
    <mergeCell ref="G48:H48"/>
    <mergeCell ref="E49:F49"/>
    <mergeCell ref="G49:H49"/>
    <mergeCell ref="E44:F44"/>
    <mergeCell ref="G44:H44"/>
    <mergeCell ref="E45:F45"/>
    <mergeCell ref="G45:H45"/>
    <mergeCell ref="E46:F46"/>
    <mergeCell ref="G46:H46"/>
    <mergeCell ref="E41:F41"/>
    <mergeCell ref="G41:H41"/>
    <mergeCell ref="E42:F42"/>
    <mergeCell ref="G42:H42"/>
    <mergeCell ref="E43:F43"/>
    <mergeCell ref="G43:H43"/>
    <mergeCell ref="E38:F38"/>
    <mergeCell ref="G38:H38"/>
    <mergeCell ref="E39:F39"/>
    <mergeCell ref="G39:H39"/>
    <mergeCell ref="E40:F40"/>
    <mergeCell ref="G40:H40"/>
    <mergeCell ref="E35:F35"/>
    <mergeCell ref="G35:H35"/>
    <mergeCell ref="E36:F36"/>
    <mergeCell ref="G36:H36"/>
    <mergeCell ref="E37:F37"/>
    <mergeCell ref="G37:H37"/>
    <mergeCell ref="E32:F32"/>
    <mergeCell ref="G32:H32"/>
    <mergeCell ref="E33:F33"/>
    <mergeCell ref="G33:H33"/>
    <mergeCell ref="E34:F34"/>
    <mergeCell ref="G34:H34"/>
    <mergeCell ref="E29:F29"/>
    <mergeCell ref="G29:H29"/>
    <mergeCell ref="E30:F30"/>
    <mergeCell ref="G30:H30"/>
    <mergeCell ref="E31:F31"/>
    <mergeCell ref="G31:H31"/>
    <mergeCell ref="E26:F26"/>
    <mergeCell ref="G26:H26"/>
    <mergeCell ref="E27:F27"/>
    <mergeCell ref="G27:H27"/>
    <mergeCell ref="E28:F28"/>
    <mergeCell ref="G28:H28"/>
    <mergeCell ref="E23:F23"/>
    <mergeCell ref="G23:H23"/>
    <mergeCell ref="E24:F24"/>
    <mergeCell ref="G24:H24"/>
    <mergeCell ref="E25:F25"/>
    <mergeCell ref="G25:H25"/>
    <mergeCell ref="E20:F20"/>
    <mergeCell ref="G20:H20"/>
    <mergeCell ref="E21:F21"/>
    <mergeCell ref="G21:H21"/>
    <mergeCell ref="E22:F22"/>
    <mergeCell ref="G22:H22"/>
    <mergeCell ref="E17:F17"/>
    <mergeCell ref="G17:H17"/>
    <mergeCell ref="E18:F18"/>
    <mergeCell ref="G18:H18"/>
    <mergeCell ref="E19:F19"/>
    <mergeCell ref="G19:H19"/>
    <mergeCell ref="E14:F14"/>
    <mergeCell ref="G14:H14"/>
    <mergeCell ref="E15:F15"/>
    <mergeCell ref="G15:H15"/>
    <mergeCell ref="E16:F16"/>
    <mergeCell ref="G16:H16"/>
    <mergeCell ref="A148:F148"/>
    <mergeCell ref="A149:F149"/>
    <mergeCell ref="E10:F10"/>
    <mergeCell ref="G10:H10"/>
    <mergeCell ref="E11:F11"/>
    <mergeCell ref="G11:H11"/>
    <mergeCell ref="E12:F12"/>
    <mergeCell ref="G12:H12"/>
    <mergeCell ref="E13:F13"/>
    <mergeCell ref="G13:H13"/>
    <mergeCell ref="E142:F142"/>
    <mergeCell ref="G142:H142"/>
    <mergeCell ref="B143:C143"/>
    <mergeCell ref="E143:F143"/>
    <mergeCell ref="G143:H143"/>
    <mergeCell ref="A147:Q147"/>
    <mergeCell ref="E127:F127"/>
    <mergeCell ref="G127:H127"/>
    <mergeCell ref="A130:A141"/>
    <mergeCell ref="E130:F130"/>
    <mergeCell ref="G130:H130"/>
    <mergeCell ref="E141:F141"/>
    <mergeCell ref="G141:H141"/>
    <mergeCell ref="E132:F132"/>
    <mergeCell ref="G132:H132"/>
    <mergeCell ref="E133:F133"/>
    <mergeCell ref="E123:F123"/>
    <mergeCell ref="G123:H123"/>
    <mergeCell ref="E124:F124"/>
    <mergeCell ref="G124:H124"/>
    <mergeCell ref="E125:F125"/>
    <mergeCell ref="G125:H125"/>
    <mergeCell ref="E120:F120"/>
    <mergeCell ref="G120:H120"/>
    <mergeCell ref="A121:V121"/>
    <mergeCell ref="E122:F122"/>
    <mergeCell ref="G122:H122"/>
    <mergeCell ref="R7:R8"/>
    <mergeCell ref="S7:S8"/>
    <mergeCell ref="T7:T8"/>
    <mergeCell ref="U7:U8"/>
    <mergeCell ref="V7:V8"/>
    <mergeCell ref="E9:F9"/>
    <mergeCell ref="G9:H9"/>
    <mergeCell ref="A7:B8"/>
    <mergeCell ref="C7:C8"/>
    <mergeCell ref="D7:D8"/>
    <mergeCell ref="E7:F8"/>
    <mergeCell ref="G7:H8"/>
    <mergeCell ref="I7:I8"/>
    <mergeCell ref="A5:B5"/>
    <mergeCell ref="C5:H5"/>
    <mergeCell ref="A6:B6"/>
    <mergeCell ref="C6:F6"/>
    <mergeCell ref="G6:H6"/>
    <mergeCell ref="J6:Q6"/>
    <mergeCell ref="A3:B3"/>
    <mergeCell ref="C3:H3"/>
    <mergeCell ref="R3:S6"/>
    <mergeCell ref="T3:V3"/>
    <mergeCell ref="A4:B4"/>
    <mergeCell ref="C4:H4"/>
    <mergeCell ref="T4:V6"/>
  </mergeCells>
  <phoneticPr fontId="2"/>
  <pageMargins left="0.7" right="0.7" top="0.75" bottom="0.75" header="0.3" footer="0.3"/>
  <pageSetup paperSize="9" scale="4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78F6E-F219-43E3-A12C-A5ADACF544FF}">
  <sheetPr codeName="Sheet12"/>
  <dimension ref="A1:AE136"/>
  <sheetViews>
    <sheetView view="pageBreakPreview" zoomScaleNormal="100" zoomScaleSheetLayoutView="100" workbookViewId="0">
      <pane xSplit="2" ySplit="6" topLeftCell="C109" activePane="bottomRight" state="frozen"/>
      <selection pane="topRight" activeCell="C1" sqref="C1"/>
      <selection pane="bottomLeft" activeCell="A9" sqref="A9"/>
      <selection pane="bottomRight" activeCell="A128" sqref="A128:I128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63" customWidth="1"/>
    <col min="7" max="7" width="7.625" style="13" customWidth="1"/>
    <col min="8" max="8" width="7.625" style="63" customWidth="1"/>
    <col min="9" max="9" width="15.375" style="64" customWidth="1"/>
    <col min="10" max="18" width="8.625" style="64" customWidth="1"/>
    <col min="19" max="19" width="8.625" style="65" customWidth="1"/>
    <col min="20" max="20" width="11.125" style="13" customWidth="1"/>
    <col min="21" max="21" width="8.625" style="13" customWidth="1"/>
    <col min="22" max="22" width="8.625" style="7" customWidth="1"/>
    <col min="23" max="260" width="9" style="7"/>
    <col min="261" max="261" width="8.625" style="7" customWidth="1"/>
    <col min="262" max="262" width="19.625" style="7" customWidth="1"/>
    <col min="263" max="263" width="8.625" style="7" customWidth="1"/>
    <col min="264" max="265" width="7.625" style="7" customWidth="1"/>
    <col min="266" max="266" width="11.125" style="7" customWidth="1"/>
    <col min="267" max="275" width="8.625" style="7" customWidth="1"/>
    <col min="276" max="276" width="11.125" style="7" customWidth="1"/>
    <col min="277" max="278" width="8.625" style="7" customWidth="1"/>
    <col min="279" max="516" width="9" style="7"/>
    <col min="517" max="517" width="8.625" style="7" customWidth="1"/>
    <col min="518" max="518" width="19.625" style="7" customWidth="1"/>
    <col min="519" max="519" width="8.625" style="7" customWidth="1"/>
    <col min="520" max="521" width="7.625" style="7" customWidth="1"/>
    <col min="522" max="522" width="11.125" style="7" customWidth="1"/>
    <col min="523" max="531" width="8.625" style="7" customWidth="1"/>
    <col min="532" max="532" width="11.125" style="7" customWidth="1"/>
    <col min="533" max="534" width="8.625" style="7" customWidth="1"/>
    <col min="535" max="772" width="9" style="7"/>
    <col min="773" max="773" width="8.625" style="7" customWidth="1"/>
    <col min="774" max="774" width="19.625" style="7" customWidth="1"/>
    <col min="775" max="775" width="8.625" style="7" customWidth="1"/>
    <col min="776" max="777" width="7.625" style="7" customWidth="1"/>
    <col min="778" max="778" width="11.125" style="7" customWidth="1"/>
    <col min="779" max="787" width="8.625" style="7" customWidth="1"/>
    <col min="788" max="788" width="11.125" style="7" customWidth="1"/>
    <col min="789" max="790" width="8.625" style="7" customWidth="1"/>
    <col min="791" max="1028" width="9" style="7"/>
    <col min="1029" max="1029" width="8.625" style="7" customWidth="1"/>
    <col min="1030" max="1030" width="19.625" style="7" customWidth="1"/>
    <col min="1031" max="1031" width="8.625" style="7" customWidth="1"/>
    <col min="1032" max="1033" width="7.625" style="7" customWidth="1"/>
    <col min="1034" max="1034" width="11.125" style="7" customWidth="1"/>
    <col min="1035" max="1043" width="8.625" style="7" customWidth="1"/>
    <col min="1044" max="1044" width="11.125" style="7" customWidth="1"/>
    <col min="1045" max="1046" width="8.625" style="7" customWidth="1"/>
    <col min="1047" max="1284" width="9" style="7"/>
    <col min="1285" max="1285" width="8.625" style="7" customWidth="1"/>
    <col min="1286" max="1286" width="19.625" style="7" customWidth="1"/>
    <col min="1287" max="1287" width="8.625" style="7" customWidth="1"/>
    <col min="1288" max="1289" width="7.625" style="7" customWidth="1"/>
    <col min="1290" max="1290" width="11.125" style="7" customWidth="1"/>
    <col min="1291" max="1299" width="8.625" style="7" customWidth="1"/>
    <col min="1300" max="1300" width="11.125" style="7" customWidth="1"/>
    <col min="1301" max="1302" width="8.625" style="7" customWidth="1"/>
    <col min="1303" max="1540" width="9" style="7"/>
    <col min="1541" max="1541" width="8.625" style="7" customWidth="1"/>
    <col min="1542" max="1542" width="19.625" style="7" customWidth="1"/>
    <col min="1543" max="1543" width="8.625" style="7" customWidth="1"/>
    <col min="1544" max="1545" width="7.625" style="7" customWidth="1"/>
    <col min="1546" max="1546" width="11.125" style="7" customWidth="1"/>
    <col min="1547" max="1555" width="8.625" style="7" customWidth="1"/>
    <col min="1556" max="1556" width="11.125" style="7" customWidth="1"/>
    <col min="1557" max="1558" width="8.625" style="7" customWidth="1"/>
    <col min="1559" max="1796" width="9" style="7"/>
    <col min="1797" max="1797" width="8.625" style="7" customWidth="1"/>
    <col min="1798" max="1798" width="19.625" style="7" customWidth="1"/>
    <col min="1799" max="1799" width="8.625" style="7" customWidth="1"/>
    <col min="1800" max="1801" width="7.625" style="7" customWidth="1"/>
    <col min="1802" max="1802" width="11.125" style="7" customWidth="1"/>
    <col min="1803" max="1811" width="8.625" style="7" customWidth="1"/>
    <col min="1812" max="1812" width="11.125" style="7" customWidth="1"/>
    <col min="1813" max="1814" width="8.625" style="7" customWidth="1"/>
    <col min="1815" max="2052" width="9" style="7"/>
    <col min="2053" max="2053" width="8.625" style="7" customWidth="1"/>
    <col min="2054" max="2054" width="19.625" style="7" customWidth="1"/>
    <col min="2055" max="2055" width="8.625" style="7" customWidth="1"/>
    <col min="2056" max="2057" width="7.625" style="7" customWidth="1"/>
    <col min="2058" max="2058" width="11.125" style="7" customWidth="1"/>
    <col min="2059" max="2067" width="8.625" style="7" customWidth="1"/>
    <col min="2068" max="2068" width="11.125" style="7" customWidth="1"/>
    <col min="2069" max="2070" width="8.625" style="7" customWidth="1"/>
    <col min="2071" max="2308" width="9" style="7"/>
    <col min="2309" max="2309" width="8.625" style="7" customWidth="1"/>
    <col min="2310" max="2310" width="19.625" style="7" customWidth="1"/>
    <col min="2311" max="2311" width="8.625" style="7" customWidth="1"/>
    <col min="2312" max="2313" width="7.625" style="7" customWidth="1"/>
    <col min="2314" max="2314" width="11.125" style="7" customWidth="1"/>
    <col min="2315" max="2323" width="8.625" style="7" customWidth="1"/>
    <col min="2324" max="2324" width="11.125" style="7" customWidth="1"/>
    <col min="2325" max="2326" width="8.625" style="7" customWidth="1"/>
    <col min="2327" max="2564" width="9" style="7"/>
    <col min="2565" max="2565" width="8.625" style="7" customWidth="1"/>
    <col min="2566" max="2566" width="19.625" style="7" customWidth="1"/>
    <col min="2567" max="2567" width="8.625" style="7" customWidth="1"/>
    <col min="2568" max="2569" width="7.625" style="7" customWidth="1"/>
    <col min="2570" max="2570" width="11.125" style="7" customWidth="1"/>
    <col min="2571" max="2579" width="8.625" style="7" customWidth="1"/>
    <col min="2580" max="2580" width="11.125" style="7" customWidth="1"/>
    <col min="2581" max="2582" width="8.625" style="7" customWidth="1"/>
    <col min="2583" max="2820" width="9" style="7"/>
    <col min="2821" max="2821" width="8.625" style="7" customWidth="1"/>
    <col min="2822" max="2822" width="19.625" style="7" customWidth="1"/>
    <col min="2823" max="2823" width="8.625" style="7" customWidth="1"/>
    <col min="2824" max="2825" width="7.625" style="7" customWidth="1"/>
    <col min="2826" max="2826" width="11.125" style="7" customWidth="1"/>
    <col min="2827" max="2835" width="8.625" style="7" customWidth="1"/>
    <col min="2836" max="2836" width="11.125" style="7" customWidth="1"/>
    <col min="2837" max="2838" width="8.625" style="7" customWidth="1"/>
    <col min="2839" max="3076" width="9" style="7"/>
    <col min="3077" max="3077" width="8.625" style="7" customWidth="1"/>
    <col min="3078" max="3078" width="19.625" style="7" customWidth="1"/>
    <col min="3079" max="3079" width="8.625" style="7" customWidth="1"/>
    <col min="3080" max="3081" width="7.625" style="7" customWidth="1"/>
    <col min="3082" max="3082" width="11.125" style="7" customWidth="1"/>
    <col min="3083" max="3091" width="8.625" style="7" customWidth="1"/>
    <col min="3092" max="3092" width="11.125" style="7" customWidth="1"/>
    <col min="3093" max="3094" width="8.625" style="7" customWidth="1"/>
    <col min="3095" max="3332" width="9" style="7"/>
    <col min="3333" max="3333" width="8.625" style="7" customWidth="1"/>
    <col min="3334" max="3334" width="19.625" style="7" customWidth="1"/>
    <col min="3335" max="3335" width="8.625" style="7" customWidth="1"/>
    <col min="3336" max="3337" width="7.625" style="7" customWidth="1"/>
    <col min="3338" max="3338" width="11.125" style="7" customWidth="1"/>
    <col min="3339" max="3347" width="8.625" style="7" customWidth="1"/>
    <col min="3348" max="3348" width="11.125" style="7" customWidth="1"/>
    <col min="3349" max="3350" width="8.625" style="7" customWidth="1"/>
    <col min="3351" max="3588" width="9" style="7"/>
    <col min="3589" max="3589" width="8.625" style="7" customWidth="1"/>
    <col min="3590" max="3590" width="19.625" style="7" customWidth="1"/>
    <col min="3591" max="3591" width="8.625" style="7" customWidth="1"/>
    <col min="3592" max="3593" width="7.625" style="7" customWidth="1"/>
    <col min="3594" max="3594" width="11.125" style="7" customWidth="1"/>
    <col min="3595" max="3603" width="8.625" style="7" customWidth="1"/>
    <col min="3604" max="3604" width="11.125" style="7" customWidth="1"/>
    <col min="3605" max="3606" width="8.625" style="7" customWidth="1"/>
    <col min="3607" max="3844" width="9" style="7"/>
    <col min="3845" max="3845" width="8.625" style="7" customWidth="1"/>
    <col min="3846" max="3846" width="19.625" style="7" customWidth="1"/>
    <col min="3847" max="3847" width="8.625" style="7" customWidth="1"/>
    <col min="3848" max="3849" width="7.625" style="7" customWidth="1"/>
    <col min="3850" max="3850" width="11.125" style="7" customWidth="1"/>
    <col min="3851" max="3859" width="8.625" style="7" customWidth="1"/>
    <col min="3860" max="3860" width="11.125" style="7" customWidth="1"/>
    <col min="3861" max="3862" width="8.625" style="7" customWidth="1"/>
    <col min="3863" max="4100" width="9" style="7"/>
    <col min="4101" max="4101" width="8.625" style="7" customWidth="1"/>
    <col min="4102" max="4102" width="19.625" style="7" customWidth="1"/>
    <col min="4103" max="4103" width="8.625" style="7" customWidth="1"/>
    <col min="4104" max="4105" width="7.625" style="7" customWidth="1"/>
    <col min="4106" max="4106" width="11.125" style="7" customWidth="1"/>
    <col min="4107" max="4115" width="8.625" style="7" customWidth="1"/>
    <col min="4116" max="4116" width="11.125" style="7" customWidth="1"/>
    <col min="4117" max="4118" width="8.625" style="7" customWidth="1"/>
    <col min="4119" max="4356" width="9" style="7"/>
    <col min="4357" max="4357" width="8.625" style="7" customWidth="1"/>
    <col min="4358" max="4358" width="19.625" style="7" customWidth="1"/>
    <col min="4359" max="4359" width="8.625" style="7" customWidth="1"/>
    <col min="4360" max="4361" width="7.625" style="7" customWidth="1"/>
    <col min="4362" max="4362" width="11.125" style="7" customWidth="1"/>
    <col min="4363" max="4371" width="8.625" style="7" customWidth="1"/>
    <col min="4372" max="4372" width="11.125" style="7" customWidth="1"/>
    <col min="4373" max="4374" width="8.625" style="7" customWidth="1"/>
    <col min="4375" max="4612" width="9" style="7"/>
    <col min="4613" max="4613" width="8.625" style="7" customWidth="1"/>
    <col min="4614" max="4614" width="19.625" style="7" customWidth="1"/>
    <col min="4615" max="4615" width="8.625" style="7" customWidth="1"/>
    <col min="4616" max="4617" width="7.625" style="7" customWidth="1"/>
    <col min="4618" max="4618" width="11.125" style="7" customWidth="1"/>
    <col min="4619" max="4627" width="8.625" style="7" customWidth="1"/>
    <col min="4628" max="4628" width="11.125" style="7" customWidth="1"/>
    <col min="4629" max="4630" width="8.625" style="7" customWidth="1"/>
    <col min="4631" max="4868" width="9" style="7"/>
    <col min="4869" max="4869" width="8.625" style="7" customWidth="1"/>
    <col min="4870" max="4870" width="19.625" style="7" customWidth="1"/>
    <col min="4871" max="4871" width="8.625" style="7" customWidth="1"/>
    <col min="4872" max="4873" width="7.625" style="7" customWidth="1"/>
    <col min="4874" max="4874" width="11.125" style="7" customWidth="1"/>
    <col min="4875" max="4883" width="8.625" style="7" customWidth="1"/>
    <col min="4884" max="4884" width="11.125" style="7" customWidth="1"/>
    <col min="4885" max="4886" width="8.625" style="7" customWidth="1"/>
    <col min="4887" max="5124" width="9" style="7"/>
    <col min="5125" max="5125" width="8.625" style="7" customWidth="1"/>
    <col min="5126" max="5126" width="19.625" style="7" customWidth="1"/>
    <col min="5127" max="5127" width="8.625" style="7" customWidth="1"/>
    <col min="5128" max="5129" width="7.625" style="7" customWidth="1"/>
    <col min="5130" max="5130" width="11.125" style="7" customWidth="1"/>
    <col min="5131" max="5139" width="8.625" style="7" customWidth="1"/>
    <col min="5140" max="5140" width="11.125" style="7" customWidth="1"/>
    <col min="5141" max="5142" width="8.625" style="7" customWidth="1"/>
    <col min="5143" max="5380" width="9" style="7"/>
    <col min="5381" max="5381" width="8.625" style="7" customWidth="1"/>
    <col min="5382" max="5382" width="19.625" style="7" customWidth="1"/>
    <col min="5383" max="5383" width="8.625" style="7" customWidth="1"/>
    <col min="5384" max="5385" width="7.625" style="7" customWidth="1"/>
    <col min="5386" max="5386" width="11.125" style="7" customWidth="1"/>
    <col min="5387" max="5395" width="8.625" style="7" customWidth="1"/>
    <col min="5396" max="5396" width="11.125" style="7" customWidth="1"/>
    <col min="5397" max="5398" width="8.625" style="7" customWidth="1"/>
    <col min="5399" max="5636" width="9" style="7"/>
    <col min="5637" max="5637" width="8.625" style="7" customWidth="1"/>
    <col min="5638" max="5638" width="19.625" style="7" customWidth="1"/>
    <col min="5639" max="5639" width="8.625" style="7" customWidth="1"/>
    <col min="5640" max="5641" width="7.625" style="7" customWidth="1"/>
    <col min="5642" max="5642" width="11.125" style="7" customWidth="1"/>
    <col min="5643" max="5651" width="8.625" style="7" customWidth="1"/>
    <col min="5652" max="5652" width="11.125" style="7" customWidth="1"/>
    <col min="5653" max="5654" width="8.625" style="7" customWidth="1"/>
    <col min="5655" max="5892" width="9" style="7"/>
    <col min="5893" max="5893" width="8.625" style="7" customWidth="1"/>
    <col min="5894" max="5894" width="19.625" style="7" customWidth="1"/>
    <col min="5895" max="5895" width="8.625" style="7" customWidth="1"/>
    <col min="5896" max="5897" width="7.625" style="7" customWidth="1"/>
    <col min="5898" max="5898" width="11.125" style="7" customWidth="1"/>
    <col min="5899" max="5907" width="8.625" style="7" customWidth="1"/>
    <col min="5908" max="5908" width="11.125" style="7" customWidth="1"/>
    <col min="5909" max="5910" width="8.625" style="7" customWidth="1"/>
    <col min="5911" max="6148" width="9" style="7"/>
    <col min="6149" max="6149" width="8.625" style="7" customWidth="1"/>
    <col min="6150" max="6150" width="19.625" style="7" customWidth="1"/>
    <col min="6151" max="6151" width="8.625" style="7" customWidth="1"/>
    <col min="6152" max="6153" width="7.625" style="7" customWidth="1"/>
    <col min="6154" max="6154" width="11.125" style="7" customWidth="1"/>
    <col min="6155" max="6163" width="8.625" style="7" customWidth="1"/>
    <col min="6164" max="6164" width="11.125" style="7" customWidth="1"/>
    <col min="6165" max="6166" width="8.625" style="7" customWidth="1"/>
    <col min="6167" max="6404" width="9" style="7"/>
    <col min="6405" max="6405" width="8.625" style="7" customWidth="1"/>
    <col min="6406" max="6406" width="19.625" style="7" customWidth="1"/>
    <col min="6407" max="6407" width="8.625" style="7" customWidth="1"/>
    <col min="6408" max="6409" width="7.625" style="7" customWidth="1"/>
    <col min="6410" max="6410" width="11.125" style="7" customWidth="1"/>
    <col min="6411" max="6419" width="8.625" style="7" customWidth="1"/>
    <col min="6420" max="6420" width="11.125" style="7" customWidth="1"/>
    <col min="6421" max="6422" width="8.625" style="7" customWidth="1"/>
    <col min="6423" max="6660" width="9" style="7"/>
    <col min="6661" max="6661" width="8.625" style="7" customWidth="1"/>
    <col min="6662" max="6662" width="19.625" style="7" customWidth="1"/>
    <col min="6663" max="6663" width="8.625" style="7" customWidth="1"/>
    <col min="6664" max="6665" width="7.625" style="7" customWidth="1"/>
    <col min="6666" max="6666" width="11.125" style="7" customWidth="1"/>
    <col min="6667" max="6675" width="8.625" style="7" customWidth="1"/>
    <col min="6676" max="6676" width="11.125" style="7" customWidth="1"/>
    <col min="6677" max="6678" width="8.625" style="7" customWidth="1"/>
    <col min="6679" max="6916" width="9" style="7"/>
    <col min="6917" max="6917" width="8.625" style="7" customWidth="1"/>
    <col min="6918" max="6918" width="19.625" style="7" customWidth="1"/>
    <col min="6919" max="6919" width="8.625" style="7" customWidth="1"/>
    <col min="6920" max="6921" width="7.625" style="7" customWidth="1"/>
    <col min="6922" max="6922" width="11.125" style="7" customWidth="1"/>
    <col min="6923" max="6931" width="8.625" style="7" customWidth="1"/>
    <col min="6932" max="6932" width="11.125" style="7" customWidth="1"/>
    <col min="6933" max="6934" width="8.625" style="7" customWidth="1"/>
    <col min="6935" max="7172" width="9" style="7"/>
    <col min="7173" max="7173" width="8.625" style="7" customWidth="1"/>
    <col min="7174" max="7174" width="19.625" style="7" customWidth="1"/>
    <col min="7175" max="7175" width="8.625" style="7" customWidth="1"/>
    <col min="7176" max="7177" width="7.625" style="7" customWidth="1"/>
    <col min="7178" max="7178" width="11.125" style="7" customWidth="1"/>
    <col min="7179" max="7187" width="8.625" style="7" customWidth="1"/>
    <col min="7188" max="7188" width="11.125" style="7" customWidth="1"/>
    <col min="7189" max="7190" width="8.625" style="7" customWidth="1"/>
    <col min="7191" max="7428" width="9" style="7"/>
    <col min="7429" max="7429" width="8.625" style="7" customWidth="1"/>
    <col min="7430" max="7430" width="19.625" style="7" customWidth="1"/>
    <col min="7431" max="7431" width="8.625" style="7" customWidth="1"/>
    <col min="7432" max="7433" width="7.625" style="7" customWidth="1"/>
    <col min="7434" max="7434" width="11.125" style="7" customWidth="1"/>
    <col min="7435" max="7443" width="8.625" style="7" customWidth="1"/>
    <col min="7444" max="7444" width="11.125" style="7" customWidth="1"/>
    <col min="7445" max="7446" width="8.625" style="7" customWidth="1"/>
    <col min="7447" max="7684" width="9" style="7"/>
    <col min="7685" max="7685" width="8.625" style="7" customWidth="1"/>
    <col min="7686" max="7686" width="19.625" style="7" customWidth="1"/>
    <col min="7687" max="7687" width="8.625" style="7" customWidth="1"/>
    <col min="7688" max="7689" width="7.625" style="7" customWidth="1"/>
    <col min="7690" max="7690" width="11.125" style="7" customWidth="1"/>
    <col min="7691" max="7699" width="8.625" style="7" customWidth="1"/>
    <col min="7700" max="7700" width="11.125" style="7" customWidth="1"/>
    <col min="7701" max="7702" width="8.625" style="7" customWidth="1"/>
    <col min="7703" max="7940" width="9" style="7"/>
    <col min="7941" max="7941" width="8.625" style="7" customWidth="1"/>
    <col min="7942" max="7942" width="19.625" style="7" customWidth="1"/>
    <col min="7943" max="7943" width="8.625" style="7" customWidth="1"/>
    <col min="7944" max="7945" width="7.625" style="7" customWidth="1"/>
    <col min="7946" max="7946" width="11.125" style="7" customWidth="1"/>
    <col min="7947" max="7955" width="8.625" style="7" customWidth="1"/>
    <col min="7956" max="7956" width="11.125" style="7" customWidth="1"/>
    <col min="7957" max="7958" width="8.625" style="7" customWidth="1"/>
    <col min="7959" max="8196" width="9" style="7"/>
    <col min="8197" max="8197" width="8.625" style="7" customWidth="1"/>
    <col min="8198" max="8198" width="19.625" style="7" customWidth="1"/>
    <col min="8199" max="8199" width="8.625" style="7" customWidth="1"/>
    <col min="8200" max="8201" width="7.625" style="7" customWidth="1"/>
    <col min="8202" max="8202" width="11.125" style="7" customWidth="1"/>
    <col min="8203" max="8211" width="8.625" style="7" customWidth="1"/>
    <col min="8212" max="8212" width="11.125" style="7" customWidth="1"/>
    <col min="8213" max="8214" width="8.625" style="7" customWidth="1"/>
    <col min="8215" max="8452" width="9" style="7"/>
    <col min="8453" max="8453" width="8.625" style="7" customWidth="1"/>
    <col min="8454" max="8454" width="19.625" style="7" customWidth="1"/>
    <col min="8455" max="8455" width="8.625" style="7" customWidth="1"/>
    <col min="8456" max="8457" width="7.625" style="7" customWidth="1"/>
    <col min="8458" max="8458" width="11.125" style="7" customWidth="1"/>
    <col min="8459" max="8467" width="8.625" style="7" customWidth="1"/>
    <col min="8468" max="8468" width="11.125" style="7" customWidth="1"/>
    <col min="8469" max="8470" width="8.625" style="7" customWidth="1"/>
    <col min="8471" max="8708" width="9" style="7"/>
    <col min="8709" max="8709" width="8.625" style="7" customWidth="1"/>
    <col min="8710" max="8710" width="19.625" style="7" customWidth="1"/>
    <col min="8711" max="8711" width="8.625" style="7" customWidth="1"/>
    <col min="8712" max="8713" width="7.625" style="7" customWidth="1"/>
    <col min="8714" max="8714" width="11.125" style="7" customWidth="1"/>
    <col min="8715" max="8723" width="8.625" style="7" customWidth="1"/>
    <col min="8724" max="8724" width="11.125" style="7" customWidth="1"/>
    <col min="8725" max="8726" width="8.625" style="7" customWidth="1"/>
    <col min="8727" max="8964" width="9" style="7"/>
    <col min="8965" max="8965" width="8.625" style="7" customWidth="1"/>
    <col min="8966" max="8966" width="19.625" style="7" customWidth="1"/>
    <col min="8967" max="8967" width="8.625" style="7" customWidth="1"/>
    <col min="8968" max="8969" width="7.625" style="7" customWidth="1"/>
    <col min="8970" max="8970" width="11.125" style="7" customWidth="1"/>
    <col min="8971" max="8979" width="8.625" style="7" customWidth="1"/>
    <col min="8980" max="8980" width="11.125" style="7" customWidth="1"/>
    <col min="8981" max="8982" width="8.625" style="7" customWidth="1"/>
    <col min="8983" max="9220" width="9" style="7"/>
    <col min="9221" max="9221" width="8.625" style="7" customWidth="1"/>
    <col min="9222" max="9222" width="19.625" style="7" customWidth="1"/>
    <col min="9223" max="9223" width="8.625" style="7" customWidth="1"/>
    <col min="9224" max="9225" width="7.625" style="7" customWidth="1"/>
    <col min="9226" max="9226" width="11.125" style="7" customWidth="1"/>
    <col min="9227" max="9235" width="8.625" style="7" customWidth="1"/>
    <col min="9236" max="9236" width="11.125" style="7" customWidth="1"/>
    <col min="9237" max="9238" width="8.625" style="7" customWidth="1"/>
    <col min="9239" max="9476" width="9" style="7"/>
    <col min="9477" max="9477" width="8.625" style="7" customWidth="1"/>
    <col min="9478" max="9478" width="19.625" style="7" customWidth="1"/>
    <col min="9479" max="9479" width="8.625" style="7" customWidth="1"/>
    <col min="9480" max="9481" width="7.625" style="7" customWidth="1"/>
    <col min="9482" max="9482" width="11.125" style="7" customWidth="1"/>
    <col min="9483" max="9491" width="8.625" style="7" customWidth="1"/>
    <col min="9492" max="9492" width="11.125" style="7" customWidth="1"/>
    <col min="9493" max="9494" width="8.625" style="7" customWidth="1"/>
    <col min="9495" max="9732" width="9" style="7"/>
    <col min="9733" max="9733" width="8.625" style="7" customWidth="1"/>
    <col min="9734" max="9734" width="19.625" style="7" customWidth="1"/>
    <col min="9735" max="9735" width="8.625" style="7" customWidth="1"/>
    <col min="9736" max="9737" width="7.625" style="7" customWidth="1"/>
    <col min="9738" max="9738" width="11.125" style="7" customWidth="1"/>
    <col min="9739" max="9747" width="8.625" style="7" customWidth="1"/>
    <col min="9748" max="9748" width="11.125" style="7" customWidth="1"/>
    <col min="9749" max="9750" width="8.625" style="7" customWidth="1"/>
    <col min="9751" max="9988" width="9" style="7"/>
    <col min="9989" max="9989" width="8.625" style="7" customWidth="1"/>
    <col min="9990" max="9990" width="19.625" style="7" customWidth="1"/>
    <col min="9991" max="9991" width="8.625" style="7" customWidth="1"/>
    <col min="9992" max="9993" width="7.625" style="7" customWidth="1"/>
    <col min="9994" max="9994" width="11.125" style="7" customWidth="1"/>
    <col min="9995" max="10003" width="8.625" style="7" customWidth="1"/>
    <col min="10004" max="10004" width="11.125" style="7" customWidth="1"/>
    <col min="10005" max="10006" width="8.625" style="7" customWidth="1"/>
    <col min="10007" max="10244" width="9" style="7"/>
    <col min="10245" max="10245" width="8.625" style="7" customWidth="1"/>
    <col min="10246" max="10246" width="19.625" style="7" customWidth="1"/>
    <col min="10247" max="10247" width="8.625" style="7" customWidth="1"/>
    <col min="10248" max="10249" width="7.625" style="7" customWidth="1"/>
    <col min="10250" max="10250" width="11.125" style="7" customWidth="1"/>
    <col min="10251" max="10259" width="8.625" style="7" customWidth="1"/>
    <col min="10260" max="10260" width="11.125" style="7" customWidth="1"/>
    <col min="10261" max="10262" width="8.625" style="7" customWidth="1"/>
    <col min="10263" max="10500" width="9" style="7"/>
    <col min="10501" max="10501" width="8.625" style="7" customWidth="1"/>
    <col min="10502" max="10502" width="19.625" style="7" customWidth="1"/>
    <col min="10503" max="10503" width="8.625" style="7" customWidth="1"/>
    <col min="10504" max="10505" width="7.625" style="7" customWidth="1"/>
    <col min="10506" max="10506" width="11.125" style="7" customWidth="1"/>
    <col min="10507" max="10515" width="8.625" style="7" customWidth="1"/>
    <col min="10516" max="10516" width="11.125" style="7" customWidth="1"/>
    <col min="10517" max="10518" width="8.625" style="7" customWidth="1"/>
    <col min="10519" max="10756" width="9" style="7"/>
    <col min="10757" max="10757" width="8.625" style="7" customWidth="1"/>
    <col min="10758" max="10758" width="19.625" style="7" customWidth="1"/>
    <col min="10759" max="10759" width="8.625" style="7" customWidth="1"/>
    <col min="10760" max="10761" width="7.625" style="7" customWidth="1"/>
    <col min="10762" max="10762" width="11.125" style="7" customWidth="1"/>
    <col min="10763" max="10771" width="8.625" style="7" customWidth="1"/>
    <col min="10772" max="10772" width="11.125" style="7" customWidth="1"/>
    <col min="10773" max="10774" width="8.625" style="7" customWidth="1"/>
    <col min="10775" max="11012" width="9" style="7"/>
    <col min="11013" max="11013" width="8.625" style="7" customWidth="1"/>
    <col min="11014" max="11014" width="19.625" style="7" customWidth="1"/>
    <col min="11015" max="11015" width="8.625" style="7" customWidth="1"/>
    <col min="11016" max="11017" width="7.625" style="7" customWidth="1"/>
    <col min="11018" max="11018" width="11.125" style="7" customWidth="1"/>
    <col min="11019" max="11027" width="8.625" style="7" customWidth="1"/>
    <col min="11028" max="11028" width="11.125" style="7" customWidth="1"/>
    <col min="11029" max="11030" width="8.625" style="7" customWidth="1"/>
    <col min="11031" max="11268" width="9" style="7"/>
    <col min="11269" max="11269" width="8.625" style="7" customWidth="1"/>
    <col min="11270" max="11270" width="19.625" style="7" customWidth="1"/>
    <col min="11271" max="11271" width="8.625" style="7" customWidth="1"/>
    <col min="11272" max="11273" width="7.625" style="7" customWidth="1"/>
    <col min="11274" max="11274" width="11.125" style="7" customWidth="1"/>
    <col min="11275" max="11283" width="8.625" style="7" customWidth="1"/>
    <col min="11284" max="11284" width="11.125" style="7" customWidth="1"/>
    <col min="11285" max="11286" width="8.625" style="7" customWidth="1"/>
    <col min="11287" max="11524" width="9" style="7"/>
    <col min="11525" max="11525" width="8.625" style="7" customWidth="1"/>
    <col min="11526" max="11526" width="19.625" style="7" customWidth="1"/>
    <col min="11527" max="11527" width="8.625" style="7" customWidth="1"/>
    <col min="11528" max="11529" width="7.625" style="7" customWidth="1"/>
    <col min="11530" max="11530" width="11.125" style="7" customWidth="1"/>
    <col min="11531" max="11539" width="8.625" style="7" customWidth="1"/>
    <col min="11540" max="11540" width="11.125" style="7" customWidth="1"/>
    <col min="11541" max="11542" width="8.625" style="7" customWidth="1"/>
    <col min="11543" max="11780" width="9" style="7"/>
    <col min="11781" max="11781" width="8.625" style="7" customWidth="1"/>
    <col min="11782" max="11782" width="19.625" style="7" customWidth="1"/>
    <col min="11783" max="11783" width="8.625" style="7" customWidth="1"/>
    <col min="11784" max="11785" width="7.625" style="7" customWidth="1"/>
    <col min="11786" max="11786" width="11.125" style="7" customWidth="1"/>
    <col min="11787" max="11795" width="8.625" style="7" customWidth="1"/>
    <col min="11796" max="11796" width="11.125" style="7" customWidth="1"/>
    <col min="11797" max="11798" width="8.625" style="7" customWidth="1"/>
    <col min="11799" max="12036" width="9" style="7"/>
    <col min="12037" max="12037" width="8.625" style="7" customWidth="1"/>
    <col min="12038" max="12038" width="19.625" style="7" customWidth="1"/>
    <col min="12039" max="12039" width="8.625" style="7" customWidth="1"/>
    <col min="12040" max="12041" width="7.625" style="7" customWidth="1"/>
    <col min="12042" max="12042" width="11.125" style="7" customWidth="1"/>
    <col min="12043" max="12051" width="8.625" style="7" customWidth="1"/>
    <col min="12052" max="12052" width="11.125" style="7" customWidth="1"/>
    <col min="12053" max="12054" width="8.625" style="7" customWidth="1"/>
    <col min="12055" max="12292" width="9" style="7"/>
    <col min="12293" max="12293" width="8.625" style="7" customWidth="1"/>
    <col min="12294" max="12294" width="19.625" style="7" customWidth="1"/>
    <col min="12295" max="12295" width="8.625" style="7" customWidth="1"/>
    <col min="12296" max="12297" width="7.625" style="7" customWidth="1"/>
    <col min="12298" max="12298" width="11.125" style="7" customWidth="1"/>
    <col min="12299" max="12307" width="8.625" style="7" customWidth="1"/>
    <col min="12308" max="12308" width="11.125" style="7" customWidth="1"/>
    <col min="12309" max="12310" width="8.625" style="7" customWidth="1"/>
    <col min="12311" max="12548" width="9" style="7"/>
    <col min="12549" max="12549" width="8.625" style="7" customWidth="1"/>
    <col min="12550" max="12550" width="19.625" style="7" customWidth="1"/>
    <col min="12551" max="12551" width="8.625" style="7" customWidth="1"/>
    <col min="12552" max="12553" width="7.625" style="7" customWidth="1"/>
    <col min="12554" max="12554" width="11.125" style="7" customWidth="1"/>
    <col min="12555" max="12563" width="8.625" style="7" customWidth="1"/>
    <col min="12564" max="12564" width="11.125" style="7" customWidth="1"/>
    <col min="12565" max="12566" width="8.625" style="7" customWidth="1"/>
    <col min="12567" max="12804" width="9" style="7"/>
    <col min="12805" max="12805" width="8.625" style="7" customWidth="1"/>
    <col min="12806" max="12806" width="19.625" style="7" customWidth="1"/>
    <col min="12807" max="12807" width="8.625" style="7" customWidth="1"/>
    <col min="12808" max="12809" width="7.625" style="7" customWidth="1"/>
    <col min="12810" max="12810" width="11.125" style="7" customWidth="1"/>
    <col min="12811" max="12819" width="8.625" style="7" customWidth="1"/>
    <col min="12820" max="12820" width="11.125" style="7" customWidth="1"/>
    <col min="12821" max="12822" width="8.625" style="7" customWidth="1"/>
    <col min="12823" max="13060" width="9" style="7"/>
    <col min="13061" max="13061" width="8.625" style="7" customWidth="1"/>
    <col min="13062" max="13062" width="19.625" style="7" customWidth="1"/>
    <col min="13063" max="13063" width="8.625" style="7" customWidth="1"/>
    <col min="13064" max="13065" width="7.625" style="7" customWidth="1"/>
    <col min="13066" max="13066" width="11.125" style="7" customWidth="1"/>
    <col min="13067" max="13075" width="8.625" style="7" customWidth="1"/>
    <col min="13076" max="13076" width="11.125" style="7" customWidth="1"/>
    <col min="13077" max="13078" width="8.625" style="7" customWidth="1"/>
    <col min="13079" max="13316" width="9" style="7"/>
    <col min="13317" max="13317" width="8.625" style="7" customWidth="1"/>
    <col min="13318" max="13318" width="19.625" style="7" customWidth="1"/>
    <col min="13319" max="13319" width="8.625" style="7" customWidth="1"/>
    <col min="13320" max="13321" width="7.625" style="7" customWidth="1"/>
    <col min="13322" max="13322" width="11.125" style="7" customWidth="1"/>
    <col min="13323" max="13331" width="8.625" style="7" customWidth="1"/>
    <col min="13332" max="13332" width="11.125" style="7" customWidth="1"/>
    <col min="13333" max="13334" width="8.625" style="7" customWidth="1"/>
    <col min="13335" max="13572" width="9" style="7"/>
    <col min="13573" max="13573" width="8.625" style="7" customWidth="1"/>
    <col min="13574" max="13574" width="19.625" style="7" customWidth="1"/>
    <col min="13575" max="13575" width="8.625" style="7" customWidth="1"/>
    <col min="13576" max="13577" width="7.625" style="7" customWidth="1"/>
    <col min="13578" max="13578" width="11.125" style="7" customWidth="1"/>
    <col min="13579" max="13587" width="8.625" style="7" customWidth="1"/>
    <col min="13588" max="13588" width="11.125" style="7" customWidth="1"/>
    <col min="13589" max="13590" width="8.625" style="7" customWidth="1"/>
    <col min="13591" max="13828" width="9" style="7"/>
    <col min="13829" max="13829" width="8.625" style="7" customWidth="1"/>
    <col min="13830" max="13830" width="19.625" style="7" customWidth="1"/>
    <col min="13831" max="13831" width="8.625" style="7" customWidth="1"/>
    <col min="13832" max="13833" width="7.625" style="7" customWidth="1"/>
    <col min="13834" max="13834" width="11.125" style="7" customWidth="1"/>
    <col min="13835" max="13843" width="8.625" style="7" customWidth="1"/>
    <col min="13844" max="13844" width="11.125" style="7" customWidth="1"/>
    <col min="13845" max="13846" width="8.625" style="7" customWidth="1"/>
    <col min="13847" max="14084" width="9" style="7"/>
    <col min="14085" max="14085" width="8.625" style="7" customWidth="1"/>
    <col min="14086" max="14086" width="19.625" style="7" customWidth="1"/>
    <col min="14087" max="14087" width="8.625" style="7" customWidth="1"/>
    <col min="14088" max="14089" width="7.625" style="7" customWidth="1"/>
    <col min="14090" max="14090" width="11.125" style="7" customWidth="1"/>
    <col min="14091" max="14099" width="8.625" style="7" customWidth="1"/>
    <col min="14100" max="14100" width="11.125" style="7" customWidth="1"/>
    <col min="14101" max="14102" width="8.625" style="7" customWidth="1"/>
    <col min="14103" max="14340" width="9" style="7"/>
    <col min="14341" max="14341" width="8.625" style="7" customWidth="1"/>
    <col min="14342" max="14342" width="19.625" style="7" customWidth="1"/>
    <col min="14343" max="14343" width="8.625" style="7" customWidth="1"/>
    <col min="14344" max="14345" width="7.625" style="7" customWidth="1"/>
    <col min="14346" max="14346" width="11.125" style="7" customWidth="1"/>
    <col min="14347" max="14355" width="8.625" style="7" customWidth="1"/>
    <col min="14356" max="14356" width="11.125" style="7" customWidth="1"/>
    <col min="14357" max="14358" width="8.625" style="7" customWidth="1"/>
    <col min="14359" max="14596" width="9" style="7"/>
    <col min="14597" max="14597" width="8.625" style="7" customWidth="1"/>
    <col min="14598" max="14598" width="19.625" style="7" customWidth="1"/>
    <col min="14599" max="14599" width="8.625" style="7" customWidth="1"/>
    <col min="14600" max="14601" width="7.625" style="7" customWidth="1"/>
    <col min="14602" max="14602" width="11.125" style="7" customWidth="1"/>
    <col min="14603" max="14611" width="8.625" style="7" customWidth="1"/>
    <col min="14612" max="14612" width="11.125" style="7" customWidth="1"/>
    <col min="14613" max="14614" width="8.625" style="7" customWidth="1"/>
    <col min="14615" max="14852" width="9" style="7"/>
    <col min="14853" max="14853" width="8.625" style="7" customWidth="1"/>
    <col min="14854" max="14854" width="19.625" style="7" customWidth="1"/>
    <col min="14855" max="14855" width="8.625" style="7" customWidth="1"/>
    <col min="14856" max="14857" width="7.625" style="7" customWidth="1"/>
    <col min="14858" max="14858" width="11.125" style="7" customWidth="1"/>
    <col min="14859" max="14867" width="8.625" style="7" customWidth="1"/>
    <col min="14868" max="14868" width="11.125" style="7" customWidth="1"/>
    <col min="14869" max="14870" width="8.625" style="7" customWidth="1"/>
    <col min="14871" max="15108" width="9" style="7"/>
    <col min="15109" max="15109" width="8.625" style="7" customWidth="1"/>
    <col min="15110" max="15110" width="19.625" style="7" customWidth="1"/>
    <col min="15111" max="15111" width="8.625" style="7" customWidth="1"/>
    <col min="15112" max="15113" width="7.625" style="7" customWidth="1"/>
    <col min="15114" max="15114" width="11.125" style="7" customWidth="1"/>
    <col min="15115" max="15123" width="8.625" style="7" customWidth="1"/>
    <col min="15124" max="15124" width="11.125" style="7" customWidth="1"/>
    <col min="15125" max="15126" width="8.625" style="7" customWidth="1"/>
    <col min="15127" max="15364" width="9" style="7"/>
    <col min="15365" max="15365" width="8.625" style="7" customWidth="1"/>
    <col min="15366" max="15366" width="19.625" style="7" customWidth="1"/>
    <col min="15367" max="15367" width="8.625" style="7" customWidth="1"/>
    <col min="15368" max="15369" width="7.625" style="7" customWidth="1"/>
    <col min="15370" max="15370" width="11.125" style="7" customWidth="1"/>
    <col min="15371" max="15379" width="8.625" style="7" customWidth="1"/>
    <col min="15380" max="15380" width="11.125" style="7" customWidth="1"/>
    <col min="15381" max="15382" width="8.625" style="7" customWidth="1"/>
    <col min="15383" max="15620" width="9" style="7"/>
    <col min="15621" max="15621" width="8.625" style="7" customWidth="1"/>
    <col min="15622" max="15622" width="19.625" style="7" customWidth="1"/>
    <col min="15623" max="15623" width="8.625" style="7" customWidth="1"/>
    <col min="15624" max="15625" width="7.625" style="7" customWidth="1"/>
    <col min="15626" max="15626" width="11.125" style="7" customWidth="1"/>
    <col min="15627" max="15635" width="8.625" style="7" customWidth="1"/>
    <col min="15636" max="15636" width="11.125" style="7" customWidth="1"/>
    <col min="15637" max="15638" width="8.625" style="7" customWidth="1"/>
    <col min="15639" max="15876" width="9" style="7"/>
    <col min="15877" max="15877" width="8.625" style="7" customWidth="1"/>
    <col min="15878" max="15878" width="19.625" style="7" customWidth="1"/>
    <col min="15879" max="15879" width="8.625" style="7" customWidth="1"/>
    <col min="15880" max="15881" width="7.625" style="7" customWidth="1"/>
    <col min="15882" max="15882" width="11.125" style="7" customWidth="1"/>
    <col min="15883" max="15891" width="8.625" style="7" customWidth="1"/>
    <col min="15892" max="15892" width="11.125" style="7" customWidth="1"/>
    <col min="15893" max="15894" width="8.625" style="7" customWidth="1"/>
    <col min="15895" max="16132" width="9" style="7"/>
    <col min="16133" max="16133" width="8.625" style="7" customWidth="1"/>
    <col min="16134" max="16134" width="19.625" style="7" customWidth="1"/>
    <col min="16135" max="16135" width="8.625" style="7" customWidth="1"/>
    <col min="16136" max="16137" width="7.625" style="7" customWidth="1"/>
    <col min="16138" max="16138" width="11.125" style="7" customWidth="1"/>
    <col min="16139" max="16147" width="8.625" style="7" customWidth="1"/>
    <col min="16148" max="16148" width="11.125" style="7" customWidth="1"/>
    <col min="16149" max="16150" width="8.625" style="7" customWidth="1"/>
    <col min="16151" max="16384" width="9" style="7"/>
  </cols>
  <sheetData>
    <row r="1" spans="1:31" s="13" customFormat="1" ht="23.1" customHeight="1">
      <c r="A1" s="219" t="s">
        <v>0</v>
      </c>
      <c r="B1" s="220"/>
      <c r="C1" s="221" t="s">
        <v>35</v>
      </c>
      <c r="D1" s="222"/>
      <c r="E1" s="222"/>
      <c r="F1" s="222"/>
      <c r="G1" s="222"/>
      <c r="H1" s="223"/>
      <c r="I1" s="12" t="s">
        <v>25</v>
      </c>
      <c r="J1" s="224">
        <v>82000000</v>
      </c>
      <c r="K1" s="225"/>
      <c r="L1" s="225"/>
      <c r="M1" s="225"/>
      <c r="N1" s="225"/>
      <c r="O1" s="152"/>
      <c r="P1" s="152"/>
      <c r="Q1" s="321"/>
      <c r="R1" s="226"/>
      <c r="S1" s="227"/>
      <c r="T1" s="231" t="s">
        <v>1</v>
      </c>
      <c r="U1" s="231"/>
      <c r="V1" s="231"/>
    </row>
    <row r="2" spans="1:31" s="13" customFormat="1" ht="23.1" customHeight="1">
      <c r="A2" s="232" t="s">
        <v>26</v>
      </c>
      <c r="B2" s="233"/>
      <c r="C2" s="234" t="s">
        <v>36</v>
      </c>
      <c r="D2" s="235"/>
      <c r="E2" s="235"/>
      <c r="F2" s="235"/>
      <c r="G2" s="235"/>
      <c r="H2" s="236"/>
      <c r="I2" s="14" t="s">
        <v>27</v>
      </c>
      <c r="J2" s="237">
        <v>5634000</v>
      </c>
      <c r="K2" s="238"/>
      <c r="L2" s="238"/>
      <c r="M2" s="238"/>
      <c r="N2" s="238"/>
      <c r="O2" s="153"/>
      <c r="P2" s="153"/>
      <c r="Q2" s="322"/>
      <c r="R2" s="210"/>
      <c r="S2" s="228"/>
      <c r="T2" s="252">
        <v>45903</v>
      </c>
      <c r="U2" s="253"/>
      <c r="V2" s="254"/>
    </row>
    <row r="3" spans="1:31" s="13" customFormat="1" ht="23.1" customHeight="1" thickBot="1">
      <c r="A3" s="241" t="s">
        <v>2</v>
      </c>
      <c r="B3" s="242"/>
      <c r="C3" s="243">
        <f>J1-G130</f>
        <v>6622410</v>
      </c>
      <c r="D3" s="244"/>
      <c r="E3" s="244"/>
      <c r="F3" s="244"/>
      <c r="G3" s="244"/>
      <c r="H3" s="245"/>
      <c r="I3" s="15" t="s">
        <v>3</v>
      </c>
      <c r="J3" s="246">
        <f>SUM(J1:Q2)</f>
        <v>87634000</v>
      </c>
      <c r="K3" s="247"/>
      <c r="L3" s="247"/>
      <c r="M3" s="247"/>
      <c r="N3" s="247"/>
      <c r="O3" s="154"/>
      <c r="P3" s="154"/>
      <c r="Q3" s="323"/>
      <c r="R3" s="210"/>
      <c r="S3" s="228"/>
      <c r="T3" s="255"/>
      <c r="U3" s="256"/>
      <c r="V3" s="257"/>
    </row>
    <row r="4" spans="1:31" s="13" customFormat="1" ht="23.1" customHeight="1" thickBot="1">
      <c r="A4" s="248" t="s">
        <v>4</v>
      </c>
      <c r="B4" s="248"/>
      <c r="C4" s="249">
        <v>8.5999999999999993E-2</v>
      </c>
      <c r="D4" s="249"/>
      <c r="E4" s="250"/>
      <c r="F4" s="250"/>
      <c r="G4" s="250" t="s">
        <v>5</v>
      </c>
      <c r="H4" s="250"/>
      <c r="I4" s="16">
        <f>J3-I130</f>
        <v>5661760</v>
      </c>
      <c r="J4" s="209"/>
      <c r="K4" s="251"/>
      <c r="L4" s="251"/>
      <c r="M4" s="251"/>
      <c r="N4" s="251"/>
      <c r="O4" s="251"/>
      <c r="P4" s="251"/>
      <c r="Q4" s="251"/>
      <c r="R4" s="332"/>
      <c r="S4" s="334"/>
      <c r="T4" s="335"/>
      <c r="U4" s="336"/>
      <c r="V4" s="337"/>
    </row>
    <row r="5" spans="1:31" s="13" customFormat="1" ht="18" customHeight="1" thickBot="1">
      <c r="A5" s="199" t="s">
        <v>6</v>
      </c>
      <c r="B5" s="199"/>
      <c r="C5" s="201" t="s">
        <v>28</v>
      </c>
      <c r="D5" s="203" t="s">
        <v>29</v>
      </c>
      <c r="E5" s="205" t="s">
        <v>23</v>
      </c>
      <c r="F5" s="206"/>
      <c r="G5" s="205" t="s">
        <v>30</v>
      </c>
      <c r="H5" s="206"/>
      <c r="I5" s="216" t="s">
        <v>31</v>
      </c>
      <c r="J5" s="316">
        <v>2025</v>
      </c>
      <c r="K5" s="17"/>
      <c r="L5" s="17"/>
      <c r="M5" s="17"/>
      <c r="N5" s="17"/>
      <c r="O5" s="17"/>
      <c r="P5" s="17"/>
      <c r="Q5" s="318"/>
      <c r="R5" s="331" t="s">
        <v>7</v>
      </c>
      <c r="S5" s="333" t="s">
        <v>8</v>
      </c>
      <c r="T5" s="197" t="s">
        <v>9</v>
      </c>
      <c r="U5" s="212" t="s">
        <v>10</v>
      </c>
      <c r="V5" s="213" t="s">
        <v>11</v>
      </c>
      <c r="X5" s="326">
        <v>2025</v>
      </c>
      <c r="Y5" s="17"/>
      <c r="Z5" s="17"/>
      <c r="AA5" s="17"/>
      <c r="AB5" s="17"/>
      <c r="AC5" s="17"/>
      <c r="AD5" s="17"/>
      <c r="AE5" s="318"/>
    </row>
    <row r="6" spans="1:31" s="13" customFormat="1" ht="44.25" customHeight="1" thickBot="1">
      <c r="A6" s="263"/>
      <c r="B6" s="263"/>
      <c r="C6" s="264"/>
      <c r="D6" s="265"/>
      <c r="E6" s="266"/>
      <c r="F6" s="267"/>
      <c r="G6" s="266"/>
      <c r="H6" s="267"/>
      <c r="I6" s="268"/>
      <c r="J6" s="317" t="s">
        <v>136</v>
      </c>
      <c r="K6" s="317" t="s">
        <v>137</v>
      </c>
      <c r="L6" s="317" t="s">
        <v>138</v>
      </c>
      <c r="M6" s="317" t="s">
        <v>139</v>
      </c>
      <c r="N6" s="317" t="s">
        <v>140</v>
      </c>
      <c r="O6" s="317" t="s">
        <v>141</v>
      </c>
      <c r="P6" s="317" t="s">
        <v>142</v>
      </c>
      <c r="Q6" s="317" t="s">
        <v>143</v>
      </c>
      <c r="R6" s="319"/>
      <c r="S6" s="320"/>
      <c r="T6" s="198"/>
      <c r="U6" s="212"/>
      <c r="V6" s="213"/>
      <c r="X6" s="327" t="s">
        <v>136</v>
      </c>
      <c r="Y6" s="325" t="s">
        <v>137</v>
      </c>
      <c r="Z6" s="317" t="s">
        <v>138</v>
      </c>
      <c r="AA6" s="317" t="s">
        <v>139</v>
      </c>
      <c r="AB6" s="317" t="s">
        <v>140</v>
      </c>
      <c r="AC6" s="317" t="s">
        <v>141</v>
      </c>
      <c r="AD6" s="317" t="s">
        <v>142</v>
      </c>
      <c r="AE6" s="317" t="s">
        <v>143</v>
      </c>
    </row>
    <row r="7" spans="1:31" ht="18.95" customHeight="1" thickTop="1">
      <c r="A7" s="311" t="s">
        <v>37</v>
      </c>
      <c r="B7" s="269" t="s">
        <v>38</v>
      </c>
      <c r="C7" s="155" t="s">
        <v>39</v>
      </c>
      <c r="D7" s="270" t="s">
        <v>40</v>
      </c>
      <c r="E7" s="271">
        <v>450000</v>
      </c>
      <c r="F7" s="192"/>
      <c r="G7" s="271">
        <v>800000</v>
      </c>
      <c r="H7" s="192"/>
      <c r="I7" s="272">
        <v>800000</v>
      </c>
      <c r="J7" s="273">
        <v>0</v>
      </c>
      <c r="K7" s="273">
        <v>0</v>
      </c>
      <c r="L7" s="273">
        <v>300000</v>
      </c>
      <c r="M7" s="273">
        <v>210000</v>
      </c>
      <c r="N7" s="273">
        <v>0</v>
      </c>
      <c r="O7" s="273">
        <v>0</v>
      </c>
      <c r="P7" s="273">
        <v>0</v>
      </c>
      <c r="Q7" s="273">
        <v>0</v>
      </c>
      <c r="R7" s="274">
        <f>SUM(J7:Q7)</f>
        <v>510000</v>
      </c>
      <c r="S7" s="275">
        <f>I7-R7</f>
        <v>290000</v>
      </c>
      <c r="T7" s="276">
        <f>G7-I7</f>
        <v>0</v>
      </c>
      <c r="U7" s="277">
        <v>0</v>
      </c>
      <c r="V7" s="278" t="e">
        <f>R7/U7</f>
        <v>#DIV/0!</v>
      </c>
      <c r="X7" s="328"/>
      <c r="Y7" s="273"/>
      <c r="Z7" s="273"/>
      <c r="AA7" s="273"/>
      <c r="AB7" s="273"/>
      <c r="AC7" s="273"/>
      <c r="AD7" s="273"/>
      <c r="AE7" s="273"/>
    </row>
    <row r="8" spans="1:31" ht="18.95" customHeight="1">
      <c r="A8" s="312"/>
      <c r="B8" s="279" t="s">
        <v>41</v>
      </c>
      <c r="C8" s="280" t="s">
        <v>42</v>
      </c>
      <c r="D8" s="281" t="s">
        <v>43</v>
      </c>
      <c r="E8" s="282">
        <v>0</v>
      </c>
      <c r="F8" s="283"/>
      <c r="G8" s="282">
        <v>1925000</v>
      </c>
      <c r="H8" s="283"/>
      <c r="I8" s="284">
        <v>1137500</v>
      </c>
      <c r="J8" s="285">
        <v>0</v>
      </c>
      <c r="K8" s="285">
        <v>0</v>
      </c>
      <c r="L8" s="285">
        <v>0</v>
      </c>
      <c r="M8" s="285">
        <v>0</v>
      </c>
      <c r="N8" s="285">
        <v>0</v>
      </c>
      <c r="O8" s="285">
        <v>0</v>
      </c>
      <c r="P8" s="285">
        <v>0</v>
      </c>
      <c r="Q8" s="285">
        <v>0</v>
      </c>
      <c r="R8" s="286">
        <f>SUM(J8:Q8)</f>
        <v>0</v>
      </c>
      <c r="S8" s="287">
        <f>I8-R8</f>
        <v>1137500</v>
      </c>
      <c r="T8" s="288">
        <f>G8-I8</f>
        <v>787500</v>
      </c>
      <c r="U8" s="289">
        <v>0</v>
      </c>
      <c r="V8" s="290" t="e">
        <f t="shared" ref="V8:V71" si="0">R8/U8</f>
        <v>#DIV/0!</v>
      </c>
      <c r="X8" s="329"/>
      <c r="Y8" s="285"/>
      <c r="Z8" s="285"/>
      <c r="AA8" s="285"/>
      <c r="AB8" s="285"/>
      <c r="AC8" s="285"/>
      <c r="AD8" s="285"/>
      <c r="AE8" s="285"/>
    </row>
    <row r="9" spans="1:31" ht="18.95" customHeight="1">
      <c r="A9" s="312"/>
      <c r="B9" s="279" t="s">
        <v>44</v>
      </c>
      <c r="C9" s="280" t="s">
        <v>45</v>
      </c>
      <c r="D9" s="281" t="s">
        <v>43</v>
      </c>
      <c r="E9" s="282">
        <v>0</v>
      </c>
      <c r="F9" s="283"/>
      <c r="G9" s="282">
        <v>0</v>
      </c>
      <c r="H9" s="283"/>
      <c r="I9" s="284">
        <v>0</v>
      </c>
      <c r="J9" s="285">
        <v>0</v>
      </c>
      <c r="K9" s="285">
        <v>18400</v>
      </c>
      <c r="L9" s="285">
        <v>0</v>
      </c>
      <c r="M9" s="285">
        <v>0</v>
      </c>
      <c r="N9" s="285">
        <v>0</v>
      </c>
      <c r="O9" s="285">
        <v>0</v>
      </c>
      <c r="P9" s="285">
        <v>0</v>
      </c>
      <c r="Q9" s="285">
        <v>0</v>
      </c>
      <c r="R9" s="286">
        <f>SUM(J9:Q9)</f>
        <v>18400</v>
      </c>
      <c r="S9" s="287">
        <f>I9-R9</f>
        <v>-18400</v>
      </c>
      <c r="T9" s="288">
        <f>G9-I9</f>
        <v>0</v>
      </c>
      <c r="U9" s="289">
        <v>0</v>
      </c>
      <c r="V9" s="290" t="e">
        <f t="shared" si="0"/>
        <v>#DIV/0!</v>
      </c>
      <c r="X9" s="329"/>
      <c r="Y9" s="285"/>
      <c r="Z9" s="285"/>
      <c r="AA9" s="285"/>
      <c r="AB9" s="285"/>
      <c r="AC9" s="285"/>
      <c r="AD9" s="285"/>
      <c r="AE9" s="285"/>
    </row>
    <row r="10" spans="1:31" ht="18.95" customHeight="1">
      <c r="A10" s="312"/>
      <c r="B10" s="279" t="s">
        <v>46</v>
      </c>
      <c r="C10" s="280" t="s">
        <v>47</v>
      </c>
      <c r="D10" s="281" t="s">
        <v>48</v>
      </c>
      <c r="E10" s="282">
        <v>400000</v>
      </c>
      <c r="F10" s="283"/>
      <c r="G10" s="282">
        <v>400000</v>
      </c>
      <c r="H10" s="283"/>
      <c r="I10" s="284">
        <v>400000</v>
      </c>
      <c r="J10" s="285">
        <v>0</v>
      </c>
      <c r="K10" s="285">
        <v>0</v>
      </c>
      <c r="L10" s="285">
        <v>0</v>
      </c>
      <c r="M10" s="285">
        <v>216000</v>
      </c>
      <c r="N10" s="285">
        <v>0</v>
      </c>
      <c r="O10" s="285">
        <v>0</v>
      </c>
      <c r="P10" s="285">
        <v>0</v>
      </c>
      <c r="Q10" s="285">
        <v>0</v>
      </c>
      <c r="R10" s="286">
        <f>SUM(J10:Q10)</f>
        <v>216000</v>
      </c>
      <c r="S10" s="287">
        <f>I10-R10</f>
        <v>184000</v>
      </c>
      <c r="T10" s="288">
        <f>G10-I10</f>
        <v>0</v>
      </c>
      <c r="U10" s="289">
        <v>0</v>
      </c>
      <c r="V10" s="290" t="e">
        <f t="shared" si="0"/>
        <v>#DIV/0!</v>
      </c>
      <c r="X10" s="329"/>
      <c r="Y10" s="285"/>
      <c r="Z10" s="285"/>
      <c r="AA10" s="285"/>
      <c r="AB10" s="285"/>
      <c r="AC10" s="285"/>
      <c r="AD10" s="285"/>
      <c r="AE10" s="285"/>
    </row>
    <row r="11" spans="1:31" ht="18.95" customHeight="1">
      <c r="A11" s="312"/>
      <c r="B11" s="279" t="s">
        <v>49</v>
      </c>
      <c r="C11" s="280" t="s">
        <v>50</v>
      </c>
      <c r="D11" s="281" t="s">
        <v>43</v>
      </c>
      <c r="E11" s="282">
        <v>0</v>
      </c>
      <c r="F11" s="283"/>
      <c r="G11" s="282">
        <v>0</v>
      </c>
      <c r="H11" s="283"/>
      <c r="I11" s="284">
        <v>0</v>
      </c>
      <c r="J11" s="285">
        <v>0</v>
      </c>
      <c r="K11" s="285">
        <v>0</v>
      </c>
      <c r="L11" s="285">
        <v>0</v>
      </c>
      <c r="M11" s="285">
        <v>105000</v>
      </c>
      <c r="N11" s="285">
        <v>174500</v>
      </c>
      <c r="O11" s="285">
        <v>45000</v>
      </c>
      <c r="P11" s="285">
        <v>0</v>
      </c>
      <c r="Q11" s="285">
        <v>0</v>
      </c>
      <c r="R11" s="286">
        <f>SUM(J11:Q11)</f>
        <v>324500</v>
      </c>
      <c r="S11" s="287">
        <f>I11-R11</f>
        <v>-324500</v>
      </c>
      <c r="T11" s="288">
        <f>G11-I11</f>
        <v>0</v>
      </c>
      <c r="U11" s="289">
        <v>0</v>
      </c>
      <c r="V11" s="290" t="e">
        <f t="shared" si="0"/>
        <v>#DIV/0!</v>
      </c>
      <c r="X11" s="329"/>
      <c r="Y11" s="285"/>
      <c r="Z11" s="285"/>
      <c r="AA11" s="285"/>
      <c r="AB11" s="285"/>
      <c r="AC11" s="285"/>
      <c r="AD11" s="285"/>
      <c r="AE11" s="285"/>
    </row>
    <row r="12" spans="1:31" ht="18.95" customHeight="1">
      <c r="A12" s="312"/>
      <c r="B12" s="279" t="s">
        <v>51</v>
      </c>
      <c r="C12" s="280" t="s">
        <v>45</v>
      </c>
      <c r="D12" s="281" t="s">
        <v>43</v>
      </c>
      <c r="E12" s="282">
        <v>0</v>
      </c>
      <c r="F12" s="283"/>
      <c r="G12" s="282">
        <v>0</v>
      </c>
      <c r="H12" s="283"/>
      <c r="I12" s="284">
        <v>0</v>
      </c>
      <c r="J12" s="285">
        <v>0</v>
      </c>
      <c r="K12" s="285">
        <v>0</v>
      </c>
      <c r="L12" s="285">
        <v>29200</v>
      </c>
      <c r="M12" s="285">
        <v>0</v>
      </c>
      <c r="N12" s="285">
        <v>0</v>
      </c>
      <c r="O12" s="285">
        <v>0</v>
      </c>
      <c r="P12" s="285">
        <v>0</v>
      </c>
      <c r="Q12" s="285">
        <v>0</v>
      </c>
      <c r="R12" s="286">
        <f>SUM(J12:Q12)</f>
        <v>29200</v>
      </c>
      <c r="S12" s="287">
        <f>I12-R12</f>
        <v>-29200</v>
      </c>
      <c r="T12" s="288">
        <f>G12-I12</f>
        <v>0</v>
      </c>
      <c r="U12" s="289">
        <v>0</v>
      </c>
      <c r="V12" s="290" t="e">
        <f t="shared" si="0"/>
        <v>#DIV/0!</v>
      </c>
      <c r="X12" s="329"/>
      <c r="Y12" s="285"/>
      <c r="Z12" s="285"/>
      <c r="AA12" s="285"/>
      <c r="AB12" s="285"/>
      <c r="AC12" s="285"/>
      <c r="AD12" s="285"/>
      <c r="AE12" s="285"/>
    </row>
    <row r="13" spans="1:31" ht="18.95" customHeight="1">
      <c r="A13" s="312"/>
      <c r="B13" s="279" t="s">
        <v>52</v>
      </c>
      <c r="C13" s="280" t="s">
        <v>50</v>
      </c>
      <c r="D13" s="281" t="s">
        <v>43</v>
      </c>
      <c r="E13" s="282">
        <v>0</v>
      </c>
      <c r="F13" s="283"/>
      <c r="G13" s="282">
        <v>0</v>
      </c>
      <c r="H13" s="283"/>
      <c r="I13" s="284">
        <v>0</v>
      </c>
      <c r="J13" s="285">
        <v>0</v>
      </c>
      <c r="K13" s="285">
        <v>0</v>
      </c>
      <c r="L13" s="285">
        <v>0</v>
      </c>
      <c r="M13" s="285">
        <v>0</v>
      </c>
      <c r="N13" s="285">
        <v>1325</v>
      </c>
      <c r="O13" s="285">
        <v>0</v>
      </c>
      <c r="P13" s="285">
        <v>0</v>
      </c>
      <c r="Q13" s="285">
        <v>0</v>
      </c>
      <c r="R13" s="286">
        <f>SUM(J13:Q13)</f>
        <v>1325</v>
      </c>
      <c r="S13" s="287">
        <f>I13-R13</f>
        <v>-1325</v>
      </c>
      <c r="T13" s="288">
        <f>G13-I13</f>
        <v>0</v>
      </c>
      <c r="U13" s="289">
        <v>0</v>
      </c>
      <c r="V13" s="290" t="e">
        <f t="shared" si="0"/>
        <v>#DIV/0!</v>
      </c>
      <c r="X13" s="329"/>
      <c r="Y13" s="285"/>
      <c r="Z13" s="285"/>
      <c r="AA13" s="285"/>
      <c r="AB13" s="285"/>
      <c r="AC13" s="285"/>
      <c r="AD13" s="285"/>
      <c r="AE13" s="285"/>
    </row>
    <row r="14" spans="1:31" ht="18.95" customHeight="1">
      <c r="A14" s="312"/>
      <c r="B14" s="279" t="s">
        <v>53</v>
      </c>
      <c r="C14" s="280" t="s">
        <v>45</v>
      </c>
      <c r="D14" s="281" t="s">
        <v>43</v>
      </c>
      <c r="E14" s="282">
        <v>0</v>
      </c>
      <c r="F14" s="283"/>
      <c r="G14" s="282">
        <v>0</v>
      </c>
      <c r="H14" s="283"/>
      <c r="I14" s="284">
        <v>0</v>
      </c>
      <c r="J14" s="285">
        <v>0</v>
      </c>
      <c r="K14" s="285">
        <v>0</v>
      </c>
      <c r="L14" s="285">
        <v>32465</v>
      </c>
      <c r="M14" s="285">
        <v>0</v>
      </c>
      <c r="N14" s="285">
        <v>0</v>
      </c>
      <c r="O14" s="285">
        <v>0</v>
      </c>
      <c r="P14" s="285">
        <v>0</v>
      </c>
      <c r="Q14" s="285">
        <v>0</v>
      </c>
      <c r="R14" s="286">
        <f>SUM(J14:Q14)</f>
        <v>32465</v>
      </c>
      <c r="S14" s="287">
        <f>I14-R14</f>
        <v>-32465</v>
      </c>
      <c r="T14" s="288">
        <f>G14-I14</f>
        <v>0</v>
      </c>
      <c r="U14" s="289">
        <v>0</v>
      </c>
      <c r="V14" s="290" t="e">
        <f t="shared" si="0"/>
        <v>#DIV/0!</v>
      </c>
      <c r="X14" s="329"/>
      <c r="Y14" s="285"/>
      <c r="Z14" s="285"/>
      <c r="AA14" s="285"/>
      <c r="AB14" s="285"/>
      <c r="AC14" s="285"/>
      <c r="AD14" s="285"/>
      <c r="AE14" s="285"/>
    </row>
    <row r="15" spans="1:31" ht="18.95" customHeight="1">
      <c r="A15" s="312"/>
      <c r="B15" s="279" t="s">
        <v>54</v>
      </c>
      <c r="C15" s="280" t="s">
        <v>42</v>
      </c>
      <c r="D15" s="281" t="s">
        <v>43</v>
      </c>
      <c r="E15" s="282">
        <v>250000</v>
      </c>
      <c r="F15" s="283"/>
      <c r="G15" s="282">
        <v>250000</v>
      </c>
      <c r="H15" s="283"/>
      <c r="I15" s="284">
        <v>250000</v>
      </c>
      <c r="J15" s="285">
        <v>0</v>
      </c>
      <c r="K15" s="285">
        <v>0</v>
      </c>
      <c r="L15" s="285">
        <v>143000</v>
      </c>
      <c r="M15" s="285">
        <v>0</v>
      </c>
      <c r="N15" s="285">
        <v>0</v>
      </c>
      <c r="O15" s="285">
        <v>0</v>
      </c>
      <c r="P15" s="285">
        <v>0</v>
      </c>
      <c r="Q15" s="285">
        <v>0</v>
      </c>
      <c r="R15" s="286">
        <f>SUM(J15:Q15)</f>
        <v>143000</v>
      </c>
      <c r="S15" s="287">
        <f>I15-R15</f>
        <v>107000</v>
      </c>
      <c r="T15" s="288">
        <f>G15-I15</f>
        <v>0</v>
      </c>
      <c r="U15" s="289">
        <v>0</v>
      </c>
      <c r="V15" s="290" t="e">
        <f t="shared" si="0"/>
        <v>#DIV/0!</v>
      </c>
      <c r="X15" s="329"/>
      <c r="Y15" s="285"/>
      <c r="Z15" s="285"/>
      <c r="AA15" s="285"/>
      <c r="AB15" s="285"/>
      <c r="AC15" s="285"/>
      <c r="AD15" s="285"/>
      <c r="AE15" s="285"/>
    </row>
    <row r="16" spans="1:31" ht="18.95" customHeight="1">
      <c r="A16" s="312"/>
      <c r="B16" s="279" t="s">
        <v>55</v>
      </c>
      <c r="C16" s="280" t="s">
        <v>45</v>
      </c>
      <c r="D16" s="281" t="s">
        <v>43</v>
      </c>
      <c r="E16" s="282">
        <v>0</v>
      </c>
      <c r="F16" s="283"/>
      <c r="G16" s="282">
        <v>0</v>
      </c>
      <c r="H16" s="283"/>
      <c r="I16" s="284">
        <v>0</v>
      </c>
      <c r="J16" s="285">
        <v>0</v>
      </c>
      <c r="K16" s="285">
        <v>0</v>
      </c>
      <c r="L16" s="285">
        <v>37200</v>
      </c>
      <c r="M16" s="285">
        <v>58270</v>
      </c>
      <c r="N16" s="285">
        <v>0</v>
      </c>
      <c r="O16" s="285">
        <v>0</v>
      </c>
      <c r="P16" s="285">
        <v>0</v>
      </c>
      <c r="Q16" s="285">
        <v>0</v>
      </c>
      <c r="R16" s="286">
        <f>SUM(J16:Q16)</f>
        <v>95470</v>
      </c>
      <c r="S16" s="287">
        <f>I16-R16</f>
        <v>-95470</v>
      </c>
      <c r="T16" s="288">
        <f>G16-I16</f>
        <v>0</v>
      </c>
      <c r="U16" s="289">
        <v>0</v>
      </c>
      <c r="V16" s="290" t="e">
        <f t="shared" si="0"/>
        <v>#DIV/0!</v>
      </c>
      <c r="X16" s="329"/>
      <c r="Y16" s="285"/>
      <c r="Z16" s="285"/>
      <c r="AA16" s="285"/>
      <c r="AB16" s="285"/>
      <c r="AC16" s="285"/>
      <c r="AD16" s="285"/>
      <c r="AE16" s="285"/>
    </row>
    <row r="17" spans="1:31" ht="18.95" customHeight="1">
      <c r="A17" s="312"/>
      <c r="B17" s="279" t="s">
        <v>56</v>
      </c>
      <c r="C17" s="280" t="s">
        <v>57</v>
      </c>
      <c r="D17" s="281" t="s">
        <v>43</v>
      </c>
      <c r="E17" s="282">
        <v>0</v>
      </c>
      <c r="F17" s="283"/>
      <c r="G17" s="282">
        <v>0</v>
      </c>
      <c r="H17" s="283"/>
      <c r="I17" s="284">
        <v>0</v>
      </c>
      <c r="J17" s="285">
        <v>199000</v>
      </c>
      <c r="K17" s="285">
        <v>8000</v>
      </c>
      <c r="L17" s="285">
        <v>0</v>
      </c>
      <c r="M17" s="285">
        <v>0</v>
      </c>
      <c r="N17" s="285">
        <v>0</v>
      </c>
      <c r="O17" s="285">
        <v>0</v>
      </c>
      <c r="P17" s="285">
        <v>0</v>
      </c>
      <c r="Q17" s="285">
        <v>0</v>
      </c>
      <c r="R17" s="286">
        <f>SUM(J17:Q17)</f>
        <v>207000</v>
      </c>
      <c r="S17" s="287">
        <f>I17-R17</f>
        <v>-207000</v>
      </c>
      <c r="T17" s="288">
        <f>G17-I17</f>
        <v>0</v>
      </c>
      <c r="U17" s="289">
        <v>0</v>
      </c>
      <c r="V17" s="290" t="e">
        <f t="shared" si="0"/>
        <v>#DIV/0!</v>
      </c>
      <c r="X17" s="329"/>
      <c r="Y17" s="285"/>
      <c r="Z17" s="285"/>
      <c r="AA17" s="285"/>
      <c r="AB17" s="285"/>
      <c r="AC17" s="285"/>
      <c r="AD17" s="285"/>
      <c r="AE17" s="285"/>
    </row>
    <row r="18" spans="1:31" ht="18.95" customHeight="1">
      <c r="A18" s="312"/>
      <c r="B18" s="279" t="s">
        <v>58</v>
      </c>
      <c r="C18" s="280" t="s">
        <v>57</v>
      </c>
      <c r="D18" s="281" t="s">
        <v>43</v>
      </c>
      <c r="E18" s="282">
        <v>0</v>
      </c>
      <c r="F18" s="283"/>
      <c r="G18" s="282">
        <v>100000</v>
      </c>
      <c r="H18" s="283"/>
      <c r="I18" s="284">
        <v>195800</v>
      </c>
      <c r="J18" s="285">
        <v>0</v>
      </c>
      <c r="K18" s="285">
        <v>0</v>
      </c>
      <c r="L18" s="285">
        <v>103800</v>
      </c>
      <c r="M18" s="285">
        <v>32000</v>
      </c>
      <c r="N18" s="285">
        <v>20000</v>
      </c>
      <c r="O18" s="285">
        <v>20000</v>
      </c>
      <c r="P18" s="285">
        <v>0</v>
      </c>
      <c r="Q18" s="285">
        <v>0</v>
      </c>
      <c r="R18" s="286">
        <f>SUM(J18:Q18)</f>
        <v>175800</v>
      </c>
      <c r="S18" s="287">
        <f>I18-R18</f>
        <v>20000</v>
      </c>
      <c r="T18" s="288">
        <f>G18-I18</f>
        <v>-95800</v>
      </c>
      <c r="U18" s="289">
        <v>0</v>
      </c>
      <c r="V18" s="290" t="e">
        <f t="shared" si="0"/>
        <v>#DIV/0!</v>
      </c>
      <c r="X18" s="329"/>
      <c r="Y18" s="285"/>
      <c r="Z18" s="285"/>
      <c r="AA18" s="285"/>
      <c r="AB18" s="285"/>
      <c r="AC18" s="285"/>
      <c r="AD18" s="285"/>
      <c r="AE18" s="285"/>
    </row>
    <row r="19" spans="1:31" ht="18.95" customHeight="1">
      <c r="A19" s="312"/>
      <c r="B19" s="279" t="s">
        <v>59</v>
      </c>
      <c r="C19" s="280" t="s">
        <v>42</v>
      </c>
      <c r="D19" s="281" t="s">
        <v>43</v>
      </c>
      <c r="E19" s="282">
        <v>0</v>
      </c>
      <c r="F19" s="283"/>
      <c r="G19" s="282">
        <v>0</v>
      </c>
      <c r="H19" s="283"/>
      <c r="I19" s="284">
        <v>0</v>
      </c>
      <c r="J19" s="285">
        <v>0</v>
      </c>
      <c r="K19" s="285">
        <v>0</v>
      </c>
      <c r="L19" s="285">
        <v>558700</v>
      </c>
      <c r="M19" s="285">
        <v>409250</v>
      </c>
      <c r="N19" s="285">
        <v>130200</v>
      </c>
      <c r="O19" s="285">
        <v>105000</v>
      </c>
      <c r="P19" s="285">
        <v>0</v>
      </c>
      <c r="Q19" s="285">
        <v>0</v>
      </c>
      <c r="R19" s="286">
        <f>SUM(J19:Q19)</f>
        <v>1203150</v>
      </c>
      <c r="S19" s="287">
        <f>I19-R19</f>
        <v>-1203150</v>
      </c>
      <c r="T19" s="288">
        <f>G19-I19</f>
        <v>0</v>
      </c>
      <c r="U19" s="289">
        <v>0</v>
      </c>
      <c r="V19" s="290" t="e">
        <f t="shared" si="0"/>
        <v>#DIV/0!</v>
      </c>
      <c r="X19" s="329"/>
      <c r="Y19" s="285"/>
      <c r="Z19" s="285"/>
      <c r="AA19" s="285"/>
      <c r="AB19" s="285"/>
      <c r="AC19" s="285"/>
      <c r="AD19" s="285"/>
      <c r="AE19" s="285"/>
    </row>
    <row r="20" spans="1:31" ht="18.95" customHeight="1">
      <c r="A20" s="312"/>
      <c r="B20" s="279" t="s">
        <v>60</v>
      </c>
      <c r="C20" s="280" t="s">
        <v>39</v>
      </c>
      <c r="D20" s="281" t="s">
        <v>43</v>
      </c>
      <c r="E20" s="282">
        <v>0</v>
      </c>
      <c r="F20" s="283"/>
      <c r="G20" s="282">
        <v>0</v>
      </c>
      <c r="H20" s="283"/>
      <c r="I20" s="284">
        <v>0</v>
      </c>
      <c r="J20" s="285">
        <v>0</v>
      </c>
      <c r="K20" s="285">
        <v>0</v>
      </c>
      <c r="L20" s="285">
        <v>22000</v>
      </c>
      <c r="M20" s="285">
        <v>0</v>
      </c>
      <c r="N20" s="285">
        <v>0</v>
      </c>
      <c r="O20" s="285">
        <v>0</v>
      </c>
      <c r="P20" s="285">
        <v>0</v>
      </c>
      <c r="Q20" s="285">
        <v>0</v>
      </c>
      <c r="R20" s="286">
        <f>SUM(J20:Q20)</f>
        <v>22000</v>
      </c>
      <c r="S20" s="287">
        <f>I20-R20</f>
        <v>-22000</v>
      </c>
      <c r="T20" s="288">
        <f>G20-I20</f>
        <v>0</v>
      </c>
      <c r="U20" s="289">
        <v>0</v>
      </c>
      <c r="V20" s="290" t="e">
        <f t="shared" si="0"/>
        <v>#DIV/0!</v>
      </c>
      <c r="X20" s="329"/>
      <c r="Y20" s="285"/>
      <c r="Z20" s="285"/>
      <c r="AA20" s="285"/>
      <c r="AB20" s="285"/>
      <c r="AC20" s="285"/>
      <c r="AD20" s="285"/>
      <c r="AE20" s="285"/>
    </row>
    <row r="21" spans="1:31" ht="18.95" customHeight="1">
      <c r="A21" s="312"/>
      <c r="B21" s="279" t="s">
        <v>61</v>
      </c>
      <c r="C21" s="280" t="s">
        <v>57</v>
      </c>
      <c r="D21" s="281" t="s">
        <v>62</v>
      </c>
      <c r="E21" s="282">
        <v>530000</v>
      </c>
      <c r="F21" s="283"/>
      <c r="G21" s="282">
        <v>650000</v>
      </c>
      <c r="H21" s="283"/>
      <c r="I21" s="284">
        <v>650000</v>
      </c>
      <c r="J21" s="285">
        <v>0</v>
      </c>
      <c r="K21" s="285">
        <v>0</v>
      </c>
      <c r="L21" s="285">
        <v>351000</v>
      </c>
      <c r="M21" s="285">
        <v>0</v>
      </c>
      <c r="N21" s="285">
        <v>0</v>
      </c>
      <c r="O21" s="285">
        <v>0</v>
      </c>
      <c r="P21" s="285">
        <v>0</v>
      </c>
      <c r="Q21" s="285">
        <v>0</v>
      </c>
      <c r="R21" s="286">
        <f>SUM(J21:Q21)</f>
        <v>351000</v>
      </c>
      <c r="S21" s="287">
        <f>I21-R21</f>
        <v>299000</v>
      </c>
      <c r="T21" s="288">
        <f>G21-I21</f>
        <v>0</v>
      </c>
      <c r="U21" s="289">
        <v>1</v>
      </c>
      <c r="V21" s="290">
        <f t="shared" si="0"/>
        <v>351000</v>
      </c>
      <c r="X21" s="329"/>
      <c r="Y21" s="285"/>
      <c r="Z21" s="285"/>
      <c r="AA21" s="285"/>
      <c r="AB21" s="285"/>
      <c r="AC21" s="285"/>
      <c r="AD21" s="285"/>
      <c r="AE21" s="285"/>
    </row>
    <row r="22" spans="1:31" ht="18.95" customHeight="1">
      <c r="A22" s="312"/>
      <c r="B22" s="279" t="s">
        <v>61</v>
      </c>
      <c r="C22" s="280" t="s">
        <v>57</v>
      </c>
      <c r="D22" s="281" t="s">
        <v>43</v>
      </c>
      <c r="E22" s="282">
        <v>0</v>
      </c>
      <c r="F22" s="283"/>
      <c r="G22" s="282">
        <v>0</v>
      </c>
      <c r="H22" s="283"/>
      <c r="I22" s="284">
        <v>0</v>
      </c>
      <c r="J22" s="285">
        <v>0</v>
      </c>
      <c r="K22" s="285">
        <v>0</v>
      </c>
      <c r="L22" s="285">
        <v>0</v>
      </c>
      <c r="M22" s="285">
        <v>78392</v>
      </c>
      <c r="N22" s="285">
        <v>33674</v>
      </c>
      <c r="O22" s="285">
        <v>54816</v>
      </c>
      <c r="P22" s="285">
        <v>0</v>
      </c>
      <c r="Q22" s="285">
        <v>0</v>
      </c>
      <c r="R22" s="286">
        <f>SUM(J22:Q22)</f>
        <v>166882</v>
      </c>
      <c r="S22" s="287">
        <f>I22-R22</f>
        <v>-166882</v>
      </c>
      <c r="T22" s="288">
        <f>G22-I22</f>
        <v>0</v>
      </c>
      <c r="U22" s="289">
        <v>0</v>
      </c>
      <c r="V22" s="290" t="e">
        <f t="shared" si="0"/>
        <v>#DIV/0!</v>
      </c>
      <c r="X22" s="329"/>
      <c r="Y22" s="285"/>
      <c r="Z22" s="285"/>
      <c r="AA22" s="285"/>
      <c r="AB22" s="285"/>
      <c r="AC22" s="285"/>
      <c r="AD22" s="285"/>
      <c r="AE22" s="285"/>
    </row>
    <row r="23" spans="1:31" ht="18.95" customHeight="1">
      <c r="A23" s="312"/>
      <c r="B23" s="279" t="s">
        <v>63</v>
      </c>
      <c r="C23" s="280" t="s">
        <v>57</v>
      </c>
      <c r="D23" s="281" t="s">
        <v>43</v>
      </c>
      <c r="E23" s="282">
        <v>0</v>
      </c>
      <c r="F23" s="283"/>
      <c r="G23" s="282">
        <v>0</v>
      </c>
      <c r="H23" s="283"/>
      <c r="I23" s="284">
        <v>0</v>
      </c>
      <c r="J23" s="285">
        <v>0</v>
      </c>
      <c r="K23" s="285">
        <v>0</v>
      </c>
      <c r="L23" s="285">
        <v>128190</v>
      </c>
      <c r="M23" s="285">
        <v>0</v>
      </c>
      <c r="N23" s="285">
        <v>0</v>
      </c>
      <c r="O23" s="285">
        <v>0</v>
      </c>
      <c r="P23" s="285">
        <v>0</v>
      </c>
      <c r="Q23" s="285">
        <v>0</v>
      </c>
      <c r="R23" s="286">
        <f>SUM(J23:Q23)</f>
        <v>128190</v>
      </c>
      <c r="S23" s="287">
        <f>I23-R23</f>
        <v>-128190</v>
      </c>
      <c r="T23" s="288">
        <f>G23-I23</f>
        <v>0</v>
      </c>
      <c r="U23" s="289">
        <v>0</v>
      </c>
      <c r="V23" s="290" t="e">
        <f t="shared" si="0"/>
        <v>#DIV/0!</v>
      </c>
      <c r="X23" s="329"/>
      <c r="Y23" s="285"/>
      <c r="Z23" s="285"/>
      <c r="AA23" s="285"/>
      <c r="AB23" s="285"/>
      <c r="AC23" s="285"/>
      <c r="AD23" s="285"/>
      <c r="AE23" s="285"/>
    </row>
    <row r="24" spans="1:31" ht="18.95" customHeight="1">
      <c r="A24" s="312"/>
      <c r="B24" s="279"/>
      <c r="C24" s="280" t="s">
        <v>57</v>
      </c>
      <c r="D24" s="281" t="s">
        <v>43</v>
      </c>
      <c r="E24" s="282">
        <v>0</v>
      </c>
      <c r="F24" s="283"/>
      <c r="G24" s="282">
        <v>0</v>
      </c>
      <c r="H24" s="283"/>
      <c r="I24" s="284">
        <v>0</v>
      </c>
      <c r="J24" s="285">
        <v>0</v>
      </c>
      <c r="K24" s="285">
        <v>0</v>
      </c>
      <c r="L24" s="285">
        <v>0</v>
      </c>
      <c r="M24" s="285">
        <v>0</v>
      </c>
      <c r="N24" s="285">
        <v>0</v>
      </c>
      <c r="O24" s="285">
        <v>0</v>
      </c>
      <c r="P24" s="285">
        <v>0</v>
      </c>
      <c r="Q24" s="285">
        <v>0</v>
      </c>
      <c r="R24" s="286">
        <f>SUM(J24:Q24)</f>
        <v>0</v>
      </c>
      <c r="S24" s="287">
        <f>I24-R24</f>
        <v>0</v>
      </c>
      <c r="T24" s="288">
        <f>G24-I24</f>
        <v>0</v>
      </c>
      <c r="U24" s="289">
        <v>0</v>
      </c>
      <c r="V24" s="290" t="e">
        <f t="shared" si="0"/>
        <v>#DIV/0!</v>
      </c>
      <c r="X24" s="329"/>
      <c r="Y24" s="285"/>
      <c r="Z24" s="285"/>
      <c r="AA24" s="285"/>
      <c r="AB24" s="285"/>
      <c r="AC24" s="285"/>
      <c r="AD24" s="285"/>
      <c r="AE24" s="285"/>
    </row>
    <row r="25" spans="1:31" ht="18.95" customHeight="1">
      <c r="A25" s="312"/>
      <c r="B25" s="279"/>
      <c r="C25" s="280" t="s">
        <v>47</v>
      </c>
      <c r="D25" s="281" t="s">
        <v>43</v>
      </c>
      <c r="E25" s="282">
        <v>0</v>
      </c>
      <c r="F25" s="283"/>
      <c r="G25" s="282">
        <v>0</v>
      </c>
      <c r="H25" s="283"/>
      <c r="I25" s="284">
        <v>0</v>
      </c>
      <c r="J25" s="285">
        <v>0</v>
      </c>
      <c r="K25" s="285">
        <v>0</v>
      </c>
      <c r="L25" s="285">
        <v>0</v>
      </c>
      <c r="M25" s="285">
        <v>0</v>
      </c>
      <c r="N25" s="285">
        <v>0</v>
      </c>
      <c r="O25" s="285">
        <v>0</v>
      </c>
      <c r="P25" s="285">
        <v>0</v>
      </c>
      <c r="Q25" s="285">
        <v>0</v>
      </c>
      <c r="R25" s="286">
        <f>SUM(J25:Q25)</f>
        <v>0</v>
      </c>
      <c r="S25" s="287">
        <f>I25-R25</f>
        <v>0</v>
      </c>
      <c r="T25" s="288">
        <f>G25-I25</f>
        <v>0</v>
      </c>
      <c r="U25" s="289">
        <v>0</v>
      </c>
      <c r="V25" s="290" t="e">
        <f t="shared" si="0"/>
        <v>#DIV/0!</v>
      </c>
      <c r="X25" s="329"/>
      <c r="Y25" s="285"/>
      <c r="Z25" s="285"/>
      <c r="AA25" s="285"/>
      <c r="AB25" s="285"/>
      <c r="AC25" s="285"/>
      <c r="AD25" s="285"/>
      <c r="AE25" s="285"/>
    </row>
    <row r="26" spans="1:31" ht="18.95" customHeight="1">
      <c r="A26" s="312"/>
      <c r="B26" s="279"/>
      <c r="C26" s="280" t="s">
        <v>39</v>
      </c>
      <c r="D26" s="281" t="s">
        <v>43</v>
      </c>
      <c r="E26" s="282">
        <v>0</v>
      </c>
      <c r="F26" s="283"/>
      <c r="G26" s="282">
        <v>0</v>
      </c>
      <c r="H26" s="283"/>
      <c r="I26" s="284">
        <v>0</v>
      </c>
      <c r="J26" s="285">
        <v>0</v>
      </c>
      <c r="K26" s="285">
        <v>0</v>
      </c>
      <c r="L26" s="285">
        <v>0</v>
      </c>
      <c r="M26" s="285">
        <v>0</v>
      </c>
      <c r="N26" s="285">
        <v>0</v>
      </c>
      <c r="O26" s="285">
        <v>0</v>
      </c>
      <c r="P26" s="285">
        <v>0</v>
      </c>
      <c r="Q26" s="285">
        <v>0</v>
      </c>
      <c r="R26" s="286">
        <f>SUM(J26:Q26)</f>
        <v>0</v>
      </c>
      <c r="S26" s="287">
        <f>I26-R26</f>
        <v>0</v>
      </c>
      <c r="T26" s="288">
        <f>G26-I26</f>
        <v>0</v>
      </c>
      <c r="U26" s="289">
        <v>0</v>
      </c>
      <c r="V26" s="290" t="e">
        <f t="shared" si="0"/>
        <v>#DIV/0!</v>
      </c>
      <c r="X26" s="329"/>
      <c r="Y26" s="285"/>
      <c r="Z26" s="285"/>
      <c r="AA26" s="285"/>
      <c r="AB26" s="285"/>
      <c r="AC26" s="285"/>
      <c r="AD26" s="285"/>
      <c r="AE26" s="285"/>
    </row>
    <row r="27" spans="1:31" ht="18.95" customHeight="1">
      <c r="A27" s="312"/>
      <c r="B27" s="279"/>
      <c r="C27" s="280" t="s">
        <v>45</v>
      </c>
      <c r="D27" s="281" t="s">
        <v>43</v>
      </c>
      <c r="E27" s="282">
        <v>0</v>
      </c>
      <c r="F27" s="283"/>
      <c r="G27" s="282">
        <v>0</v>
      </c>
      <c r="H27" s="283"/>
      <c r="I27" s="284">
        <v>200000</v>
      </c>
      <c r="J27" s="285">
        <v>0</v>
      </c>
      <c r="K27" s="285">
        <v>0</v>
      </c>
      <c r="L27" s="285">
        <v>0</v>
      </c>
      <c r="M27" s="285">
        <v>0</v>
      </c>
      <c r="N27" s="285">
        <v>0</v>
      </c>
      <c r="O27" s="285">
        <v>0</v>
      </c>
      <c r="P27" s="285">
        <v>0</v>
      </c>
      <c r="Q27" s="285">
        <v>0</v>
      </c>
      <c r="R27" s="286">
        <f>SUM(J27:Q27)</f>
        <v>0</v>
      </c>
      <c r="S27" s="287">
        <f>I27-R27</f>
        <v>200000</v>
      </c>
      <c r="T27" s="288">
        <f>G27-I27</f>
        <v>-200000</v>
      </c>
      <c r="U27" s="289">
        <v>0</v>
      </c>
      <c r="V27" s="290" t="e">
        <f t="shared" si="0"/>
        <v>#DIV/0!</v>
      </c>
      <c r="X27" s="329"/>
      <c r="Y27" s="285"/>
      <c r="Z27" s="285"/>
      <c r="AA27" s="285"/>
      <c r="AB27" s="285"/>
      <c r="AC27" s="285"/>
      <c r="AD27" s="285"/>
      <c r="AE27" s="285"/>
    </row>
    <row r="28" spans="1:31" ht="18.95" customHeight="1">
      <c r="A28" s="312"/>
      <c r="B28" s="279"/>
      <c r="C28" s="280" t="s">
        <v>42</v>
      </c>
      <c r="D28" s="281" t="s">
        <v>43</v>
      </c>
      <c r="E28" s="282">
        <v>1609000</v>
      </c>
      <c r="F28" s="283"/>
      <c r="G28" s="282">
        <v>0</v>
      </c>
      <c r="H28" s="283"/>
      <c r="I28" s="284">
        <v>0</v>
      </c>
      <c r="J28" s="285">
        <v>0</v>
      </c>
      <c r="K28" s="285">
        <v>0</v>
      </c>
      <c r="L28" s="285">
        <v>0</v>
      </c>
      <c r="M28" s="285">
        <v>0</v>
      </c>
      <c r="N28" s="285">
        <v>0</v>
      </c>
      <c r="O28" s="285">
        <v>0</v>
      </c>
      <c r="P28" s="285">
        <v>0</v>
      </c>
      <c r="Q28" s="285">
        <v>0</v>
      </c>
      <c r="R28" s="286">
        <f>SUM(J28:Q28)</f>
        <v>0</v>
      </c>
      <c r="S28" s="287">
        <f>I28-R28</f>
        <v>0</v>
      </c>
      <c r="T28" s="288">
        <f>G28-I28</f>
        <v>0</v>
      </c>
      <c r="U28" s="289">
        <v>0</v>
      </c>
      <c r="V28" s="290" t="e">
        <f t="shared" si="0"/>
        <v>#DIV/0!</v>
      </c>
      <c r="X28" s="329"/>
      <c r="Y28" s="285"/>
      <c r="Z28" s="285"/>
      <c r="AA28" s="285"/>
      <c r="AB28" s="285"/>
      <c r="AC28" s="285"/>
      <c r="AD28" s="285"/>
      <c r="AE28" s="285"/>
    </row>
    <row r="29" spans="1:31" ht="18.95" customHeight="1">
      <c r="A29" s="312"/>
      <c r="B29" s="279"/>
      <c r="C29" s="280" t="s">
        <v>64</v>
      </c>
      <c r="D29" s="281" t="s">
        <v>43</v>
      </c>
      <c r="E29" s="282">
        <v>0</v>
      </c>
      <c r="F29" s="283"/>
      <c r="G29" s="282">
        <v>0</v>
      </c>
      <c r="H29" s="283"/>
      <c r="I29" s="284">
        <v>0</v>
      </c>
      <c r="J29" s="285">
        <v>0</v>
      </c>
      <c r="K29" s="285">
        <v>0</v>
      </c>
      <c r="L29" s="285">
        <v>0</v>
      </c>
      <c r="M29" s="285">
        <v>0</v>
      </c>
      <c r="N29" s="285">
        <v>0</v>
      </c>
      <c r="O29" s="285">
        <v>0</v>
      </c>
      <c r="P29" s="285">
        <v>0</v>
      </c>
      <c r="Q29" s="285">
        <v>0</v>
      </c>
      <c r="R29" s="286">
        <f>SUM(J29:Q29)</f>
        <v>0</v>
      </c>
      <c r="S29" s="287">
        <f>I29-R29</f>
        <v>0</v>
      </c>
      <c r="T29" s="288">
        <f>G29-I29</f>
        <v>0</v>
      </c>
      <c r="U29" s="289">
        <v>0</v>
      </c>
      <c r="V29" s="290" t="e">
        <f t="shared" si="0"/>
        <v>#DIV/0!</v>
      </c>
      <c r="X29" s="329"/>
      <c r="Y29" s="285"/>
      <c r="Z29" s="285"/>
      <c r="AA29" s="285"/>
      <c r="AB29" s="285"/>
      <c r="AC29" s="285"/>
      <c r="AD29" s="285"/>
      <c r="AE29" s="285"/>
    </row>
    <row r="30" spans="1:31" ht="18.95" customHeight="1">
      <c r="A30" s="313"/>
      <c r="B30" s="279"/>
      <c r="C30" s="280" t="s">
        <v>50</v>
      </c>
      <c r="D30" s="281" t="s">
        <v>43</v>
      </c>
      <c r="E30" s="282">
        <v>970000</v>
      </c>
      <c r="F30" s="283"/>
      <c r="G30" s="282">
        <v>900000</v>
      </c>
      <c r="H30" s="283"/>
      <c r="I30" s="284">
        <v>700000</v>
      </c>
      <c r="J30" s="285">
        <v>0</v>
      </c>
      <c r="K30" s="285">
        <v>0</v>
      </c>
      <c r="L30" s="285">
        <v>0</v>
      </c>
      <c r="M30" s="285">
        <v>0</v>
      </c>
      <c r="N30" s="285">
        <v>0</v>
      </c>
      <c r="O30" s="285">
        <v>0</v>
      </c>
      <c r="P30" s="285">
        <v>0</v>
      </c>
      <c r="Q30" s="285">
        <v>0</v>
      </c>
      <c r="R30" s="286">
        <f>SUM(J30:Q30)</f>
        <v>0</v>
      </c>
      <c r="S30" s="287">
        <f>I30-R30</f>
        <v>700000</v>
      </c>
      <c r="T30" s="288">
        <f>G30-I30</f>
        <v>200000</v>
      </c>
      <c r="U30" s="289">
        <v>0</v>
      </c>
      <c r="V30" s="290" t="e">
        <f t="shared" si="0"/>
        <v>#DIV/0!</v>
      </c>
      <c r="X30" s="329"/>
      <c r="Y30" s="285"/>
      <c r="Z30" s="285"/>
      <c r="AA30" s="285"/>
      <c r="AB30" s="285"/>
      <c r="AC30" s="285"/>
      <c r="AD30" s="285"/>
      <c r="AE30" s="285"/>
    </row>
    <row r="31" spans="1:31" ht="18.95" customHeight="1">
      <c r="A31" s="314" t="s">
        <v>65</v>
      </c>
      <c r="B31" s="291" t="s">
        <v>66</v>
      </c>
      <c r="C31" s="292" t="s">
        <v>67</v>
      </c>
      <c r="D31" s="293" t="s">
        <v>68</v>
      </c>
      <c r="E31" s="294">
        <v>10752500</v>
      </c>
      <c r="F31" s="295"/>
      <c r="G31" s="294">
        <v>10700000</v>
      </c>
      <c r="H31" s="295"/>
      <c r="I31" s="296">
        <v>10700000</v>
      </c>
      <c r="J31" s="273">
        <v>0</v>
      </c>
      <c r="K31" s="273">
        <v>0</v>
      </c>
      <c r="L31" s="273">
        <v>4333500</v>
      </c>
      <c r="M31" s="273">
        <v>1444500</v>
      </c>
      <c r="N31" s="273">
        <v>0</v>
      </c>
      <c r="O31" s="273">
        <v>0</v>
      </c>
      <c r="P31" s="273">
        <v>0</v>
      </c>
      <c r="Q31" s="273">
        <v>0</v>
      </c>
      <c r="R31" s="274">
        <f>SUM(J31:Q31)</f>
        <v>5778000</v>
      </c>
      <c r="S31" s="275">
        <f>I31-R31</f>
        <v>4922000</v>
      </c>
      <c r="T31" s="276">
        <f>G31-I31</f>
        <v>0</v>
      </c>
      <c r="U31" s="297">
        <v>106</v>
      </c>
      <c r="V31" s="278">
        <f t="shared" si="0"/>
        <v>54509.433962264149</v>
      </c>
      <c r="X31" s="328"/>
      <c r="Y31" s="273"/>
      <c r="Z31" s="273"/>
      <c r="AA31" s="273"/>
      <c r="AB31" s="273"/>
      <c r="AC31" s="273"/>
      <c r="AD31" s="273"/>
      <c r="AE31" s="273"/>
    </row>
    <row r="32" spans="1:31" ht="18.95" customHeight="1">
      <c r="A32" s="312"/>
      <c r="B32" s="279"/>
      <c r="C32" s="280" t="s">
        <v>67</v>
      </c>
      <c r="D32" s="281" t="s">
        <v>43</v>
      </c>
      <c r="E32" s="282">
        <v>0</v>
      </c>
      <c r="F32" s="283"/>
      <c r="G32" s="282">
        <v>0</v>
      </c>
      <c r="H32" s="283"/>
      <c r="I32" s="284">
        <v>0</v>
      </c>
      <c r="J32" s="285">
        <v>0</v>
      </c>
      <c r="K32" s="285">
        <v>0</v>
      </c>
      <c r="L32" s="285">
        <v>0</v>
      </c>
      <c r="M32" s="285">
        <v>0</v>
      </c>
      <c r="N32" s="285">
        <v>0</v>
      </c>
      <c r="O32" s="285">
        <v>0</v>
      </c>
      <c r="P32" s="285">
        <v>0</v>
      </c>
      <c r="Q32" s="285">
        <v>0</v>
      </c>
      <c r="R32" s="286">
        <f>SUM(J32:Q32)</f>
        <v>0</v>
      </c>
      <c r="S32" s="287">
        <f>I32-R32</f>
        <v>0</v>
      </c>
      <c r="T32" s="288">
        <f>G32-I32</f>
        <v>0</v>
      </c>
      <c r="U32" s="289">
        <v>0</v>
      </c>
      <c r="V32" s="290" t="e">
        <f t="shared" si="0"/>
        <v>#DIV/0!</v>
      </c>
      <c r="X32" s="329"/>
      <c r="Y32" s="285"/>
      <c r="Z32" s="285"/>
      <c r="AA32" s="285"/>
      <c r="AB32" s="285"/>
      <c r="AC32" s="285"/>
      <c r="AD32" s="285"/>
      <c r="AE32" s="285"/>
    </row>
    <row r="33" spans="1:31" ht="18.95" customHeight="1">
      <c r="A33" s="312"/>
      <c r="B33" s="279"/>
      <c r="C33" s="280" t="s">
        <v>69</v>
      </c>
      <c r="D33" s="281" t="s">
        <v>43</v>
      </c>
      <c r="E33" s="282">
        <v>0</v>
      </c>
      <c r="F33" s="283"/>
      <c r="G33" s="282">
        <v>0</v>
      </c>
      <c r="H33" s="283"/>
      <c r="I33" s="284">
        <v>0</v>
      </c>
      <c r="J33" s="285">
        <v>0</v>
      </c>
      <c r="K33" s="285">
        <v>0</v>
      </c>
      <c r="L33" s="285">
        <v>0</v>
      </c>
      <c r="M33" s="285">
        <v>0</v>
      </c>
      <c r="N33" s="285">
        <v>0</v>
      </c>
      <c r="O33" s="285">
        <v>0</v>
      </c>
      <c r="P33" s="285">
        <v>0</v>
      </c>
      <c r="Q33" s="285">
        <v>0</v>
      </c>
      <c r="R33" s="286">
        <f>SUM(J33:Q33)</f>
        <v>0</v>
      </c>
      <c r="S33" s="287">
        <f>I33-R33</f>
        <v>0</v>
      </c>
      <c r="T33" s="288">
        <f>G33-I33</f>
        <v>0</v>
      </c>
      <c r="U33" s="289">
        <v>0</v>
      </c>
      <c r="V33" s="290" t="e">
        <f t="shared" si="0"/>
        <v>#DIV/0!</v>
      </c>
      <c r="X33" s="329"/>
      <c r="Y33" s="285"/>
      <c r="Z33" s="285"/>
      <c r="AA33" s="285"/>
      <c r="AB33" s="285"/>
      <c r="AC33" s="285"/>
      <c r="AD33" s="285"/>
      <c r="AE33" s="285"/>
    </row>
    <row r="34" spans="1:31" ht="18.95" customHeight="1">
      <c r="A34" s="312"/>
      <c r="B34" s="279"/>
      <c r="C34" s="280" t="s">
        <v>70</v>
      </c>
      <c r="D34" s="281" t="s">
        <v>43</v>
      </c>
      <c r="E34" s="282">
        <v>126000</v>
      </c>
      <c r="F34" s="283"/>
      <c r="G34" s="282">
        <v>0</v>
      </c>
      <c r="H34" s="283"/>
      <c r="I34" s="284">
        <v>0</v>
      </c>
      <c r="J34" s="285">
        <v>0</v>
      </c>
      <c r="K34" s="285">
        <v>0</v>
      </c>
      <c r="L34" s="285">
        <v>0</v>
      </c>
      <c r="M34" s="285">
        <v>0</v>
      </c>
      <c r="N34" s="285">
        <v>0</v>
      </c>
      <c r="O34" s="285">
        <v>0</v>
      </c>
      <c r="P34" s="285">
        <v>0</v>
      </c>
      <c r="Q34" s="285">
        <v>0</v>
      </c>
      <c r="R34" s="286">
        <f>SUM(J34:Q34)</f>
        <v>0</v>
      </c>
      <c r="S34" s="287">
        <f>I34-R34</f>
        <v>0</v>
      </c>
      <c r="T34" s="288">
        <f>G34-I34</f>
        <v>0</v>
      </c>
      <c r="U34" s="289">
        <v>0</v>
      </c>
      <c r="V34" s="290" t="e">
        <f t="shared" si="0"/>
        <v>#DIV/0!</v>
      </c>
      <c r="X34" s="329"/>
      <c r="Y34" s="285"/>
      <c r="Z34" s="285"/>
      <c r="AA34" s="285"/>
      <c r="AB34" s="285"/>
      <c r="AC34" s="285"/>
      <c r="AD34" s="285"/>
      <c r="AE34" s="285"/>
    </row>
    <row r="35" spans="1:31" ht="18.95" customHeight="1">
      <c r="A35" s="312"/>
      <c r="B35" s="279"/>
      <c r="C35" s="280" t="s">
        <v>71</v>
      </c>
      <c r="D35" s="281" t="s">
        <v>43</v>
      </c>
      <c r="E35" s="282">
        <v>0</v>
      </c>
      <c r="F35" s="283"/>
      <c r="G35" s="282">
        <v>0</v>
      </c>
      <c r="H35" s="283"/>
      <c r="I35" s="284">
        <v>0</v>
      </c>
      <c r="J35" s="285">
        <v>0</v>
      </c>
      <c r="K35" s="285">
        <v>0</v>
      </c>
      <c r="L35" s="285">
        <v>0</v>
      </c>
      <c r="M35" s="285">
        <v>0</v>
      </c>
      <c r="N35" s="285">
        <v>0</v>
      </c>
      <c r="O35" s="285">
        <v>0</v>
      </c>
      <c r="P35" s="285">
        <v>0</v>
      </c>
      <c r="Q35" s="285">
        <v>0</v>
      </c>
      <c r="R35" s="286">
        <f>SUM(J35:Q35)</f>
        <v>0</v>
      </c>
      <c r="S35" s="287">
        <f>I35-R35</f>
        <v>0</v>
      </c>
      <c r="T35" s="288">
        <f>G35-I35</f>
        <v>0</v>
      </c>
      <c r="U35" s="289">
        <v>0</v>
      </c>
      <c r="V35" s="290" t="e">
        <f t="shared" si="0"/>
        <v>#DIV/0!</v>
      </c>
      <c r="X35" s="329"/>
      <c r="Y35" s="285"/>
      <c r="Z35" s="285"/>
      <c r="AA35" s="285"/>
      <c r="AB35" s="285"/>
      <c r="AC35" s="285"/>
      <c r="AD35" s="285"/>
      <c r="AE35" s="285"/>
    </row>
    <row r="36" spans="1:31" ht="18.95" customHeight="1">
      <c r="A36" s="312"/>
      <c r="B36" s="279"/>
      <c r="C36" s="280" t="s">
        <v>72</v>
      </c>
      <c r="D36" s="281" t="s">
        <v>43</v>
      </c>
      <c r="E36" s="282">
        <v>3750000</v>
      </c>
      <c r="F36" s="283"/>
      <c r="G36" s="282">
        <v>625000</v>
      </c>
      <c r="H36" s="283"/>
      <c r="I36" s="284">
        <v>375000</v>
      </c>
      <c r="J36" s="285">
        <v>0</v>
      </c>
      <c r="K36" s="285">
        <v>0</v>
      </c>
      <c r="L36" s="285">
        <v>0</v>
      </c>
      <c r="M36" s="285">
        <v>0</v>
      </c>
      <c r="N36" s="285">
        <v>0</v>
      </c>
      <c r="O36" s="285">
        <v>0</v>
      </c>
      <c r="P36" s="285">
        <v>0</v>
      </c>
      <c r="Q36" s="285">
        <v>0</v>
      </c>
      <c r="R36" s="286">
        <f>SUM(J36:Q36)</f>
        <v>0</v>
      </c>
      <c r="S36" s="287">
        <f>I36-R36</f>
        <v>375000</v>
      </c>
      <c r="T36" s="288">
        <f>G36-I36</f>
        <v>250000</v>
      </c>
      <c r="U36" s="289">
        <v>0</v>
      </c>
      <c r="V36" s="290" t="e">
        <f t="shared" si="0"/>
        <v>#DIV/0!</v>
      </c>
      <c r="X36" s="329"/>
      <c r="Y36" s="285"/>
      <c r="Z36" s="285"/>
      <c r="AA36" s="285"/>
      <c r="AB36" s="285"/>
      <c r="AC36" s="285"/>
      <c r="AD36" s="285"/>
      <c r="AE36" s="285"/>
    </row>
    <row r="37" spans="1:31" ht="18.95" customHeight="1">
      <c r="A37" s="313"/>
      <c r="B37" s="279"/>
      <c r="C37" s="280" t="s">
        <v>73</v>
      </c>
      <c r="D37" s="281" t="s">
        <v>43</v>
      </c>
      <c r="E37" s="282">
        <v>0</v>
      </c>
      <c r="F37" s="283"/>
      <c r="G37" s="282">
        <v>0</v>
      </c>
      <c r="H37" s="283"/>
      <c r="I37" s="284">
        <v>0</v>
      </c>
      <c r="J37" s="285">
        <v>0</v>
      </c>
      <c r="K37" s="285">
        <v>0</v>
      </c>
      <c r="L37" s="285">
        <v>0</v>
      </c>
      <c r="M37" s="285">
        <v>0</v>
      </c>
      <c r="N37" s="285">
        <v>0</v>
      </c>
      <c r="O37" s="285">
        <v>0</v>
      </c>
      <c r="P37" s="285">
        <v>0</v>
      </c>
      <c r="Q37" s="285">
        <v>0</v>
      </c>
      <c r="R37" s="286">
        <f>SUM(J37:Q37)</f>
        <v>0</v>
      </c>
      <c r="S37" s="287">
        <f>I37-R37</f>
        <v>0</v>
      </c>
      <c r="T37" s="288">
        <f>G37-I37</f>
        <v>0</v>
      </c>
      <c r="U37" s="289">
        <v>0</v>
      </c>
      <c r="V37" s="290" t="e">
        <f t="shared" si="0"/>
        <v>#DIV/0!</v>
      </c>
      <c r="X37" s="329"/>
      <c r="Y37" s="285"/>
      <c r="Z37" s="285"/>
      <c r="AA37" s="285"/>
      <c r="AB37" s="285"/>
      <c r="AC37" s="285"/>
      <c r="AD37" s="285"/>
      <c r="AE37" s="285"/>
    </row>
    <row r="38" spans="1:31" ht="18.95" customHeight="1">
      <c r="A38" s="314" t="s">
        <v>74</v>
      </c>
      <c r="B38" s="291" t="s">
        <v>38</v>
      </c>
      <c r="C38" s="292" t="s">
        <v>75</v>
      </c>
      <c r="D38" s="293" t="s">
        <v>40</v>
      </c>
      <c r="E38" s="294">
        <v>8049475</v>
      </c>
      <c r="F38" s="295"/>
      <c r="G38" s="294">
        <v>8583000</v>
      </c>
      <c r="H38" s="295"/>
      <c r="I38" s="296">
        <v>8583000</v>
      </c>
      <c r="J38" s="273">
        <v>0</v>
      </c>
      <c r="K38" s="273">
        <v>0</v>
      </c>
      <c r="L38" s="273">
        <v>1900000</v>
      </c>
      <c r="M38" s="273">
        <v>4270000</v>
      </c>
      <c r="N38" s="273">
        <v>1470000</v>
      </c>
      <c r="O38" s="273">
        <v>0</v>
      </c>
      <c r="P38" s="273">
        <v>0</v>
      </c>
      <c r="Q38" s="273">
        <v>0</v>
      </c>
      <c r="R38" s="274">
        <f>SUM(J38:Q38)</f>
        <v>7640000</v>
      </c>
      <c r="S38" s="275">
        <f>I38-R38</f>
        <v>943000</v>
      </c>
      <c r="T38" s="276">
        <f>G38-I38</f>
        <v>0</v>
      </c>
      <c r="U38" s="297">
        <v>128</v>
      </c>
      <c r="V38" s="278">
        <f t="shared" si="0"/>
        <v>59687.5</v>
      </c>
      <c r="X38" s="328"/>
      <c r="Y38" s="273"/>
      <c r="Z38" s="273"/>
      <c r="AA38" s="273"/>
      <c r="AB38" s="273"/>
      <c r="AC38" s="273"/>
      <c r="AD38" s="273"/>
      <c r="AE38" s="273"/>
    </row>
    <row r="39" spans="1:31" ht="18.95" customHeight="1">
      <c r="A39" s="312"/>
      <c r="B39" s="279" t="s">
        <v>38</v>
      </c>
      <c r="C39" s="280" t="s">
        <v>75</v>
      </c>
      <c r="D39" s="281" t="s">
        <v>43</v>
      </c>
      <c r="E39" s="282">
        <v>0</v>
      </c>
      <c r="F39" s="283"/>
      <c r="G39" s="282">
        <v>0</v>
      </c>
      <c r="H39" s="283"/>
      <c r="I39" s="284">
        <v>0</v>
      </c>
      <c r="J39" s="285">
        <v>0</v>
      </c>
      <c r="K39" s="285">
        <v>0</v>
      </c>
      <c r="L39" s="285">
        <v>0</v>
      </c>
      <c r="M39" s="285">
        <v>-235800</v>
      </c>
      <c r="N39" s="285">
        <v>-527600</v>
      </c>
      <c r="O39" s="285">
        <v>-399200</v>
      </c>
      <c r="P39" s="285">
        <v>0</v>
      </c>
      <c r="Q39" s="285">
        <v>0</v>
      </c>
      <c r="R39" s="286">
        <f>SUM(J39:Q39)</f>
        <v>-1162600</v>
      </c>
      <c r="S39" s="287">
        <f>I39-R39</f>
        <v>1162600</v>
      </c>
      <c r="T39" s="288">
        <f>G39-I39</f>
        <v>0</v>
      </c>
      <c r="U39" s="289">
        <v>0</v>
      </c>
      <c r="V39" s="290" t="e">
        <f t="shared" si="0"/>
        <v>#DIV/0!</v>
      </c>
      <c r="X39" s="329"/>
      <c r="Y39" s="285"/>
      <c r="Z39" s="285"/>
      <c r="AA39" s="285"/>
      <c r="AB39" s="285"/>
      <c r="AC39" s="285"/>
      <c r="AD39" s="285"/>
      <c r="AE39" s="285"/>
    </row>
    <row r="40" spans="1:31" ht="18.95" customHeight="1">
      <c r="A40" s="312"/>
      <c r="B40" s="279" t="s">
        <v>53</v>
      </c>
      <c r="C40" s="280" t="s">
        <v>76</v>
      </c>
      <c r="D40" s="281" t="s">
        <v>43</v>
      </c>
      <c r="E40" s="282">
        <v>0</v>
      </c>
      <c r="F40" s="283"/>
      <c r="G40" s="282">
        <v>0</v>
      </c>
      <c r="H40" s="283"/>
      <c r="I40" s="284">
        <v>0</v>
      </c>
      <c r="J40" s="285">
        <v>0</v>
      </c>
      <c r="K40" s="285">
        <v>0</v>
      </c>
      <c r="L40" s="285">
        <v>221600</v>
      </c>
      <c r="M40" s="285">
        <v>495200</v>
      </c>
      <c r="N40" s="285">
        <v>376200</v>
      </c>
      <c r="O40" s="285">
        <v>0</v>
      </c>
      <c r="P40" s="285">
        <v>0</v>
      </c>
      <c r="Q40" s="285">
        <v>0</v>
      </c>
      <c r="R40" s="286">
        <f>SUM(J40:Q40)</f>
        <v>1093000</v>
      </c>
      <c r="S40" s="287">
        <f>I40-R40</f>
        <v>-1093000</v>
      </c>
      <c r="T40" s="288">
        <f>G40-I40</f>
        <v>0</v>
      </c>
      <c r="U40" s="289">
        <v>0</v>
      </c>
      <c r="V40" s="290" t="e">
        <f t="shared" si="0"/>
        <v>#DIV/0!</v>
      </c>
      <c r="X40" s="329"/>
      <c r="Y40" s="285"/>
      <c r="Z40" s="285"/>
      <c r="AA40" s="285"/>
      <c r="AB40" s="285"/>
      <c r="AC40" s="285"/>
      <c r="AD40" s="285"/>
      <c r="AE40" s="285"/>
    </row>
    <row r="41" spans="1:31" ht="18.95" customHeight="1">
      <c r="A41" s="312"/>
      <c r="B41" s="279"/>
      <c r="C41" s="280" t="s">
        <v>75</v>
      </c>
      <c r="D41" s="281" t="s">
        <v>43</v>
      </c>
      <c r="E41" s="282">
        <v>0</v>
      </c>
      <c r="F41" s="283"/>
      <c r="G41" s="282">
        <v>0</v>
      </c>
      <c r="H41" s="283"/>
      <c r="I41" s="284">
        <v>0</v>
      </c>
      <c r="J41" s="285">
        <v>0</v>
      </c>
      <c r="K41" s="285">
        <v>0</v>
      </c>
      <c r="L41" s="285">
        <v>0</v>
      </c>
      <c r="M41" s="285">
        <v>0</v>
      </c>
      <c r="N41" s="285">
        <v>0</v>
      </c>
      <c r="O41" s="285">
        <v>0</v>
      </c>
      <c r="P41" s="285">
        <v>0</v>
      </c>
      <c r="Q41" s="285">
        <v>0</v>
      </c>
      <c r="R41" s="286">
        <f>SUM(J41:Q41)</f>
        <v>0</v>
      </c>
      <c r="S41" s="287">
        <f>I41-R41</f>
        <v>0</v>
      </c>
      <c r="T41" s="288">
        <f>G41-I41</f>
        <v>0</v>
      </c>
      <c r="U41" s="289">
        <v>0</v>
      </c>
      <c r="V41" s="290" t="e">
        <f t="shared" si="0"/>
        <v>#DIV/0!</v>
      </c>
      <c r="X41" s="329"/>
      <c r="Y41" s="285"/>
      <c r="Z41" s="285"/>
      <c r="AA41" s="285"/>
      <c r="AB41" s="285"/>
      <c r="AC41" s="285"/>
      <c r="AD41" s="285"/>
      <c r="AE41" s="285"/>
    </row>
    <row r="42" spans="1:31" ht="18.95" customHeight="1">
      <c r="A42" s="313"/>
      <c r="B42" s="279"/>
      <c r="C42" s="280" t="s">
        <v>76</v>
      </c>
      <c r="D42" s="281" t="s">
        <v>43</v>
      </c>
      <c r="E42" s="282">
        <v>0</v>
      </c>
      <c r="F42" s="283"/>
      <c r="G42" s="282">
        <v>0</v>
      </c>
      <c r="H42" s="283"/>
      <c r="I42" s="284">
        <v>0</v>
      </c>
      <c r="J42" s="285">
        <v>0</v>
      </c>
      <c r="K42" s="285">
        <v>0</v>
      </c>
      <c r="L42" s="285">
        <v>0</v>
      </c>
      <c r="M42" s="285">
        <v>0</v>
      </c>
      <c r="N42" s="285">
        <v>0</v>
      </c>
      <c r="O42" s="285">
        <v>0</v>
      </c>
      <c r="P42" s="285">
        <v>0</v>
      </c>
      <c r="Q42" s="285">
        <v>0</v>
      </c>
      <c r="R42" s="286">
        <f>SUM(J42:Q42)</f>
        <v>0</v>
      </c>
      <c r="S42" s="287">
        <f>I42-R42</f>
        <v>0</v>
      </c>
      <c r="T42" s="288">
        <f>G42-I42</f>
        <v>0</v>
      </c>
      <c r="U42" s="289">
        <v>0</v>
      </c>
      <c r="V42" s="290" t="e">
        <f t="shared" si="0"/>
        <v>#DIV/0!</v>
      </c>
      <c r="X42" s="329"/>
      <c r="Y42" s="285"/>
      <c r="Z42" s="285"/>
      <c r="AA42" s="285"/>
      <c r="AB42" s="285"/>
      <c r="AC42" s="285"/>
      <c r="AD42" s="285"/>
      <c r="AE42" s="285"/>
    </row>
    <row r="43" spans="1:31" ht="18.95" customHeight="1">
      <c r="A43" s="314" t="s">
        <v>77</v>
      </c>
      <c r="B43" s="291" t="s">
        <v>38</v>
      </c>
      <c r="C43" s="292" t="s">
        <v>78</v>
      </c>
      <c r="D43" s="293" t="s">
        <v>40</v>
      </c>
      <c r="E43" s="294">
        <v>822100</v>
      </c>
      <c r="F43" s="295"/>
      <c r="G43" s="294">
        <v>679200</v>
      </c>
      <c r="H43" s="295"/>
      <c r="I43" s="296">
        <v>679200</v>
      </c>
      <c r="J43" s="273">
        <v>0</v>
      </c>
      <c r="K43" s="273">
        <v>0</v>
      </c>
      <c r="L43" s="273">
        <v>0</v>
      </c>
      <c r="M43" s="273">
        <v>679200</v>
      </c>
      <c r="N43" s="273">
        <v>0</v>
      </c>
      <c r="O43" s="273">
        <v>0</v>
      </c>
      <c r="P43" s="273">
        <v>0</v>
      </c>
      <c r="Q43" s="273">
        <v>0</v>
      </c>
      <c r="R43" s="274">
        <f>SUM(J43:Q43)</f>
        <v>679200</v>
      </c>
      <c r="S43" s="275">
        <f>I43-R43</f>
        <v>0</v>
      </c>
      <c r="T43" s="276">
        <f>G43-I43</f>
        <v>0</v>
      </c>
      <c r="U43" s="297">
        <v>35</v>
      </c>
      <c r="V43" s="278">
        <f t="shared" si="0"/>
        <v>19405.714285714286</v>
      </c>
      <c r="X43" s="328"/>
      <c r="Y43" s="273"/>
      <c r="Z43" s="273"/>
      <c r="AA43" s="273"/>
      <c r="AB43" s="273"/>
      <c r="AC43" s="273"/>
      <c r="AD43" s="273"/>
      <c r="AE43" s="273"/>
    </row>
    <row r="44" spans="1:31" ht="18.95" customHeight="1">
      <c r="A44" s="312"/>
      <c r="B44" s="279" t="s">
        <v>38</v>
      </c>
      <c r="C44" s="280" t="s">
        <v>78</v>
      </c>
      <c r="D44" s="281" t="s">
        <v>43</v>
      </c>
      <c r="E44" s="282">
        <v>0</v>
      </c>
      <c r="F44" s="283"/>
      <c r="G44" s="282">
        <v>0</v>
      </c>
      <c r="H44" s="283"/>
      <c r="I44" s="284">
        <v>0</v>
      </c>
      <c r="J44" s="285">
        <v>0</v>
      </c>
      <c r="K44" s="285">
        <v>0</v>
      </c>
      <c r="L44" s="285">
        <v>325000</v>
      </c>
      <c r="M44" s="285">
        <v>0</v>
      </c>
      <c r="N44" s="285">
        <v>-54300</v>
      </c>
      <c r="O44" s="285">
        <v>0</v>
      </c>
      <c r="P44" s="285">
        <v>0</v>
      </c>
      <c r="Q44" s="285">
        <v>0</v>
      </c>
      <c r="R44" s="286">
        <f>SUM(J44:Q44)</f>
        <v>270700</v>
      </c>
      <c r="S44" s="287">
        <f>I44-R44</f>
        <v>-270700</v>
      </c>
      <c r="T44" s="288">
        <f>G44-I44</f>
        <v>0</v>
      </c>
      <c r="U44" s="289">
        <v>0</v>
      </c>
      <c r="V44" s="290" t="e">
        <f t="shared" si="0"/>
        <v>#DIV/0!</v>
      </c>
      <c r="X44" s="329"/>
      <c r="Y44" s="285"/>
      <c r="Z44" s="285"/>
      <c r="AA44" s="285"/>
      <c r="AB44" s="285"/>
      <c r="AC44" s="285"/>
      <c r="AD44" s="285"/>
      <c r="AE44" s="285"/>
    </row>
    <row r="45" spans="1:31" ht="18.95" customHeight="1">
      <c r="A45" s="312"/>
      <c r="B45" s="279" t="s">
        <v>38</v>
      </c>
      <c r="C45" s="280" t="s">
        <v>79</v>
      </c>
      <c r="D45" s="281" t="s">
        <v>40</v>
      </c>
      <c r="E45" s="282">
        <v>3684600</v>
      </c>
      <c r="F45" s="283"/>
      <c r="G45" s="282">
        <v>3756250</v>
      </c>
      <c r="H45" s="283"/>
      <c r="I45" s="284">
        <v>3756250</v>
      </c>
      <c r="J45" s="285">
        <v>0</v>
      </c>
      <c r="K45" s="285">
        <v>0</v>
      </c>
      <c r="L45" s="285">
        <v>0</v>
      </c>
      <c r="M45" s="285">
        <v>1280800</v>
      </c>
      <c r="N45" s="285">
        <v>1680000</v>
      </c>
      <c r="O45" s="285">
        <v>0</v>
      </c>
      <c r="P45" s="285">
        <v>0</v>
      </c>
      <c r="Q45" s="285">
        <v>0</v>
      </c>
      <c r="R45" s="286">
        <f>SUM(J45:Q45)</f>
        <v>2960800</v>
      </c>
      <c r="S45" s="287">
        <f>I45-R45</f>
        <v>795450</v>
      </c>
      <c r="T45" s="288">
        <f>G45-I45</f>
        <v>0</v>
      </c>
      <c r="U45" s="289">
        <v>30</v>
      </c>
      <c r="V45" s="290">
        <f t="shared" si="0"/>
        <v>98693.333333333328</v>
      </c>
      <c r="X45" s="329"/>
      <c r="Y45" s="285"/>
      <c r="Z45" s="285"/>
      <c r="AA45" s="285"/>
      <c r="AB45" s="285"/>
      <c r="AC45" s="285"/>
      <c r="AD45" s="285"/>
      <c r="AE45" s="285"/>
    </row>
    <row r="46" spans="1:31" ht="18.95" customHeight="1">
      <c r="A46" s="312"/>
      <c r="B46" s="279" t="s">
        <v>38</v>
      </c>
      <c r="C46" s="280" t="s">
        <v>79</v>
      </c>
      <c r="D46" s="281" t="s">
        <v>43</v>
      </c>
      <c r="E46" s="282">
        <v>0</v>
      </c>
      <c r="F46" s="283"/>
      <c r="G46" s="282">
        <v>0</v>
      </c>
      <c r="H46" s="283"/>
      <c r="I46" s="284">
        <v>0</v>
      </c>
      <c r="J46" s="285">
        <v>0</v>
      </c>
      <c r="K46" s="285">
        <v>0</v>
      </c>
      <c r="L46" s="285">
        <v>0</v>
      </c>
      <c r="M46" s="285">
        <v>259400</v>
      </c>
      <c r="N46" s="285">
        <v>0</v>
      </c>
      <c r="O46" s="285">
        <v>0</v>
      </c>
      <c r="P46" s="285">
        <v>0</v>
      </c>
      <c r="Q46" s="285">
        <v>0</v>
      </c>
      <c r="R46" s="286">
        <f>SUM(J46:Q46)</f>
        <v>259400</v>
      </c>
      <c r="S46" s="287">
        <f>I46-R46</f>
        <v>-259400</v>
      </c>
      <c r="T46" s="288">
        <f>G46-I46</f>
        <v>0</v>
      </c>
      <c r="U46" s="289">
        <v>0</v>
      </c>
      <c r="V46" s="290" t="e">
        <f t="shared" si="0"/>
        <v>#DIV/0!</v>
      </c>
      <c r="X46" s="329"/>
      <c r="Y46" s="285"/>
      <c r="Z46" s="285"/>
      <c r="AA46" s="285"/>
      <c r="AB46" s="285"/>
      <c r="AC46" s="285"/>
      <c r="AD46" s="285"/>
      <c r="AE46" s="285"/>
    </row>
    <row r="47" spans="1:31" ht="18.95" customHeight="1">
      <c r="A47" s="312"/>
      <c r="B47" s="279" t="s">
        <v>38</v>
      </c>
      <c r="C47" s="280" t="s">
        <v>80</v>
      </c>
      <c r="D47" s="281" t="s">
        <v>40</v>
      </c>
      <c r="E47" s="282">
        <v>1771450</v>
      </c>
      <c r="F47" s="283"/>
      <c r="G47" s="282">
        <v>1879290</v>
      </c>
      <c r="H47" s="283"/>
      <c r="I47" s="284">
        <v>1879290</v>
      </c>
      <c r="J47" s="285">
        <v>0</v>
      </c>
      <c r="K47" s="285">
        <v>0</v>
      </c>
      <c r="L47" s="285">
        <v>0</v>
      </c>
      <c r="M47" s="285">
        <v>0</v>
      </c>
      <c r="N47" s="285">
        <v>0</v>
      </c>
      <c r="O47" s="285">
        <v>0</v>
      </c>
      <c r="P47" s="285">
        <v>0</v>
      </c>
      <c r="Q47" s="285">
        <v>0</v>
      </c>
      <c r="R47" s="286">
        <f>SUM(J47:Q47)</f>
        <v>0</v>
      </c>
      <c r="S47" s="287">
        <f>I47-R47</f>
        <v>1879290</v>
      </c>
      <c r="T47" s="288">
        <f>G47-I47</f>
        <v>0</v>
      </c>
      <c r="U47" s="289">
        <v>10</v>
      </c>
      <c r="V47" s="290">
        <f t="shared" si="0"/>
        <v>0</v>
      </c>
      <c r="X47" s="329"/>
      <c r="Y47" s="285"/>
      <c r="Z47" s="285"/>
      <c r="AA47" s="285"/>
      <c r="AB47" s="285"/>
      <c r="AC47" s="285"/>
      <c r="AD47" s="285"/>
      <c r="AE47" s="285"/>
    </row>
    <row r="48" spans="1:31" ht="18.95" customHeight="1">
      <c r="A48" s="312"/>
      <c r="B48" s="279" t="s">
        <v>53</v>
      </c>
      <c r="C48" s="280" t="s">
        <v>81</v>
      </c>
      <c r="D48" s="281" t="s">
        <v>43</v>
      </c>
      <c r="E48" s="282">
        <v>0</v>
      </c>
      <c r="F48" s="283"/>
      <c r="G48" s="282">
        <v>0</v>
      </c>
      <c r="H48" s="283"/>
      <c r="I48" s="284">
        <v>0</v>
      </c>
      <c r="J48" s="285">
        <v>0</v>
      </c>
      <c r="K48" s="285">
        <v>0</v>
      </c>
      <c r="L48" s="285">
        <v>0</v>
      </c>
      <c r="M48" s="285">
        <v>48280</v>
      </c>
      <c r="N48" s="285">
        <v>0</v>
      </c>
      <c r="O48" s="285">
        <v>0</v>
      </c>
      <c r="P48" s="285">
        <v>0</v>
      </c>
      <c r="Q48" s="285">
        <v>0</v>
      </c>
      <c r="R48" s="286">
        <f>SUM(J48:Q48)</f>
        <v>48280</v>
      </c>
      <c r="S48" s="287">
        <f>I48-R48</f>
        <v>-48280</v>
      </c>
      <c r="T48" s="288">
        <f>G48-I48</f>
        <v>0</v>
      </c>
      <c r="U48" s="289">
        <v>0</v>
      </c>
      <c r="V48" s="290" t="e">
        <f t="shared" si="0"/>
        <v>#DIV/0!</v>
      </c>
      <c r="X48" s="329"/>
      <c r="Y48" s="285"/>
      <c r="Z48" s="285"/>
      <c r="AA48" s="285"/>
      <c r="AB48" s="285"/>
      <c r="AC48" s="285"/>
      <c r="AD48" s="285"/>
      <c r="AE48" s="285"/>
    </row>
    <row r="49" spans="1:31" ht="18.95" customHeight="1">
      <c r="A49" s="312"/>
      <c r="B49" s="279" t="s">
        <v>53</v>
      </c>
      <c r="C49" s="280" t="s">
        <v>82</v>
      </c>
      <c r="D49" s="281" t="s">
        <v>43</v>
      </c>
      <c r="E49" s="282">
        <v>0</v>
      </c>
      <c r="F49" s="283"/>
      <c r="G49" s="282">
        <v>0</v>
      </c>
      <c r="H49" s="283"/>
      <c r="I49" s="284">
        <v>0</v>
      </c>
      <c r="J49" s="285">
        <v>0</v>
      </c>
      <c r="K49" s="285">
        <v>0</v>
      </c>
      <c r="L49" s="285">
        <v>14700</v>
      </c>
      <c r="M49" s="285">
        <v>33880</v>
      </c>
      <c r="N49" s="285">
        <v>0</v>
      </c>
      <c r="O49" s="285">
        <v>0</v>
      </c>
      <c r="P49" s="285">
        <v>0</v>
      </c>
      <c r="Q49" s="285">
        <v>0</v>
      </c>
      <c r="R49" s="286">
        <f>SUM(J49:Q49)</f>
        <v>48580</v>
      </c>
      <c r="S49" s="287">
        <f>I49-R49</f>
        <v>-48580</v>
      </c>
      <c r="T49" s="288">
        <f>G49-I49</f>
        <v>0</v>
      </c>
      <c r="U49" s="289">
        <v>0</v>
      </c>
      <c r="V49" s="290" t="e">
        <f t="shared" si="0"/>
        <v>#DIV/0!</v>
      </c>
      <c r="X49" s="329"/>
      <c r="Y49" s="285"/>
      <c r="Z49" s="285"/>
      <c r="AA49" s="285"/>
      <c r="AB49" s="285"/>
      <c r="AC49" s="285"/>
      <c r="AD49" s="285"/>
      <c r="AE49" s="285"/>
    </row>
    <row r="50" spans="1:31" ht="18.95" customHeight="1">
      <c r="A50" s="312"/>
      <c r="B50" s="279" t="s">
        <v>83</v>
      </c>
      <c r="C50" s="280" t="s">
        <v>82</v>
      </c>
      <c r="D50" s="281" t="s">
        <v>43</v>
      </c>
      <c r="E50" s="282">
        <v>0</v>
      </c>
      <c r="F50" s="283"/>
      <c r="G50" s="282">
        <v>0</v>
      </c>
      <c r="H50" s="283"/>
      <c r="I50" s="284">
        <v>0</v>
      </c>
      <c r="J50" s="285">
        <v>0</v>
      </c>
      <c r="K50" s="285">
        <v>0</v>
      </c>
      <c r="L50" s="285">
        <v>0</v>
      </c>
      <c r="M50" s="285">
        <v>510900</v>
      </c>
      <c r="N50" s="285">
        <v>0</v>
      </c>
      <c r="O50" s="285">
        <v>0</v>
      </c>
      <c r="P50" s="285">
        <v>0</v>
      </c>
      <c r="Q50" s="285">
        <v>0</v>
      </c>
      <c r="R50" s="286">
        <f>SUM(J50:Q50)</f>
        <v>510900</v>
      </c>
      <c r="S50" s="287">
        <f>I50-R50</f>
        <v>-510900</v>
      </c>
      <c r="T50" s="288">
        <f>G50-I50</f>
        <v>0</v>
      </c>
      <c r="U50" s="289">
        <v>0</v>
      </c>
      <c r="V50" s="290" t="e">
        <f t="shared" si="0"/>
        <v>#DIV/0!</v>
      </c>
      <c r="X50" s="329"/>
      <c r="Y50" s="285"/>
      <c r="Z50" s="285"/>
      <c r="AA50" s="285"/>
      <c r="AB50" s="285"/>
      <c r="AC50" s="285"/>
      <c r="AD50" s="285"/>
      <c r="AE50" s="285"/>
    </row>
    <row r="51" spans="1:31" ht="18.95" customHeight="1">
      <c r="A51" s="312"/>
      <c r="B51" s="279" t="s">
        <v>55</v>
      </c>
      <c r="C51" s="280" t="s">
        <v>82</v>
      </c>
      <c r="D51" s="281" t="s">
        <v>43</v>
      </c>
      <c r="E51" s="282">
        <v>0</v>
      </c>
      <c r="F51" s="283"/>
      <c r="G51" s="282">
        <v>0</v>
      </c>
      <c r="H51" s="283"/>
      <c r="I51" s="284">
        <v>0</v>
      </c>
      <c r="J51" s="285">
        <v>0</v>
      </c>
      <c r="K51" s="285">
        <v>0</v>
      </c>
      <c r="L51" s="285">
        <v>0</v>
      </c>
      <c r="M51" s="285">
        <v>0</v>
      </c>
      <c r="N51" s="285">
        <v>17420</v>
      </c>
      <c r="O51" s="285">
        <v>0</v>
      </c>
      <c r="P51" s="285">
        <v>0</v>
      </c>
      <c r="Q51" s="285">
        <v>0</v>
      </c>
      <c r="R51" s="286">
        <f>SUM(J51:Q51)</f>
        <v>17420</v>
      </c>
      <c r="S51" s="287">
        <f>I51-R51</f>
        <v>-17420</v>
      </c>
      <c r="T51" s="288">
        <f>G51-I51</f>
        <v>0</v>
      </c>
      <c r="U51" s="289">
        <v>0</v>
      </c>
      <c r="V51" s="290" t="e">
        <f t="shared" si="0"/>
        <v>#DIV/0!</v>
      </c>
      <c r="X51" s="329"/>
      <c r="Y51" s="285"/>
      <c r="Z51" s="285"/>
      <c r="AA51" s="285"/>
      <c r="AB51" s="285"/>
      <c r="AC51" s="285"/>
      <c r="AD51" s="285"/>
      <c r="AE51" s="285"/>
    </row>
    <row r="52" spans="1:31" ht="18.95" customHeight="1">
      <c r="A52" s="312"/>
      <c r="B52" s="279" t="s">
        <v>84</v>
      </c>
      <c r="C52" s="280" t="s">
        <v>79</v>
      </c>
      <c r="D52" s="281" t="s">
        <v>43</v>
      </c>
      <c r="E52" s="282">
        <v>0</v>
      </c>
      <c r="F52" s="283"/>
      <c r="G52" s="282">
        <v>0</v>
      </c>
      <c r="H52" s="283"/>
      <c r="I52" s="284">
        <v>220000</v>
      </c>
      <c r="J52" s="285">
        <v>0</v>
      </c>
      <c r="K52" s="285">
        <v>0</v>
      </c>
      <c r="L52" s="285">
        <v>0</v>
      </c>
      <c r="M52" s="285">
        <v>0</v>
      </c>
      <c r="N52" s="285">
        <v>0</v>
      </c>
      <c r="O52" s="285">
        <v>220000</v>
      </c>
      <c r="P52" s="285">
        <v>0</v>
      </c>
      <c r="Q52" s="285">
        <v>0</v>
      </c>
      <c r="R52" s="286">
        <f>SUM(J52:Q52)</f>
        <v>220000</v>
      </c>
      <c r="S52" s="287">
        <f>I52-R52</f>
        <v>0</v>
      </c>
      <c r="T52" s="288">
        <f>G52-I52</f>
        <v>-220000</v>
      </c>
      <c r="U52" s="289">
        <v>0</v>
      </c>
      <c r="V52" s="290" t="e">
        <f t="shared" si="0"/>
        <v>#DIV/0!</v>
      </c>
      <c r="X52" s="329"/>
      <c r="Y52" s="285"/>
      <c r="Z52" s="285"/>
      <c r="AA52" s="285"/>
      <c r="AB52" s="285"/>
      <c r="AC52" s="285"/>
      <c r="AD52" s="285"/>
      <c r="AE52" s="285"/>
    </row>
    <row r="53" spans="1:31" ht="18.95" customHeight="1">
      <c r="A53" s="312"/>
      <c r="B53" s="279"/>
      <c r="C53" s="280" t="s">
        <v>78</v>
      </c>
      <c r="D53" s="281" t="s">
        <v>43</v>
      </c>
      <c r="E53" s="282">
        <v>0</v>
      </c>
      <c r="F53" s="283"/>
      <c r="G53" s="282">
        <v>250000</v>
      </c>
      <c r="H53" s="283"/>
      <c r="I53" s="284">
        <v>325000</v>
      </c>
      <c r="J53" s="285">
        <v>0</v>
      </c>
      <c r="K53" s="285">
        <v>0</v>
      </c>
      <c r="L53" s="285">
        <v>0</v>
      </c>
      <c r="M53" s="285">
        <v>0</v>
      </c>
      <c r="N53" s="285">
        <v>0</v>
      </c>
      <c r="O53" s="285">
        <v>0</v>
      </c>
      <c r="P53" s="285">
        <v>0</v>
      </c>
      <c r="Q53" s="285">
        <v>0</v>
      </c>
      <c r="R53" s="286">
        <f>SUM(J53:Q53)</f>
        <v>0</v>
      </c>
      <c r="S53" s="287">
        <f>I53-R53</f>
        <v>325000</v>
      </c>
      <c r="T53" s="288">
        <f>G53-I53</f>
        <v>-75000</v>
      </c>
      <c r="U53" s="289">
        <v>0</v>
      </c>
      <c r="V53" s="290" t="e">
        <f t="shared" si="0"/>
        <v>#DIV/0!</v>
      </c>
      <c r="X53" s="329"/>
      <c r="Y53" s="285"/>
      <c r="Z53" s="285"/>
      <c r="AA53" s="285"/>
      <c r="AB53" s="285"/>
      <c r="AC53" s="285"/>
      <c r="AD53" s="285"/>
      <c r="AE53" s="285"/>
    </row>
    <row r="54" spans="1:31" ht="18.95" customHeight="1">
      <c r="A54" s="312"/>
      <c r="B54" s="279"/>
      <c r="C54" s="280" t="s">
        <v>81</v>
      </c>
      <c r="D54" s="281" t="s">
        <v>43</v>
      </c>
      <c r="E54" s="282">
        <v>0</v>
      </c>
      <c r="F54" s="283"/>
      <c r="G54" s="282">
        <v>0</v>
      </c>
      <c r="H54" s="283"/>
      <c r="I54" s="284">
        <v>0</v>
      </c>
      <c r="J54" s="285">
        <v>0</v>
      </c>
      <c r="K54" s="285">
        <v>0</v>
      </c>
      <c r="L54" s="285">
        <v>0</v>
      </c>
      <c r="M54" s="285">
        <v>0</v>
      </c>
      <c r="N54" s="285">
        <v>0</v>
      </c>
      <c r="O54" s="285">
        <v>0</v>
      </c>
      <c r="P54" s="285">
        <v>0</v>
      </c>
      <c r="Q54" s="285">
        <v>0</v>
      </c>
      <c r="R54" s="286">
        <f>SUM(J54:Q54)</f>
        <v>0</v>
      </c>
      <c r="S54" s="287">
        <f>I54-R54</f>
        <v>0</v>
      </c>
      <c r="T54" s="288">
        <f>G54-I54</f>
        <v>0</v>
      </c>
      <c r="U54" s="289">
        <v>0</v>
      </c>
      <c r="V54" s="290" t="e">
        <f t="shared" si="0"/>
        <v>#DIV/0!</v>
      </c>
      <c r="X54" s="329"/>
      <c r="Y54" s="285"/>
      <c r="Z54" s="285"/>
      <c r="AA54" s="285"/>
      <c r="AB54" s="285"/>
      <c r="AC54" s="285"/>
      <c r="AD54" s="285"/>
      <c r="AE54" s="285"/>
    </row>
    <row r="55" spans="1:31" ht="18.95" customHeight="1">
      <c r="A55" s="312"/>
      <c r="B55" s="279"/>
      <c r="C55" s="280" t="s">
        <v>79</v>
      </c>
      <c r="D55" s="281" t="s">
        <v>43</v>
      </c>
      <c r="E55" s="282">
        <v>911360</v>
      </c>
      <c r="F55" s="283"/>
      <c r="G55" s="282">
        <v>945000</v>
      </c>
      <c r="H55" s="283"/>
      <c r="I55" s="284">
        <v>945000</v>
      </c>
      <c r="J55" s="285">
        <v>0</v>
      </c>
      <c r="K55" s="285">
        <v>0</v>
      </c>
      <c r="L55" s="285">
        <v>0</v>
      </c>
      <c r="M55" s="285">
        <v>0</v>
      </c>
      <c r="N55" s="285">
        <v>0</v>
      </c>
      <c r="O55" s="285">
        <v>0</v>
      </c>
      <c r="P55" s="285">
        <v>0</v>
      </c>
      <c r="Q55" s="285">
        <v>0</v>
      </c>
      <c r="R55" s="286">
        <f>SUM(J55:Q55)</f>
        <v>0</v>
      </c>
      <c r="S55" s="287">
        <f>I55-R55</f>
        <v>945000</v>
      </c>
      <c r="T55" s="288">
        <f>G55-I55</f>
        <v>0</v>
      </c>
      <c r="U55" s="289">
        <v>0</v>
      </c>
      <c r="V55" s="290" t="e">
        <f t="shared" si="0"/>
        <v>#DIV/0!</v>
      </c>
      <c r="X55" s="329"/>
      <c r="Y55" s="285"/>
      <c r="Z55" s="285"/>
      <c r="AA55" s="285"/>
      <c r="AB55" s="285"/>
      <c r="AC55" s="285"/>
      <c r="AD55" s="285"/>
      <c r="AE55" s="285"/>
    </row>
    <row r="56" spans="1:31" ht="18.95" customHeight="1">
      <c r="A56" s="312"/>
      <c r="B56" s="279"/>
      <c r="C56" s="280" t="s">
        <v>82</v>
      </c>
      <c r="D56" s="281" t="s">
        <v>43</v>
      </c>
      <c r="E56" s="282">
        <v>0</v>
      </c>
      <c r="F56" s="283"/>
      <c r="G56" s="282">
        <v>0</v>
      </c>
      <c r="H56" s="283"/>
      <c r="I56" s="284">
        <v>60000</v>
      </c>
      <c r="J56" s="285">
        <v>0</v>
      </c>
      <c r="K56" s="285">
        <v>0</v>
      </c>
      <c r="L56" s="285">
        <v>0</v>
      </c>
      <c r="M56" s="285">
        <v>0</v>
      </c>
      <c r="N56" s="285">
        <v>0</v>
      </c>
      <c r="O56" s="285">
        <v>0</v>
      </c>
      <c r="P56" s="285">
        <v>0</v>
      </c>
      <c r="Q56" s="285">
        <v>0</v>
      </c>
      <c r="R56" s="286">
        <f>SUM(J56:Q56)</f>
        <v>0</v>
      </c>
      <c r="S56" s="287">
        <f>I56-R56</f>
        <v>60000</v>
      </c>
      <c r="T56" s="288">
        <f>G56-I56</f>
        <v>-60000</v>
      </c>
      <c r="U56" s="289">
        <v>0</v>
      </c>
      <c r="V56" s="290" t="e">
        <f t="shared" si="0"/>
        <v>#DIV/0!</v>
      </c>
      <c r="X56" s="329"/>
      <c r="Y56" s="285"/>
      <c r="Z56" s="285"/>
      <c r="AA56" s="285"/>
      <c r="AB56" s="285"/>
      <c r="AC56" s="285"/>
      <c r="AD56" s="285"/>
      <c r="AE56" s="285"/>
    </row>
    <row r="57" spans="1:31" ht="18.95" customHeight="1">
      <c r="A57" s="312"/>
      <c r="B57" s="279"/>
      <c r="C57" s="280" t="s">
        <v>80</v>
      </c>
      <c r="D57" s="281" t="s">
        <v>43</v>
      </c>
      <c r="E57" s="282">
        <v>0</v>
      </c>
      <c r="F57" s="283"/>
      <c r="G57" s="282">
        <v>0</v>
      </c>
      <c r="H57" s="283"/>
      <c r="I57" s="284">
        <v>0</v>
      </c>
      <c r="J57" s="285">
        <v>0</v>
      </c>
      <c r="K57" s="285">
        <v>0</v>
      </c>
      <c r="L57" s="285">
        <v>0</v>
      </c>
      <c r="M57" s="285">
        <v>0</v>
      </c>
      <c r="N57" s="285">
        <v>0</v>
      </c>
      <c r="O57" s="285">
        <v>0</v>
      </c>
      <c r="P57" s="285">
        <v>0</v>
      </c>
      <c r="Q57" s="285">
        <v>0</v>
      </c>
      <c r="R57" s="286">
        <f>SUM(J57:Q57)</f>
        <v>0</v>
      </c>
      <c r="S57" s="287">
        <f>I57-R57</f>
        <v>0</v>
      </c>
      <c r="T57" s="288">
        <f>G57-I57</f>
        <v>0</v>
      </c>
      <c r="U57" s="289">
        <v>0</v>
      </c>
      <c r="V57" s="290" t="e">
        <f t="shared" si="0"/>
        <v>#DIV/0!</v>
      </c>
      <c r="X57" s="329"/>
      <c r="Y57" s="285"/>
      <c r="Z57" s="285"/>
      <c r="AA57" s="285"/>
      <c r="AB57" s="285"/>
      <c r="AC57" s="285"/>
      <c r="AD57" s="285"/>
      <c r="AE57" s="285"/>
    </row>
    <row r="58" spans="1:31" ht="18.95" customHeight="1">
      <c r="A58" s="313"/>
      <c r="B58" s="279"/>
      <c r="C58" s="280" t="s">
        <v>85</v>
      </c>
      <c r="D58" s="281" t="s">
        <v>43</v>
      </c>
      <c r="E58" s="282">
        <v>0</v>
      </c>
      <c r="F58" s="283"/>
      <c r="G58" s="282">
        <v>0</v>
      </c>
      <c r="H58" s="283"/>
      <c r="I58" s="284">
        <v>0</v>
      </c>
      <c r="J58" s="285">
        <v>0</v>
      </c>
      <c r="K58" s="285">
        <v>0</v>
      </c>
      <c r="L58" s="285">
        <v>0</v>
      </c>
      <c r="M58" s="285">
        <v>0</v>
      </c>
      <c r="N58" s="285">
        <v>0</v>
      </c>
      <c r="O58" s="285">
        <v>0</v>
      </c>
      <c r="P58" s="285">
        <v>0</v>
      </c>
      <c r="Q58" s="285">
        <v>0</v>
      </c>
      <c r="R58" s="286">
        <f>SUM(J58:Q58)</f>
        <v>0</v>
      </c>
      <c r="S58" s="287">
        <f>I58-R58</f>
        <v>0</v>
      </c>
      <c r="T58" s="288">
        <f>G58-I58</f>
        <v>0</v>
      </c>
      <c r="U58" s="289">
        <v>0</v>
      </c>
      <c r="V58" s="290" t="e">
        <f t="shared" si="0"/>
        <v>#DIV/0!</v>
      </c>
      <c r="X58" s="329"/>
      <c r="Y58" s="285"/>
      <c r="Z58" s="285"/>
      <c r="AA58" s="285"/>
      <c r="AB58" s="285"/>
      <c r="AC58" s="285"/>
      <c r="AD58" s="285"/>
      <c r="AE58" s="285"/>
    </row>
    <row r="59" spans="1:31" ht="18.95" customHeight="1">
      <c r="A59" s="314" t="s">
        <v>86</v>
      </c>
      <c r="B59" s="291" t="s">
        <v>38</v>
      </c>
      <c r="C59" s="292" t="s">
        <v>87</v>
      </c>
      <c r="D59" s="293" t="s">
        <v>40</v>
      </c>
      <c r="E59" s="294">
        <v>2752050</v>
      </c>
      <c r="F59" s="295"/>
      <c r="G59" s="294">
        <v>2659000</v>
      </c>
      <c r="H59" s="295"/>
      <c r="I59" s="296">
        <v>2659000</v>
      </c>
      <c r="J59" s="273">
        <v>0</v>
      </c>
      <c r="K59" s="273">
        <v>0</v>
      </c>
      <c r="L59" s="273">
        <v>0</v>
      </c>
      <c r="M59" s="273">
        <v>0</v>
      </c>
      <c r="N59" s="273">
        <v>710000</v>
      </c>
      <c r="O59" s="273">
        <v>1910000</v>
      </c>
      <c r="P59" s="273">
        <v>0</v>
      </c>
      <c r="Q59" s="273">
        <v>0</v>
      </c>
      <c r="R59" s="274">
        <f>SUM(J59:Q59)</f>
        <v>2620000</v>
      </c>
      <c r="S59" s="275">
        <f>I59-R59</f>
        <v>39000</v>
      </c>
      <c r="T59" s="276">
        <f>G59-I59</f>
        <v>0</v>
      </c>
      <c r="U59" s="297">
        <v>0</v>
      </c>
      <c r="V59" s="278" t="e">
        <f t="shared" si="0"/>
        <v>#DIV/0!</v>
      </c>
      <c r="X59" s="328"/>
      <c r="Y59" s="273"/>
      <c r="Z59" s="273"/>
      <c r="AA59" s="273"/>
      <c r="AB59" s="273"/>
      <c r="AC59" s="273"/>
      <c r="AD59" s="273"/>
      <c r="AE59" s="273"/>
    </row>
    <row r="60" spans="1:31" ht="18.95" customHeight="1">
      <c r="A60" s="312"/>
      <c r="B60" s="279" t="s">
        <v>53</v>
      </c>
      <c r="C60" s="280" t="s">
        <v>88</v>
      </c>
      <c r="D60" s="281" t="s">
        <v>43</v>
      </c>
      <c r="E60" s="282">
        <v>0</v>
      </c>
      <c r="F60" s="283"/>
      <c r="G60" s="282">
        <v>0</v>
      </c>
      <c r="H60" s="283"/>
      <c r="I60" s="284">
        <v>0</v>
      </c>
      <c r="J60" s="285">
        <v>0</v>
      </c>
      <c r="K60" s="285">
        <v>0</v>
      </c>
      <c r="L60" s="285">
        <v>0</v>
      </c>
      <c r="M60" s="285">
        <v>0</v>
      </c>
      <c r="N60" s="285">
        <v>0</v>
      </c>
      <c r="O60" s="285">
        <v>1260</v>
      </c>
      <c r="P60" s="285">
        <v>0</v>
      </c>
      <c r="Q60" s="285">
        <v>0</v>
      </c>
      <c r="R60" s="286">
        <f>SUM(J60:Q60)</f>
        <v>1260</v>
      </c>
      <c r="S60" s="287">
        <f>I60-R60</f>
        <v>-1260</v>
      </c>
      <c r="T60" s="288">
        <f>G60-I60</f>
        <v>0</v>
      </c>
      <c r="U60" s="289">
        <v>0</v>
      </c>
      <c r="V60" s="290" t="e">
        <f t="shared" si="0"/>
        <v>#DIV/0!</v>
      </c>
      <c r="X60" s="329"/>
      <c r="Y60" s="285"/>
      <c r="Z60" s="285"/>
      <c r="AA60" s="285"/>
      <c r="AB60" s="285"/>
      <c r="AC60" s="285"/>
      <c r="AD60" s="285"/>
      <c r="AE60" s="285"/>
    </row>
    <row r="61" spans="1:31" ht="18.95" customHeight="1">
      <c r="A61" s="312"/>
      <c r="B61" s="279" t="s">
        <v>89</v>
      </c>
      <c r="C61" s="280" t="s">
        <v>88</v>
      </c>
      <c r="D61" s="281" t="s">
        <v>43</v>
      </c>
      <c r="E61" s="282">
        <v>0</v>
      </c>
      <c r="F61" s="283"/>
      <c r="G61" s="282">
        <v>0</v>
      </c>
      <c r="H61" s="283"/>
      <c r="I61" s="284">
        <v>0</v>
      </c>
      <c r="J61" s="285">
        <v>0</v>
      </c>
      <c r="K61" s="285">
        <v>0</v>
      </c>
      <c r="L61" s="285">
        <v>19900</v>
      </c>
      <c r="M61" s="285">
        <v>0</v>
      </c>
      <c r="N61" s="285">
        <v>474400</v>
      </c>
      <c r="O61" s="285">
        <v>217600</v>
      </c>
      <c r="P61" s="285">
        <v>0</v>
      </c>
      <c r="Q61" s="285">
        <v>0</v>
      </c>
      <c r="R61" s="286">
        <f>SUM(J61:Q61)</f>
        <v>711900</v>
      </c>
      <c r="S61" s="287">
        <f>I61-R61</f>
        <v>-711900</v>
      </c>
      <c r="T61" s="288">
        <f>G61-I61</f>
        <v>0</v>
      </c>
      <c r="U61" s="289">
        <v>0</v>
      </c>
      <c r="V61" s="290" t="e">
        <f t="shared" si="0"/>
        <v>#DIV/0!</v>
      </c>
      <c r="X61" s="329"/>
      <c r="Y61" s="285"/>
      <c r="Z61" s="285"/>
      <c r="AA61" s="285"/>
      <c r="AB61" s="285"/>
      <c r="AC61" s="285"/>
      <c r="AD61" s="285"/>
      <c r="AE61" s="285"/>
    </row>
    <row r="62" spans="1:31" ht="18.95" customHeight="1">
      <c r="A62" s="312"/>
      <c r="B62" s="279"/>
      <c r="C62" s="280" t="s">
        <v>87</v>
      </c>
      <c r="D62" s="281" t="s">
        <v>43</v>
      </c>
      <c r="E62" s="282">
        <v>0</v>
      </c>
      <c r="F62" s="283"/>
      <c r="G62" s="282">
        <v>50000</v>
      </c>
      <c r="H62" s="283"/>
      <c r="I62" s="284">
        <v>50000</v>
      </c>
      <c r="J62" s="285">
        <v>0</v>
      </c>
      <c r="K62" s="285">
        <v>0</v>
      </c>
      <c r="L62" s="285">
        <v>0</v>
      </c>
      <c r="M62" s="285">
        <v>0</v>
      </c>
      <c r="N62" s="285">
        <v>0</v>
      </c>
      <c r="O62" s="285">
        <v>0</v>
      </c>
      <c r="P62" s="285">
        <v>0</v>
      </c>
      <c r="Q62" s="285">
        <v>0</v>
      </c>
      <c r="R62" s="286">
        <f>SUM(J62:Q62)</f>
        <v>0</v>
      </c>
      <c r="S62" s="287">
        <f>I62-R62</f>
        <v>50000</v>
      </c>
      <c r="T62" s="288">
        <f>G62-I62</f>
        <v>0</v>
      </c>
      <c r="U62" s="289">
        <v>0</v>
      </c>
      <c r="V62" s="290" t="e">
        <f t="shared" si="0"/>
        <v>#DIV/0!</v>
      </c>
      <c r="X62" s="329"/>
      <c r="Y62" s="285"/>
      <c r="Z62" s="285"/>
      <c r="AA62" s="285"/>
      <c r="AB62" s="285"/>
      <c r="AC62" s="285"/>
      <c r="AD62" s="285"/>
      <c r="AE62" s="285"/>
    </row>
    <row r="63" spans="1:31" ht="18.95" customHeight="1">
      <c r="A63" s="313"/>
      <c r="B63" s="279"/>
      <c r="C63" s="280" t="s">
        <v>88</v>
      </c>
      <c r="D63" s="281" t="s">
        <v>43</v>
      </c>
      <c r="E63" s="282">
        <v>715800</v>
      </c>
      <c r="F63" s="283"/>
      <c r="G63" s="282">
        <v>715800</v>
      </c>
      <c r="H63" s="283"/>
      <c r="I63" s="284">
        <v>815800</v>
      </c>
      <c r="J63" s="285">
        <v>0</v>
      </c>
      <c r="K63" s="285">
        <v>0</v>
      </c>
      <c r="L63" s="285">
        <v>0</v>
      </c>
      <c r="M63" s="285">
        <v>0</v>
      </c>
      <c r="N63" s="285">
        <v>0</v>
      </c>
      <c r="O63" s="285">
        <v>0</v>
      </c>
      <c r="P63" s="285">
        <v>0</v>
      </c>
      <c r="Q63" s="285">
        <v>0</v>
      </c>
      <c r="R63" s="286">
        <f>SUM(J63:Q63)</f>
        <v>0</v>
      </c>
      <c r="S63" s="287">
        <f>I63-R63</f>
        <v>815800</v>
      </c>
      <c r="T63" s="288">
        <f>G63-I63</f>
        <v>-100000</v>
      </c>
      <c r="U63" s="289">
        <v>0</v>
      </c>
      <c r="V63" s="290" t="e">
        <f t="shared" si="0"/>
        <v>#DIV/0!</v>
      </c>
      <c r="X63" s="329"/>
      <c r="Y63" s="285"/>
      <c r="Z63" s="285"/>
      <c r="AA63" s="285"/>
      <c r="AB63" s="285"/>
      <c r="AC63" s="285"/>
      <c r="AD63" s="285"/>
      <c r="AE63" s="285"/>
    </row>
    <row r="64" spans="1:31" ht="18.95" customHeight="1">
      <c r="A64" s="314" t="s">
        <v>90</v>
      </c>
      <c r="B64" s="291" t="s">
        <v>38</v>
      </c>
      <c r="C64" s="292" t="s">
        <v>91</v>
      </c>
      <c r="D64" s="293" t="s">
        <v>40</v>
      </c>
      <c r="E64" s="294">
        <v>2083500</v>
      </c>
      <c r="F64" s="295"/>
      <c r="G64" s="294">
        <v>2152500</v>
      </c>
      <c r="H64" s="295"/>
      <c r="I64" s="296">
        <v>2152500</v>
      </c>
      <c r="J64" s="273">
        <v>0</v>
      </c>
      <c r="K64" s="273">
        <v>0</v>
      </c>
      <c r="L64" s="273">
        <v>500000</v>
      </c>
      <c r="M64" s="273">
        <v>1080000</v>
      </c>
      <c r="N64" s="273">
        <v>100000</v>
      </c>
      <c r="O64" s="273">
        <v>120000</v>
      </c>
      <c r="P64" s="273">
        <v>0</v>
      </c>
      <c r="Q64" s="273">
        <v>0</v>
      </c>
      <c r="R64" s="274">
        <f>SUM(J64:Q64)</f>
        <v>1800000</v>
      </c>
      <c r="S64" s="275">
        <f>I64-R64</f>
        <v>352500</v>
      </c>
      <c r="T64" s="276">
        <f>G64-I64</f>
        <v>0</v>
      </c>
      <c r="U64" s="297">
        <v>86</v>
      </c>
      <c r="V64" s="278">
        <f t="shared" si="0"/>
        <v>20930.232558139534</v>
      </c>
      <c r="X64" s="328"/>
      <c r="Y64" s="273"/>
      <c r="Z64" s="273"/>
      <c r="AA64" s="273"/>
      <c r="AB64" s="273"/>
      <c r="AC64" s="273"/>
      <c r="AD64" s="273"/>
      <c r="AE64" s="273"/>
    </row>
    <row r="65" spans="1:31" ht="18.95" customHeight="1">
      <c r="A65" s="312"/>
      <c r="B65" s="279" t="s">
        <v>38</v>
      </c>
      <c r="C65" s="280" t="s">
        <v>92</v>
      </c>
      <c r="D65" s="281" t="s">
        <v>40</v>
      </c>
      <c r="E65" s="282">
        <v>60000</v>
      </c>
      <c r="F65" s="283"/>
      <c r="G65" s="282">
        <v>52500</v>
      </c>
      <c r="H65" s="283"/>
      <c r="I65" s="284">
        <v>52500</v>
      </c>
      <c r="J65" s="285">
        <v>0</v>
      </c>
      <c r="K65" s="285">
        <v>0</v>
      </c>
      <c r="L65" s="285">
        <v>0</v>
      </c>
      <c r="M65" s="285">
        <v>0</v>
      </c>
      <c r="N65" s="285">
        <v>0</v>
      </c>
      <c r="O65" s="285">
        <v>0</v>
      </c>
      <c r="P65" s="285">
        <v>0</v>
      </c>
      <c r="Q65" s="285">
        <v>0</v>
      </c>
      <c r="R65" s="286">
        <f>SUM(J65:Q65)</f>
        <v>0</v>
      </c>
      <c r="S65" s="287">
        <f>I65-R65</f>
        <v>52500</v>
      </c>
      <c r="T65" s="288">
        <f>G65-I65</f>
        <v>0</v>
      </c>
      <c r="U65" s="289">
        <v>0</v>
      </c>
      <c r="V65" s="290" t="e">
        <f t="shared" si="0"/>
        <v>#DIV/0!</v>
      </c>
      <c r="X65" s="329"/>
      <c r="Y65" s="285"/>
      <c r="Z65" s="285"/>
      <c r="AA65" s="285"/>
      <c r="AB65" s="285"/>
      <c r="AC65" s="285"/>
      <c r="AD65" s="285"/>
      <c r="AE65" s="285"/>
    </row>
    <row r="66" spans="1:31" ht="18.95" customHeight="1">
      <c r="A66" s="312"/>
      <c r="B66" s="279" t="s">
        <v>89</v>
      </c>
      <c r="C66" s="280" t="s">
        <v>93</v>
      </c>
      <c r="D66" s="281" t="s">
        <v>43</v>
      </c>
      <c r="E66" s="282">
        <v>0</v>
      </c>
      <c r="F66" s="283"/>
      <c r="G66" s="282">
        <v>0</v>
      </c>
      <c r="H66" s="283"/>
      <c r="I66" s="284">
        <v>0</v>
      </c>
      <c r="J66" s="285">
        <v>0</v>
      </c>
      <c r="K66" s="285">
        <v>0</v>
      </c>
      <c r="L66" s="285">
        <v>123300</v>
      </c>
      <c r="M66" s="285">
        <v>185400</v>
      </c>
      <c r="N66" s="285">
        <v>0</v>
      </c>
      <c r="O66" s="285">
        <v>0</v>
      </c>
      <c r="P66" s="285">
        <v>0</v>
      </c>
      <c r="Q66" s="285">
        <v>0</v>
      </c>
      <c r="R66" s="286">
        <f>SUM(J66:Q66)</f>
        <v>308700</v>
      </c>
      <c r="S66" s="287">
        <f>I66-R66</f>
        <v>-308700</v>
      </c>
      <c r="T66" s="288">
        <f>G66-I66</f>
        <v>0</v>
      </c>
      <c r="U66" s="289">
        <v>0</v>
      </c>
      <c r="V66" s="290" t="e">
        <f t="shared" si="0"/>
        <v>#DIV/0!</v>
      </c>
      <c r="X66" s="329"/>
      <c r="Y66" s="285"/>
      <c r="Z66" s="285"/>
      <c r="AA66" s="285"/>
      <c r="AB66" s="285"/>
      <c r="AC66" s="285"/>
      <c r="AD66" s="285"/>
      <c r="AE66" s="285"/>
    </row>
    <row r="67" spans="1:31" ht="18.95" customHeight="1">
      <c r="A67" s="312"/>
      <c r="B67" s="279"/>
      <c r="C67" s="280" t="s">
        <v>91</v>
      </c>
      <c r="D67" s="281" t="s">
        <v>43</v>
      </c>
      <c r="E67" s="282">
        <v>0</v>
      </c>
      <c r="F67" s="283"/>
      <c r="G67" s="282">
        <v>0</v>
      </c>
      <c r="H67" s="283"/>
      <c r="I67" s="284">
        <v>0</v>
      </c>
      <c r="J67" s="285">
        <v>0</v>
      </c>
      <c r="K67" s="285">
        <v>0</v>
      </c>
      <c r="L67" s="285">
        <v>0</v>
      </c>
      <c r="M67" s="285">
        <v>0</v>
      </c>
      <c r="N67" s="285">
        <v>0</v>
      </c>
      <c r="O67" s="285">
        <v>0</v>
      </c>
      <c r="P67" s="285">
        <v>0</v>
      </c>
      <c r="Q67" s="285">
        <v>0</v>
      </c>
      <c r="R67" s="286">
        <f>SUM(J67:Q67)</f>
        <v>0</v>
      </c>
      <c r="S67" s="287">
        <f>I67-R67</f>
        <v>0</v>
      </c>
      <c r="T67" s="288">
        <f>G67-I67</f>
        <v>0</v>
      </c>
      <c r="U67" s="289">
        <v>0</v>
      </c>
      <c r="V67" s="290" t="e">
        <f t="shared" si="0"/>
        <v>#DIV/0!</v>
      </c>
      <c r="X67" s="329"/>
      <c r="Y67" s="285"/>
      <c r="Z67" s="285"/>
      <c r="AA67" s="285"/>
      <c r="AB67" s="285"/>
      <c r="AC67" s="285"/>
      <c r="AD67" s="285"/>
      <c r="AE67" s="285"/>
    </row>
    <row r="68" spans="1:31" ht="18.95" customHeight="1">
      <c r="A68" s="312"/>
      <c r="B68" s="279"/>
      <c r="C68" s="280" t="s">
        <v>93</v>
      </c>
      <c r="D68" s="281" t="s">
        <v>43</v>
      </c>
      <c r="E68" s="282">
        <v>118300</v>
      </c>
      <c r="F68" s="283"/>
      <c r="G68" s="282">
        <v>539300</v>
      </c>
      <c r="H68" s="283"/>
      <c r="I68" s="284">
        <v>439300</v>
      </c>
      <c r="J68" s="285">
        <v>0</v>
      </c>
      <c r="K68" s="285">
        <v>0</v>
      </c>
      <c r="L68" s="285">
        <v>0</v>
      </c>
      <c r="M68" s="285">
        <v>0</v>
      </c>
      <c r="N68" s="285">
        <v>0</v>
      </c>
      <c r="O68" s="285">
        <v>0</v>
      </c>
      <c r="P68" s="285">
        <v>0</v>
      </c>
      <c r="Q68" s="285">
        <v>0</v>
      </c>
      <c r="R68" s="286">
        <f>SUM(J68:Q68)</f>
        <v>0</v>
      </c>
      <c r="S68" s="287">
        <f>I68-R68</f>
        <v>439300</v>
      </c>
      <c r="T68" s="288">
        <f>G68-I68</f>
        <v>100000</v>
      </c>
      <c r="U68" s="289">
        <v>0</v>
      </c>
      <c r="V68" s="290" t="e">
        <f t="shared" si="0"/>
        <v>#DIV/0!</v>
      </c>
      <c r="X68" s="329"/>
      <c r="Y68" s="285"/>
      <c r="Z68" s="285"/>
      <c r="AA68" s="285"/>
      <c r="AB68" s="285"/>
      <c r="AC68" s="285"/>
      <c r="AD68" s="285"/>
      <c r="AE68" s="285"/>
    </row>
    <row r="69" spans="1:31" ht="18.95" customHeight="1">
      <c r="A69" s="312"/>
      <c r="B69" s="279"/>
      <c r="C69" s="280" t="s">
        <v>92</v>
      </c>
      <c r="D69" s="281" t="s">
        <v>43</v>
      </c>
      <c r="E69" s="282">
        <v>0</v>
      </c>
      <c r="F69" s="283"/>
      <c r="G69" s="282">
        <v>0</v>
      </c>
      <c r="H69" s="283"/>
      <c r="I69" s="284">
        <v>0</v>
      </c>
      <c r="J69" s="285">
        <v>0</v>
      </c>
      <c r="K69" s="285">
        <v>0</v>
      </c>
      <c r="L69" s="285">
        <v>0</v>
      </c>
      <c r="M69" s="285">
        <v>0</v>
      </c>
      <c r="N69" s="285">
        <v>0</v>
      </c>
      <c r="O69" s="285">
        <v>0</v>
      </c>
      <c r="P69" s="285">
        <v>0</v>
      </c>
      <c r="Q69" s="285">
        <v>0</v>
      </c>
      <c r="R69" s="286">
        <f>SUM(J69:Q69)</f>
        <v>0</v>
      </c>
      <c r="S69" s="287">
        <f>I69-R69</f>
        <v>0</v>
      </c>
      <c r="T69" s="288">
        <f>G69-I69</f>
        <v>0</v>
      </c>
      <c r="U69" s="289">
        <v>0</v>
      </c>
      <c r="V69" s="290" t="e">
        <f t="shared" si="0"/>
        <v>#DIV/0!</v>
      </c>
      <c r="X69" s="329"/>
      <c r="Y69" s="285"/>
      <c r="Z69" s="285"/>
      <c r="AA69" s="285"/>
      <c r="AB69" s="285"/>
      <c r="AC69" s="285"/>
      <c r="AD69" s="285"/>
      <c r="AE69" s="285"/>
    </row>
    <row r="70" spans="1:31" ht="18.95" customHeight="1">
      <c r="A70" s="313"/>
      <c r="B70" s="279"/>
      <c r="C70" s="280" t="s">
        <v>94</v>
      </c>
      <c r="D70" s="281" t="s">
        <v>43</v>
      </c>
      <c r="E70" s="282">
        <v>0</v>
      </c>
      <c r="F70" s="283"/>
      <c r="G70" s="282">
        <v>0</v>
      </c>
      <c r="H70" s="283"/>
      <c r="I70" s="284">
        <v>0</v>
      </c>
      <c r="J70" s="285">
        <v>0</v>
      </c>
      <c r="K70" s="285">
        <v>0</v>
      </c>
      <c r="L70" s="285">
        <v>0</v>
      </c>
      <c r="M70" s="285">
        <v>0</v>
      </c>
      <c r="N70" s="285">
        <v>0</v>
      </c>
      <c r="O70" s="285">
        <v>0</v>
      </c>
      <c r="P70" s="285">
        <v>0</v>
      </c>
      <c r="Q70" s="285">
        <v>0</v>
      </c>
      <c r="R70" s="286">
        <f>SUM(J70:Q70)</f>
        <v>0</v>
      </c>
      <c r="S70" s="287">
        <f>I70-R70</f>
        <v>0</v>
      </c>
      <c r="T70" s="288">
        <f>G70-I70</f>
        <v>0</v>
      </c>
      <c r="U70" s="289">
        <v>0</v>
      </c>
      <c r="V70" s="290" t="e">
        <f t="shared" si="0"/>
        <v>#DIV/0!</v>
      </c>
      <c r="X70" s="329"/>
      <c r="Y70" s="285"/>
      <c r="Z70" s="285"/>
      <c r="AA70" s="285"/>
      <c r="AB70" s="285"/>
      <c r="AC70" s="285"/>
      <c r="AD70" s="285"/>
      <c r="AE70" s="285"/>
    </row>
    <row r="71" spans="1:31" ht="18.95" customHeight="1">
      <c r="A71" s="314" t="s">
        <v>95</v>
      </c>
      <c r="B71" s="291" t="s">
        <v>38</v>
      </c>
      <c r="C71" s="292" t="s">
        <v>96</v>
      </c>
      <c r="D71" s="293" t="s">
        <v>40</v>
      </c>
      <c r="E71" s="294">
        <v>267800</v>
      </c>
      <c r="F71" s="295"/>
      <c r="G71" s="294">
        <v>282240</v>
      </c>
      <c r="H71" s="295"/>
      <c r="I71" s="296">
        <v>282240</v>
      </c>
      <c r="J71" s="273">
        <v>0</v>
      </c>
      <c r="K71" s="273">
        <v>0</v>
      </c>
      <c r="L71" s="273">
        <v>0</v>
      </c>
      <c r="M71" s="273">
        <v>0</v>
      </c>
      <c r="N71" s="273">
        <v>0</v>
      </c>
      <c r="O71" s="273">
        <v>0</v>
      </c>
      <c r="P71" s="273">
        <v>0</v>
      </c>
      <c r="Q71" s="273">
        <v>0</v>
      </c>
      <c r="R71" s="274">
        <f>SUM(J71:Q71)</f>
        <v>0</v>
      </c>
      <c r="S71" s="275">
        <f>I71-R71</f>
        <v>282240</v>
      </c>
      <c r="T71" s="276">
        <f>G71-I71</f>
        <v>0</v>
      </c>
      <c r="U71" s="297">
        <v>0</v>
      </c>
      <c r="V71" s="278" t="e">
        <f t="shared" si="0"/>
        <v>#DIV/0!</v>
      </c>
      <c r="X71" s="328"/>
      <c r="Y71" s="273"/>
      <c r="Z71" s="273"/>
      <c r="AA71" s="273"/>
      <c r="AB71" s="273"/>
      <c r="AC71" s="273"/>
      <c r="AD71" s="273"/>
      <c r="AE71" s="273"/>
    </row>
    <row r="72" spans="1:31" ht="18.95" customHeight="1">
      <c r="A72" s="312"/>
      <c r="B72" s="279" t="s">
        <v>38</v>
      </c>
      <c r="C72" s="280" t="s">
        <v>97</v>
      </c>
      <c r="D72" s="281" t="s">
        <v>40</v>
      </c>
      <c r="E72" s="282">
        <v>1378700</v>
      </c>
      <c r="F72" s="283"/>
      <c r="G72" s="282">
        <v>3052820</v>
      </c>
      <c r="H72" s="283"/>
      <c r="I72" s="284">
        <v>1652820</v>
      </c>
      <c r="J72" s="285">
        <v>0</v>
      </c>
      <c r="K72" s="285">
        <v>0</v>
      </c>
      <c r="L72" s="285">
        <v>0</v>
      </c>
      <c r="M72" s="285">
        <v>0</v>
      </c>
      <c r="N72" s="285">
        <v>0</v>
      </c>
      <c r="O72" s="285">
        <v>0</v>
      </c>
      <c r="P72" s="285">
        <v>0</v>
      </c>
      <c r="Q72" s="285">
        <v>0</v>
      </c>
      <c r="R72" s="286">
        <f>SUM(J72:Q72)</f>
        <v>0</v>
      </c>
      <c r="S72" s="287">
        <f>I72-R72</f>
        <v>1652820</v>
      </c>
      <c r="T72" s="288">
        <f>G72-I72</f>
        <v>1400000</v>
      </c>
      <c r="U72" s="289">
        <v>0</v>
      </c>
      <c r="V72" s="290" t="e">
        <f t="shared" ref="V72:V117" si="1">R72/U72</f>
        <v>#DIV/0!</v>
      </c>
      <c r="X72" s="329"/>
      <c r="Y72" s="285"/>
      <c r="Z72" s="285"/>
      <c r="AA72" s="285"/>
      <c r="AB72" s="285"/>
      <c r="AC72" s="285"/>
      <c r="AD72" s="285"/>
      <c r="AE72" s="285"/>
    </row>
    <row r="73" spans="1:31" ht="18.95" customHeight="1">
      <c r="A73" s="312"/>
      <c r="B73" s="279" t="s">
        <v>53</v>
      </c>
      <c r="C73" s="280" t="s">
        <v>98</v>
      </c>
      <c r="D73" s="281" t="s">
        <v>43</v>
      </c>
      <c r="E73" s="282">
        <v>0</v>
      </c>
      <c r="F73" s="283"/>
      <c r="G73" s="282">
        <v>0</v>
      </c>
      <c r="H73" s="283"/>
      <c r="I73" s="284">
        <v>0</v>
      </c>
      <c r="J73" s="285">
        <v>0</v>
      </c>
      <c r="K73" s="285">
        <v>0</v>
      </c>
      <c r="L73" s="285">
        <v>0</v>
      </c>
      <c r="M73" s="285">
        <v>0</v>
      </c>
      <c r="N73" s="285">
        <v>0</v>
      </c>
      <c r="O73" s="285">
        <v>69620</v>
      </c>
      <c r="P73" s="285">
        <v>0</v>
      </c>
      <c r="Q73" s="285">
        <v>0</v>
      </c>
      <c r="R73" s="286">
        <f>SUM(J73:Q73)</f>
        <v>69620</v>
      </c>
      <c r="S73" s="287">
        <f>I73-R73</f>
        <v>-69620</v>
      </c>
      <c r="T73" s="288">
        <f>G73-I73</f>
        <v>0</v>
      </c>
      <c r="U73" s="289">
        <v>0</v>
      </c>
      <c r="V73" s="290" t="e">
        <f t="shared" si="1"/>
        <v>#DIV/0!</v>
      </c>
      <c r="X73" s="329"/>
      <c r="Y73" s="285"/>
      <c r="Z73" s="285"/>
      <c r="AA73" s="285"/>
      <c r="AB73" s="285"/>
      <c r="AC73" s="285"/>
      <c r="AD73" s="285"/>
      <c r="AE73" s="285"/>
    </row>
    <row r="74" spans="1:31" ht="18.95" customHeight="1">
      <c r="A74" s="312"/>
      <c r="B74" s="279" t="s">
        <v>99</v>
      </c>
      <c r="C74" s="280" t="s">
        <v>97</v>
      </c>
      <c r="D74" s="281" t="s">
        <v>100</v>
      </c>
      <c r="E74" s="282">
        <v>540000</v>
      </c>
      <c r="F74" s="283"/>
      <c r="G74" s="282">
        <v>0</v>
      </c>
      <c r="H74" s="283"/>
      <c r="I74" s="284">
        <v>331000</v>
      </c>
      <c r="J74" s="285">
        <v>0</v>
      </c>
      <c r="K74" s="285">
        <v>0</v>
      </c>
      <c r="L74" s="285">
        <v>0</v>
      </c>
      <c r="M74" s="285">
        <v>0</v>
      </c>
      <c r="N74" s="285">
        <v>331000</v>
      </c>
      <c r="O74" s="285">
        <v>0</v>
      </c>
      <c r="P74" s="285">
        <v>0</v>
      </c>
      <c r="Q74" s="285">
        <v>0</v>
      </c>
      <c r="R74" s="286">
        <f>SUM(J74:Q74)</f>
        <v>331000</v>
      </c>
      <c r="S74" s="287">
        <f>I74-R74</f>
        <v>0</v>
      </c>
      <c r="T74" s="288">
        <f>G74-I74</f>
        <v>-331000</v>
      </c>
      <c r="U74" s="289">
        <v>0</v>
      </c>
      <c r="V74" s="290" t="e">
        <f t="shared" si="1"/>
        <v>#DIV/0!</v>
      </c>
      <c r="X74" s="329"/>
      <c r="Y74" s="285"/>
      <c r="Z74" s="285"/>
      <c r="AA74" s="285"/>
      <c r="AB74" s="285"/>
      <c r="AC74" s="285"/>
      <c r="AD74" s="285"/>
      <c r="AE74" s="285"/>
    </row>
    <row r="75" spans="1:31" ht="18.95" customHeight="1">
      <c r="A75" s="312"/>
      <c r="B75" s="279" t="s">
        <v>99</v>
      </c>
      <c r="C75" s="280" t="s">
        <v>97</v>
      </c>
      <c r="D75" s="281" t="s">
        <v>101</v>
      </c>
      <c r="E75" s="282">
        <v>0</v>
      </c>
      <c r="F75" s="283"/>
      <c r="G75" s="282">
        <v>0</v>
      </c>
      <c r="H75" s="283"/>
      <c r="I75" s="284">
        <v>603000</v>
      </c>
      <c r="J75" s="285">
        <v>0</v>
      </c>
      <c r="K75" s="285">
        <v>0</v>
      </c>
      <c r="L75" s="285">
        <v>0</v>
      </c>
      <c r="M75" s="285">
        <v>0</v>
      </c>
      <c r="N75" s="285">
        <v>0</v>
      </c>
      <c r="O75" s="285">
        <v>603000</v>
      </c>
      <c r="P75" s="285">
        <v>0</v>
      </c>
      <c r="Q75" s="285">
        <v>0</v>
      </c>
      <c r="R75" s="286">
        <f>SUM(J75:Q75)</f>
        <v>603000</v>
      </c>
      <c r="S75" s="287">
        <f>I75-R75</f>
        <v>0</v>
      </c>
      <c r="T75" s="288">
        <f>G75-I75</f>
        <v>-603000</v>
      </c>
      <c r="U75" s="289">
        <v>0</v>
      </c>
      <c r="V75" s="290" t="e">
        <f t="shared" si="1"/>
        <v>#DIV/0!</v>
      </c>
      <c r="X75" s="329"/>
      <c r="Y75" s="285"/>
      <c r="Z75" s="285"/>
      <c r="AA75" s="285"/>
      <c r="AB75" s="285"/>
      <c r="AC75" s="285"/>
      <c r="AD75" s="285"/>
      <c r="AE75" s="285"/>
    </row>
    <row r="76" spans="1:31" ht="18.95" customHeight="1">
      <c r="A76" s="312"/>
      <c r="B76" s="279" t="s">
        <v>102</v>
      </c>
      <c r="C76" s="280" t="s">
        <v>96</v>
      </c>
      <c r="D76" s="281" t="s">
        <v>43</v>
      </c>
      <c r="E76" s="282">
        <v>0</v>
      </c>
      <c r="F76" s="283"/>
      <c r="G76" s="282">
        <v>0</v>
      </c>
      <c r="H76" s="283"/>
      <c r="I76" s="284">
        <v>0</v>
      </c>
      <c r="J76" s="285">
        <v>0</v>
      </c>
      <c r="K76" s="285">
        <v>0</v>
      </c>
      <c r="L76" s="285">
        <v>0</v>
      </c>
      <c r="M76" s="285">
        <v>0</v>
      </c>
      <c r="N76" s="285">
        <v>0</v>
      </c>
      <c r="O76" s="285">
        <v>0</v>
      </c>
      <c r="P76" s="285">
        <v>-74360</v>
      </c>
      <c r="Q76" s="285">
        <v>0</v>
      </c>
      <c r="R76" s="286">
        <f>SUM(J76:Q76)</f>
        <v>-74360</v>
      </c>
      <c r="S76" s="287">
        <f>I76-R76</f>
        <v>74360</v>
      </c>
      <c r="T76" s="288">
        <f>G76-I76</f>
        <v>0</v>
      </c>
      <c r="U76" s="289">
        <v>0</v>
      </c>
      <c r="V76" s="290" t="e">
        <f t="shared" si="1"/>
        <v>#DIV/0!</v>
      </c>
      <c r="X76" s="329"/>
      <c r="Y76" s="285"/>
      <c r="Z76" s="285"/>
      <c r="AA76" s="285"/>
      <c r="AB76" s="285"/>
      <c r="AC76" s="285"/>
      <c r="AD76" s="285"/>
      <c r="AE76" s="285"/>
    </row>
    <row r="77" spans="1:31" ht="18.95" customHeight="1">
      <c r="A77" s="312"/>
      <c r="B77" s="279" t="s">
        <v>102</v>
      </c>
      <c r="C77" s="280" t="s">
        <v>103</v>
      </c>
      <c r="D77" s="281" t="s">
        <v>104</v>
      </c>
      <c r="E77" s="282">
        <v>0</v>
      </c>
      <c r="F77" s="283"/>
      <c r="G77" s="282">
        <v>0</v>
      </c>
      <c r="H77" s="283"/>
      <c r="I77" s="284">
        <v>8150000</v>
      </c>
      <c r="J77" s="285">
        <v>0</v>
      </c>
      <c r="K77" s="285">
        <v>0</v>
      </c>
      <c r="L77" s="285">
        <v>0</v>
      </c>
      <c r="M77" s="285">
        <v>0</v>
      </c>
      <c r="N77" s="285">
        <v>4914450</v>
      </c>
      <c r="O77" s="285">
        <v>2273850</v>
      </c>
      <c r="P77" s="285">
        <v>0</v>
      </c>
      <c r="Q77" s="285">
        <v>0</v>
      </c>
      <c r="R77" s="286">
        <f>SUM(J77:Q77)</f>
        <v>7188300</v>
      </c>
      <c r="S77" s="287">
        <f>I77-R77</f>
        <v>961700</v>
      </c>
      <c r="T77" s="288">
        <f>G77-I77</f>
        <v>-8150000</v>
      </c>
      <c r="U77" s="289">
        <v>0</v>
      </c>
      <c r="V77" s="290" t="e">
        <f t="shared" si="1"/>
        <v>#DIV/0!</v>
      </c>
      <c r="X77" s="329"/>
      <c r="Y77" s="285"/>
      <c r="Z77" s="285"/>
      <c r="AA77" s="285"/>
      <c r="AB77" s="285"/>
      <c r="AC77" s="285"/>
      <c r="AD77" s="285"/>
      <c r="AE77" s="285"/>
    </row>
    <row r="78" spans="1:31" ht="18.95" customHeight="1">
      <c r="A78" s="312"/>
      <c r="B78" s="279"/>
      <c r="C78" s="280" t="s">
        <v>96</v>
      </c>
      <c r="D78" s="281" t="s">
        <v>43</v>
      </c>
      <c r="E78" s="282">
        <v>0</v>
      </c>
      <c r="F78" s="283"/>
      <c r="G78" s="282">
        <v>0</v>
      </c>
      <c r="H78" s="283"/>
      <c r="I78" s="284">
        <v>0</v>
      </c>
      <c r="J78" s="285">
        <v>0</v>
      </c>
      <c r="K78" s="285">
        <v>0</v>
      </c>
      <c r="L78" s="285">
        <v>0</v>
      </c>
      <c r="M78" s="285">
        <v>0</v>
      </c>
      <c r="N78" s="285">
        <v>0</v>
      </c>
      <c r="O78" s="285">
        <v>0</v>
      </c>
      <c r="P78" s="285">
        <v>0</v>
      </c>
      <c r="Q78" s="285">
        <v>0</v>
      </c>
      <c r="R78" s="286">
        <f>SUM(J78:Q78)</f>
        <v>0</v>
      </c>
      <c r="S78" s="287">
        <f>I78-R78</f>
        <v>0</v>
      </c>
      <c r="T78" s="288">
        <f>G78-I78</f>
        <v>0</v>
      </c>
      <c r="U78" s="289">
        <v>0</v>
      </c>
      <c r="V78" s="290" t="e">
        <f t="shared" si="1"/>
        <v>#DIV/0!</v>
      </c>
      <c r="X78" s="329"/>
      <c r="Y78" s="285"/>
      <c r="Z78" s="285"/>
      <c r="AA78" s="285"/>
      <c r="AB78" s="285"/>
      <c r="AC78" s="285"/>
      <c r="AD78" s="285"/>
      <c r="AE78" s="285"/>
    </row>
    <row r="79" spans="1:31" ht="18.95" customHeight="1">
      <c r="A79" s="312"/>
      <c r="B79" s="279"/>
      <c r="C79" s="280" t="s">
        <v>98</v>
      </c>
      <c r="D79" s="281" t="s">
        <v>43</v>
      </c>
      <c r="E79" s="282">
        <v>0</v>
      </c>
      <c r="F79" s="283"/>
      <c r="G79" s="282">
        <v>0</v>
      </c>
      <c r="H79" s="283"/>
      <c r="I79" s="284">
        <v>0</v>
      </c>
      <c r="J79" s="285">
        <v>0</v>
      </c>
      <c r="K79" s="285">
        <v>0</v>
      </c>
      <c r="L79" s="285">
        <v>0</v>
      </c>
      <c r="M79" s="285">
        <v>0</v>
      </c>
      <c r="N79" s="285">
        <v>0</v>
      </c>
      <c r="O79" s="285">
        <v>0</v>
      </c>
      <c r="P79" s="285">
        <v>0</v>
      </c>
      <c r="Q79" s="285">
        <v>0</v>
      </c>
      <c r="R79" s="286">
        <f>SUM(J79:Q79)</f>
        <v>0</v>
      </c>
      <c r="S79" s="287">
        <f>I79-R79</f>
        <v>0</v>
      </c>
      <c r="T79" s="288">
        <f>G79-I79</f>
        <v>0</v>
      </c>
      <c r="U79" s="289">
        <v>0</v>
      </c>
      <c r="V79" s="290" t="e">
        <f t="shared" si="1"/>
        <v>#DIV/0!</v>
      </c>
      <c r="X79" s="329"/>
      <c r="Y79" s="285"/>
      <c r="Z79" s="285"/>
      <c r="AA79" s="285"/>
      <c r="AB79" s="285"/>
      <c r="AC79" s="285"/>
      <c r="AD79" s="285"/>
      <c r="AE79" s="285"/>
    </row>
    <row r="80" spans="1:31" ht="18.95" customHeight="1">
      <c r="A80" s="312"/>
      <c r="B80" s="279"/>
      <c r="C80" s="280" t="s">
        <v>97</v>
      </c>
      <c r="D80" s="281" t="s">
        <v>43</v>
      </c>
      <c r="E80" s="282">
        <v>1070000</v>
      </c>
      <c r="F80" s="283"/>
      <c r="G80" s="282">
        <v>0</v>
      </c>
      <c r="H80" s="283"/>
      <c r="I80" s="284">
        <v>0</v>
      </c>
      <c r="J80" s="285">
        <v>0</v>
      </c>
      <c r="K80" s="285">
        <v>0</v>
      </c>
      <c r="L80" s="285">
        <v>0</v>
      </c>
      <c r="M80" s="285">
        <v>0</v>
      </c>
      <c r="N80" s="285">
        <v>0</v>
      </c>
      <c r="O80" s="285">
        <v>0</v>
      </c>
      <c r="P80" s="285">
        <v>0</v>
      </c>
      <c r="Q80" s="285">
        <v>0</v>
      </c>
      <c r="R80" s="286">
        <f>SUM(J80:Q80)</f>
        <v>0</v>
      </c>
      <c r="S80" s="287">
        <f>I80-R80</f>
        <v>0</v>
      </c>
      <c r="T80" s="288">
        <f>G80-I80</f>
        <v>0</v>
      </c>
      <c r="U80" s="289">
        <v>0</v>
      </c>
      <c r="V80" s="290" t="e">
        <f t="shared" si="1"/>
        <v>#DIV/0!</v>
      </c>
      <c r="X80" s="329"/>
      <c r="Y80" s="285"/>
      <c r="Z80" s="285"/>
      <c r="AA80" s="285"/>
      <c r="AB80" s="285"/>
      <c r="AC80" s="285"/>
      <c r="AD80" s="285"/>
      <c r="AE80" s="285"/>
    </row>
    <row r="81" spans="1:31" ht="18.95" customHeight="1">
      <c r="A81" s="313"/>
      <c r="B81" s="279"/>
      <c r="C81" s="280" t="s">
        <v>105</v>
      </c>
      <c r="D81" s="281" t="s">
        <v>43</v>
      </c>
      <c r="E81" s="282">
        <v>0</v>
      </c>
      <c r="F81" s="283"/>
      <c r="G81" s="282">
        <v>0</v>
      </c>
      <c r="H81" s="283"/>
      <c r="I81" s="284">
        <v>0</v>
      </c>
      <c r="J81" s="285">
        <v>0</v>
      </c>
      <c r="K81" s="285">
        <v>0</v>
      </c>
      <c r="L81" s="285">
        <v>0</v>
      </c>
      <c r="M81" s="285">
        <v>0</v>
      </c>
      <c r="N81" s="285">
        <v>0</v>
      </c>
      <c r="O81" s="285">
        <v>0</v>
      </c>
      <c r="P81" s="285">
        <v>0</v>
      </c>
      <c r="Q81" s="285">
        <v>0</v>
      </c>
      <c r="R81" s="286">
        <f>SUM(J81:Q81)</f>
        <v>0</v>
      </c>
      <c r="S81" s="287">
        <f>I81-R81</f>
        <v>0</v>
      </c>
      <c r="T81" s="288">
        <f>G81-I81</f>
        <v>0</v>
      </c>
      <c r="U81" s="289">
        <v>0</v>
      </c>
      <c r="V81" s="290" t="e">
        <f t="shared" si="1"/>
        <v>#DIV/0!</v>
      </c>
      <c r="X81" s="329"/>
      <c r="Y81" s="285"/>
      <c r="Z81" s="285"/>
      <c r="AA81" s="285"/>
      <c r="AB81" s="285"/>
      <c r="AC81" s="285"/>
      <c r="AD81" s="285"/>
      <c r="AE81" s="285"/>
    </row>
    <row r="82" spans="1:31" ht="18.95" customHeight="1">
      <c r="A82" s="314" t="s">
        <v>106</v>
      </c>
      <c r="B82" s="291" t="s">
        <v>38</v>
      </c>
      <c r="C82" s="292" t="s">
        <v>107</v>
      </c>
      <c r="D82" s="293" t="s">
        <v>40</v>
      </c>
      <c r="E82" s="294">
        <v>884700</v>
      </c>
      <c r="F82" s="295"/>
      <c r="G82" s="294">
        <v>1071750</v>
      </c>
      <c r="H82" s="295"/>
      <c r="I82" s="296">
        <v>1071750</v>
      </c>
      <c r="J82" s="273">
        <v>0</v>
      </c>
      <c r="K82" s="273">
        <v>0</v>
      </c>
      <c r="L82" s="273">
        <v>0</v>
      </c>
      <c r="M82" s="273">
        <v>0</v>
      </c>
      <c r="N82" s="273">
        <v>0</v>
      </c>
      <c r="O82" s="273">
        <v>0</v>
      </c>
      <c r="P82" s="273">
        <v>0</v>
      </c>
      <c r="Q82" s="273">
        <v>0</v>
      </c>
      <c r="R82" s="274">
        <f>SUM(J82:Q82)</f>
        <v>0</v>
      </c>
      <c r="S82" s="275">
        <f>I82-R82</f>
        <v>1071750</v>
      </c>
      <c r="T82" s="276">
        <f>G82-I82</f>
        <v>0</v>
      </c>
      <c r="U82" s="297">
        <v>8</v>
      </c>
      <c r="V82" s="278">
        <f t="shared" si="1"/>
        <v>0</v>
      </c>
      <c r="X82" s="328"/>
      <c r="Y82" s="273"/>
      <c r="Z82" s="273"/>
      <c r="AA82" s="273"/>
      <c r="AB82" s="273"/>
      <c r="AC82" s="273"/>
      <c r="AD82" s="273"/>
      <c r="AE82" s="273"/>
    </row>
    <row r="83" spans="1:31" ht="18.95" customHeight="1">
      <c r="A83" s="312"/>
      <c r="B83" s="279"/>
      <c r="C83" s="280" t="s">
        <v>107</v>
      </c>
      <c r="D83" s="281" t="s">
        <v>43</v>
      </c>
      <c r="E83" s="282">
        <v>0</v>
      </c>
      <c r="F83" s="283"/>
      <c r="G83" s="282">
        <v>0</v>
      </c>
      <c r="H83" s="283"/>
      <c r="I83" s="284">
        <v>0</v>
      </c>
      <c r="J83" s="285">
        <v>0</v>
      </c>
      <c r="K83" s="285">
        <v>0</v>
      </c>
      <c r="L83" s="285">
        <v>0</v>
      </c>
      <c r="M83" s="285">
        <v>0</v>
      </c>
      <c r="N83" s="285">
        <v>0</v>
      </c>
      <c r="O83" s="285">
        <v>0</v>
      </c>
      <c r="P83" s="285">
        <v>0</v>
      </c>
      <c r="Q83" s="285">
        <v>0</v>
      </c>
      <c r="R83" s="286">
        <f>SUM(J83:Q83)</f>
        <v>0</v>
      </c>
      <c r="S83" s="287">
        <f>I83-R83</f>
        <v>0</v>
      </c>
      <c r="T83" s="288">
        <f>G83-I83</f>
        <v>0</v>
      </c>
      <c r="U83" s="289">
        <v>0</v>
      </c>
      <c r="V83" s="290" t="e">
        <f t="shared" si="1"/>
        <v>#DIV/0!</v>
      </c>
      <c r="X83" s="329"/>
      <c r="Y83" s="285"/>
      <c r="Z83" s="285"/>
      <c r="AA83" s="285"/>
      <c r="AB83" s="285"/>
      <c r="AC83" s="285"/>
      <c r="AD83" s="285"/>
      <c r="AE83" s="285"/>
    </row>
    <row r="84" spans="1:31" ht="18.95" customHeight="1">
      <c r="A84" s="313"/>
      <c r="B84" s="279"/>
      <c r="C84" s="280" t="s">
        <v>108</v>
      </c>
      <c r="D84" s="281" t="s">
        <v>43</v>
      </c>
      <c r="E84" s="282">
        <v>0</v>
      </c>
      <c r="F84" s="283"/>
      <c r="G84" s="282">
        <v>0</v>
      </c>
      <c r="H84" s="283"/>
      <c r="I84" s="284">
        <v>0</v>
      </c>
      <c r="J84" s="285">
        <v>0</v>
      </c>
      <c r="K84" s="285">
        <v>0</v>
      </c>
      <c r="L84" s="285">
        <v>0</v>
      </c>
      <c r="M84" s="285">
        <v>0</v>
      </c>
      <c r="N84" s="285">
        <v>0</v>
      </c>
      <c r="O84" s="285">
        <v>0</v>
      </c>
      <c r="P84" s="285">
        <v>0</v>
      </c>
      <c r="Q84" s="285">
        <v>0</v>
      </c>
      <c r="R84" s="286">
        <f>SUM(J84:Q84)</f>
        <v>0</v>
      </c>
      <c r="S84" s="287">
        <f>I84-R84</f>
        <v>0</v>
      </c>
      <c r="T84" s="288">
        <f>G84-I84</f>
        <v>0</v>
      </c>
      <c r="U84" s="289">
        <v>0</v>
      </c>
      <c r="V84" s="290" t="e">
        <f t="shared" si="1"/>
        <v>#DIV/0!</v>
      </c>
      <c r="X84" s="329"/>
      <c r="Y84" s="285"/>
      <c r="Z84" s="285"/>
      <c r="AA84" s="285"/>
      <c r="AB84" s="285"/>
      <c r="AC84" s="285"/>
      <c r="AD84" s="285"/>
      <c r="AE84" s="285"/>
    </row>
    <row r="85" spans="1:31" ht="18.95" customHeight="1">
      <c r="A85" s="314" t="s">
        <v>109</v>
      </c>
      <c r="B85" s="291" t="s">
        <v>38</v>
      </c>
      <c r="C85" s="292" t="s">
        <v>110</v>
      </c>
      <c r="D85" s="293" t="s">
        <v>40</v>
      </c>
      <c r="E85" s="294">
        <v>4145400</v>
      </c>
      <c r="F85" s="295"/>
      <c r="G85" s="294">
        <v>4604830</v>
      </c>
      <c r="H85" s="295"/>
      <c r="I85" s="296">
        <v>4545390</v>
      </c>
      <c r="J85" s="273">
        <v>0</v>
      </c>
      <c r="K85" s="273">
        <v>0</v>
      </c>
      <c r="L85" s="273">
        <v>2800000</v>
      </c>
      <c r="M85" s="273">
        <v>0</v>
      </c>
      <c r="N85" s="273">
        <v>0</v>
      </c>
      <c r="O85" s="273">
        <v>1141700</v>
      </c>
      <c r="P85" s="273">
        <v>0</v>
      </c>
      <c r="Q85" s="273">
        <v>0</v>
      </c>
      <c r="R85" s="274">
        <f>SUM(J85:Q85)</f>
        <v>3941700</v>
      </c>
      <c r="S85" s="275">
        <f>I85-R85</f>
        <v>603690</v>
      </c>
      <c r="T85" s="276">
        <f>G85-I85</f>
        <v>59440</v>
      </c>
      <c r="U85" s="297">
        <v>2</v>
      </c>
      <c r="V85" s="278">
        <f t="shared" si="1"/>
        <v>1970850</v>
      </c>
      <c r="X85" s="328"/>
      <c r="Y85" s="273"/>
      <c r="Z85" s="273"/>
      <c r="AA85" s="273"/>
      <c r="AB85" s="273"/>
      <c r="AC85" s="273"/>
      <c r="AD85" s="273"/>
      <c r="AE85" s="273"/>
    </row>
    <row r="86" spans="1:31" ht="18.95" customHeight="1">
      <c r="A86" s="312"/>
      <c r="B86" s="279" t="s">
        <v>38</v>
      </c>
      <c r="C86" s="280" t="s">
        <v>110</v>
      </c>
      <c r="D86" s="281" t="s">
        <v>43</v>
      </c>
      <c r="E86" s="282">
        <v>0</v>
      </c>
      <c r="F86" s="283"/>
      <c r="G86" s="282">
        <v>0</v>
      </c>
      <c r="H86" s="283"/>
      <c r="I86" s="284">
        <v>0</v>
      </c>
      <c r="J86" s="285">
        <v>0</v>
      </c>
      <c r="K86" s="285">
        <v>0</v>
      </c>
      <c r="L86" s="285">
        <v>0</v>
      </c>
      <c r="M86" s="285">
        <v>0</v>
      </c>
      <c r="N86" s="285">
        <v>-158100</v>
      </c>
      <c r="O86" s="285">
        <v>-479500</v>
      </c>
      <c r="P86" s="285">
        <v>-727180</v>
      </c>
      <c r="Q86" s="285">
        <v>0</v>
      </c>
      <c r="R86" s="286">
        <f>SUM(J86:Q86)</f>
        <v>-1364780</v>
      </c>
      <c r="S86" s="287">
        <f>I86-R86</f>
        <v>1364780</v>
      </c>
      <c r="T86" s="288">
        <f>G86-I86</f>
        <v>0</v>
      </c>
      <c r="U86" s="289">
        <v>0</v>
      </c>
      <c r="V86" s="290" t="e">
        <f t="shared" si="1"/>
        <v>#DIV/0!</v>
      </c>
      <c r="X86" s="329"/>
      <c r="Y86" s="285"/>
      <c r="Z86" s="285"/>
      <c r="AA86" s="285"/>
      <c r="AB86" s="285"/>
      <c r="AC86" s="285"/>
      <c r="AD86" s="285"/>
      <c r="AE86" s="285"/>
    </row>
    <row r="87" spans="1:31" ht="18.95" customHeight="1">
      <c r="A87" s="312"/>
      <c r="B87" s="279" t="s">
        <v>38</v>
      </c>
      <c r="C87" s="280" t="s">
        <v>111</v>
      </c>
      <c r="D87" s="281" t="s">
        <v>40</v>
      </c>
      <c r="E87" s="282">
        <v>4275800</v>
      </c>
      <c r="F87" s="283"/>
      <c r="G87" s="282">
        <v>4366500</v>
      </c>
      <c r="H87" s="283"/>
      <c r="I87" s="284">
        <v>4366500</v>
      </c>
      <c r="J87" s="285">
        <v>0</v>
      </c>
      <c r="K87" s="285">
        <v>0</v>
      </c>
      <c r="L87" s="285">
        <v>0</v>
      </c>
      <c r="M87" s="285">
        <v>1840000</v>
      </c>
      <c r="N87" s="285">
        <v>1860000</v>
      </c>
      <c r="O87" s="285">
        <v>0</v>
      </c>
      <c r="P87" s="285">
        <v>0</v>
      </c>
      <c r="Q87" s="285">
        <v>0</v>
      </c>
      <c r="R87" s="286">
        <f>SUM(J87:Q87)</f>
        <v>3700000</v>
      </c>
      <c r="S87" s="287">
        <f>I87-R87</f>
        <v>666500</v>
      </c>
      <c r="T87" s="288">
        <f>G87-I87</f>
        <v>0</v>
      </c>
      <c r="U87" s="289">
        <v>21</v>
      </c>
      <c r="V87" s="290">
        <f t="shared" si="1"/>
        <v>176190.47619047618</v>
      </c>
      <c r="X87" s="329"/>
      <c r="Y87" s="285"/>
      <c r="Z87" s="285"/>
      <c r="AA87" s="285"/>
      <c r="AB87" s="285"/>
      <c r="AC87" s="285"/>
      <c r="AD87" s="285"/>
      <c r="AE87" s="285"/>
    </row>
    <row r="88" spans="1:31" ht="18.95" customHeight="1">
      <c r="A88" s="312"/>
      <c r="B88" s="279" t="s">
        <v>53</v>
      </c>
      <c r="C88" s="280" t="s">
        <v>112</v>
      </c>
      <c r="D88" s="281" t="s">
        <v>43</v>
      </c>
      <c r="E88" s="282">
        <v>0</v>
      </c>
      <c r="F88" s="283"/>
      <c r="G88" s="282">
        <v>0</v>
      </c>
      <c r="H88" s="283"/>
      <c r="I88" s="284">
        <v>0</v>
      </c>
      <c r="J88" s="285">
        <v>0</v>
      </c>
      <c r="K88" s="285">
        <v>0</v>
      </c>
      <c r="L88" s="285">
        <v>0</v>
      </c>
      <c r="M88" s="285">
        <v>149560</v>
      </c>
      <c r="N88" s="285">
        <v>803080</v>
      </c>
      <c r="O88" s="285">
        <v>688060</v>
      </c>
      <c r="P88" s="285">
        <v>0</v>
      </c>
      <c r="Q88" s="285">
        <v>0</v>
      </c>
      <c r="R88" s="286">
        <f>SUM(J88:Q88)</f>
        <v>1640700</v>
      </c>
      <c r="S88" s="287">
        <f>I88-R88</f>
        <v>-1640700</v>
      </c>
      <c r="T88" s="288">
        <f>G88-I88</f>
        <v>0</v>
      </c>
      <c r="U88" s="289">
        <v>0</v>
      </c>
      <c r="V88" s="290" t="e">
        <f t="shared" si="1"/>
        <v>#DIV/0!</v>
      </c>
      <c r="X88" s="329"/>
      <c r="Y88" s="285"/>
      <c r="Z88" s="285"/>
      <c r="AA88" s="285"/>
      <c r="AB88" s="285"/>
      <c r="AC88" s="285"/>
      <c r="AD88" s="285"/>
      <c r="AE88" s="285"/>
    </row>
    <row r="89" spans="1:31" ht="18.95" customHeight="1">
      <c r="A89" s="312"/>
      <c r="B89" s="279" t="s">
        <v>102</v>
      </c>
      <c r="C89" s="280" t="s">
        <v>110</v>
      </c>
      <c r="D89" s="281" t="s">
        <v>43</v>
      </c>
      <c r="E89" s="282">
        <v>0</v>
      </c>
      <c r="F89" s="283"/>
      <c r="G89" s="282">
        <v>0</v>
      </c>
      <c r="H89" s="283"/>
      <c r="I89" s="284">
        <v>0</v>
      </c>
      <c r="J89" s="285">
        <v>0</v>
      </c>
      <c r="K89" s="285">
        <v>0</v>
      </c>
      <c r="L89" s="285">
        <v>0</v>
      </c>
      <c r="M89" s="285">
        <v>0</v>
      </c>
      <c r="N89" s="285">
        <v>0</v>
      </c>
      <c r="O89" s="285">
        <v>-368600</v>
      </c>
      <c r="P89" s="285">
        <v>0</v>
      </c>
      <c r="Q89" s="285">
        <v>0</v>
      </c>
      <c r="R89" s="286">
        <f>SUM(J89:Q89)</f>
        <v>-368600</v>
      </c>
      <c r="S89" s="287">
        <f>I89-R89</f>
        <v>368600</v>
      </c>
      <c r="T89" s="288">
        <f>G89-I89</f>
        <v>0</v>
      </c>
      <c r="U89" s="289">
        <v>0</v>
      </c>
      <c r="V89" s="290" t="e">
        <f t="shared" si="1"/>
        <v>#DIV/0!</v>
      </c>
      <c r="X89" s="329"/>
      <c r="Y89" s="285"/>
      <c r="Z89" s="285"/>
      <c r="AA89" s="285"/>
      <c r="AB89" s="285"/>
      <c r="AC89" s="285"/>
      <c r="AD89" s="285"/>
      <c r="AE89" s="285"/>
    </row>
    <row r="90" spans="1:31" ht="18.95" customHeight="1">
      <c r="A90" s="312"/>
      <c r="B90" s="279"/>
      <c r="C90" s="280" t="s">
        <v>110</v>
      </c>
      <c r="D90" s="281" t="s">
        <v>43</v>
      </c>
      <c r="E90" s="282">
        <v>81200</v>
      </c>
      <c r="F90" s="283"/>
      <c r="G90" s="282">
        <v>0</v>
      </c>
      <c r="H90" s="283"/>
      <c r="I90" s="284">
        <v>0</v>
      </c>
      <c r="J90" s="285">
        <v>0</v>
      </c>
      <c r="K90" s="285">
        <v>0</v>
      </c>
      <c r="L90" s="285">
        <v>0</v>
      </c>
      <c r="M90" s="285">
        <v>0</v>
      </c>
      <c r="N90" s="285">
        <v>0</v>
      </c>
      <c r="O90" s="285">
        <v>0</v>
      </c>
      <c r="P90" s="285">
        <v>0</v>
      </c>
      <c r="Q90" s="285">
        <v>0</v>
      </c>
      <c r="R90" s="286">
        <f>SUM(J90:Q90)</f>
        <v>0</v>
      </c>
      <c r="S90" s="287">
        <f>I90-R90</f>
        <v>0</v>
      </c>
      <c r="T90" s="288">
        <f>G90-I90</f>
        <v>0</v>
      </c>
      <c r="U90" s="289">
        <v>0</v>
      </c>
      <c r="V90" s="290" t="e">
        <f t="shared" si="1"/>
        <v>#DIV/0!</v>
      </c>
      <c r="X90" s="329"/>
      <c r="Y90" s="285"/>
      <c r="Z90" s="285"/>
      <c r="AA90" s="285"/>
      <c r="AB90" s="285"/>
      <c r="AC90" s="285"/>
      <c r="AD90" s="285"/>
      <c r="AE90" s="285"/>
    </row>
    <row r="91" spans="1:31" ht="18.95" customHeight="1">
      <c r="A91" s="312"/>
      <c r="B91" s="279"/>
      <c r="C91" s="280" t="s">
        <v>112</v>
      </c>
      <c r="D91" s="281" t="s">
        <v>43</v>
      </c>
      <c r="E91" s="282">
        <v>0</v>
      </c>
      <c r="F91" s="283"/>
      <c r="G91" s="282">
        <v>0</v>
      </c>
      <c r="H91" s="283"/>
      <c r="I91" s="284">
        <v>0</v>
      </c>
      <c r="J91" s="285">
        <v>0</v>
      </c>
      <c r="K91" s="285">
        <v>0</v>
      </c>
      <c r="L91" s="285">
        <v>0</v>
      </c>
      <c r="M91" s="285">
        <v>0</v>
      </c>
      <c r="N91" s="285">
        <v>0</v>
      </c>
      <c r="O91" s="285">
        <v>0</v>
      </c>
      <c r="P91" s="285">
        <v>0</v>
      </c>
      <c r="Q91" s="285">
        <v>0</v>
      </c>
      <c r="R91" s="286">
        <f>SUM(J91:Q91)</f>
        <v>0</v>
      </c>
      <c r="S91" s="287">
        <f>I91-R91</f>
        <v>0</v>
      </c>
      <c r="T91" s="288">
        <f>G91-I91</f>
        <v>0</v>
      </c>
      <c r="U91" s="289">
        <v>0</v>
      </c>
      <c r="V91" s="290" t="e">
        <f t="shared" si="1"/>
        <v>#DIV/0!</v>
      </c>
      <c r="X91" s="329"/>
      <c r="Y91" s="285"/>
      <c r="Z91" s="285"/>
      <c r="AA91" s="285"/>
      <c r="AB91" s="285"/>
      <c r="AC91" s="285"/>
      <c r="AD91" s="285"/>
      <c r="AE91" s="285"/>
    </row>
    <row r="92" spans="1:31" ht="18.95" customHeight="1">
      <c r="A92" s="312"/>
      <c r="B92" s="279"/>
      <c r="C92" s="280" t="s">
        <v>111</v>
      </c>
      <c r="D92" s="281" t="s">
        <v>43</v>
      </c>
      <c r="E92" s="282">
        <v>0</v>
      </c>
      <c r="F92" s="283"/>
      <c r="G92" s="282">
        <v>0</v>
      </c>
      <c r="H92" s="283"/>
      <c r="I92" s="284">
        <v>0</v>
      </c>
      <c r="J92" s="285">
        <v>0</v>
      </c>
      <c r="K92" s="285">
        <v>0</v>
      </c>
      <c r="L92" s="285">
        <v>0</v>
      </c>
      <c r="M92" s="285">
        <v>0</v>
      </c>
      <c r="N92" s="285">
        <v>0</v>
      </c>
      <c r="O92" s="285">
        <v>0</v>
      </c>
      <c r="P92" s="285">
        <v>0</v>
      </c>
      <c r="Q92" s="285">
        <v>0</v>
      </c>
      <c r="R92" s="286">
        <f>SUM(J92:Q92)</f>
        <v>0</v>
      </c>
      <c r="S92" s="287">
        <f>I92-R92</f>
        <v>0</v>
      </c>
      <c r="T92" s="288">
        <f>G92-I92</f>
        <v>0</v>
      </c>
      <c r="U92" s="289">
        <v>0</v>
      </c>
      <c r="V92" s="290" t="e">
        <f t="shared" si="1"/>
        <v>#DIV/0!</v>
      </c>
      <c r="X92" s="329"/>
      <c r="Y92" s="285"/>
      <c r="Z92" s="285"/>
      <c r="AA92" s="285"/>
      <c r="AB92" s="285"/>
      <c r="AC92" s="285"/>
      <c r="AD92" s="285"/>
      <c r="AE92" s="285"/>
    </row>
    <row r="93" spans="1:31" ht="18.95" customHeight="1">
      <c r="A93" s="313"/>
      <c r="B93" s="279"/>
      <c r="C93" s="280" t="s">
        <v>113</v>
      </c>
      <c r="D93" s="281" t="s">
        <v>43</v>
      </c>
      <c r="E93" s="282">
        <v>0</v>
      </c>
      <c r="F93" s="283"/>
      <c r="G93" s="282">
        <v>0</v>
      </c>
      <c r="H93" s="283"/>
      <c r="I93" s="284">
        <v>0</v>
      </c>
      <c r="J93" s="285">
        <v>0</v>
      </c>
      <c r="K93" s="285">
        <v>0</v>
      </c>
      <c r="L93" s="285">
        <v>0</v>
      </c>
      <c r="M93" s="285">
        <v>0</v>
      </c>
      <c r="N93" s="285">
        <v>0</v>
      </c>
      <c r="O93" s="285">
        <v>0</v>
      </c>
      <c r="P93" s="285">
        <v>0</v>
      </c>
      <c r="Q93" s="285">
        <v>0</v>
      </c>
      <c r="R93" s="286">
        <f>SUM(J93:Q93)</f>
        <v>0</v>
      </c>
      <c r="S93" s="287">
        <f>I93-R93</f>
        <v>0</v>
      </c>
      <c r="T93" s="288">
        <f>G93-I93</f>
        <v>0</v>
      </c>
      <c r="U93" s="289">
        <v>0</v>
      </c>
      <c r="V93" s="290" t="e">
        <f t="shared" si="1"/>
        <v>#DIV/0!</v>
      </c>
      <c r="X93" s="329"/>
      <c r="Y93" s="285"/>
      <c r="Z93" s="285"/>
      <c r="AA93" s="285"/>
      <c r="AB93" s="285"/>
      <c r="AC93" s="285"/>
      <c r="AD93" s="285"/>
      <c r="AE93" s="285"/>
    </row>
    <row r="94" spans="1:31" ht="18.95" customHeight="1">
      <c r="A94" s="314" t="s">
        <v>114</v>
      </c>
      <c r="B94" s="291" t="s">
        <v>38</v>
      </c>
      <c r="C94" s="292" t="s">
        <v>115</v>
      </c>
      <c r="D94" s="293" t="s">
        <v>40</v>
      </c>
      <c r="E94" s="294">
        <v>2843500</v>
      </c>
      <c r="F94" s="295"/>
      <c r="G94" s="294">
        <v>3056300</v>
      </c>
      <c r="H94" s="295"/>
      <c r="I94" s="296">
        <v>3056300</v>
      </c>
      <c r="J94" s="273">
        <v>0</v>
      </c>
      <c r="K94" s="273">
        <v>0</v>
      </c>
      <c r="L94" s="273">
        <v>0</v>
      </c>
      <c r="M94" s="273">
        <v>0</v>
      </c>
      <c r="N94" s="273">
        <v>0</v>
      </c>
      <c r="O94" s="273">
        <v>3056300</v>
      </c>
      <c r="P94" s="273">
        <v>0</v>
      </c>
      <c r="Q94" s="273">
        <v>0</v>
      </c>
      <c r="R94" s="274">
        <f>SUM(J94:Q94)</f>
        <v>3056300</v>
      </c>
      <c r="S94" s="275">
        <f>I94-R94</f>
        <v>0</v>
      </c>
      <c r="T94" s="276">
        <f>G94-I94</f>
        <v>0</v>
      </c>
      <c r="U94" s="297">
        <v>0</v>
      </c>
      <c r="V94" s="278" t="e">
        <f t="shared" si="1"/>
        <v>#DIV/0!</v>
      </c>
      <c r="X94" s="328"/>
      <c r="Y94" s="273"/>
      <c r="Z94" s="273"/>
      <c r="AA94" s="273"/>
      <c r="AB94" s="273"/>
      <c r="AC94" s="273"/>
      <c r="AD94" s="273"/>
      <c r="AE94" s="273"/>
    </row>
    <row r="95" spans="1:31" ht="18.95" customHeight="1">
      <c r="A95" s="312"/>
      <c r="B95" s="279" t="s">
        <v>38</v>
      </c>
      <c r="C95" s="280" t="s">
        <v>116</v>
      </c>
      <c r="D95" s="281" t="s">
        <v>40</v>
      </c>
      <c r="E95" s="282">
        <v>3837900</v>
      </c>
      <c r="F95" s="283"/>
      <c r="G95" s="282">
        <v>3892000</v>
      </c>
      <c r="H95" s="283"/>
      <c r="I95" s="284">
        <v>3892000</v>
      </c>
      <c r="J95" s="285">
        <v>0</v>
      </c>
      <c r="K95" s="285">
        <v>0</v>
      </c>
      <c r="L95" s="285">
        <v>0</v>
      </c>
      <c r="M95" s="285">
        <v>0</v>
      </c>
      <c r="N95" s="285">
        <v>0</v>
      </c>
      <c r="O95" s="285">
        <v>3892000</v>
      </c>
      <c r="P95" s="285">
        <v>0</v>
      </c>
      <c r="Q95" s="285">
        <v>0</v>
      </c>
      <c r="R95" s="286">
        <f>SUM(J95:Q95)</f>
        <v>3892000</v>
      </c>
      <c r="S95" s="287">
        <f>I95-R95</f>
        <v>0</v>
      </c>
      <c r="T95" s="288">
        <f>G95-I95</f>
        <v>0</v>
      </c>
      <c r="U95" s="289">
        <v>17</v>
      </c>
      <c r="V95" s="290">
        <f t="shared" si="1"/>
        <v>228941.17647058822</v>
      </c>
      <c r="X95" s="329"/>
      <c r="Y95" s="285"/>
      <c r="Z95" s="285"/>
      <c r="AA95" s="285"/>
      <c r="AB95" s="285"/>
      <c r="AC95" s="285"/>
      <c r="AD95" s="285"/>
      <c r="AE95" s="285"/>
    </row>
    <row r="96" spans="1:31" ht="18.95" customHeight="1">
      <c r="A96" s="312"/>
      <c r="B96" s="279"/>
      <c r="C96" s="280" t="s">
        <v>115</v>
      </c>
      <c r="D96" s="281" t="s">
        <v>43</v>
      </c>
      <c r="E96" s="282">
        <v>62300</v>
      </c>
      <c r="F96" s="283"/>
      <c r="G96" s="282">
        <v>0</v>
      </c>
      <c r="H96" s="283"/>
      <c r="I96" s="284">
        <v>0</v>
      </c>
      <c r="J96" s="285">
        <v>0</v>
      </c>
      <c r="K96" s="285">
        <v>0</v>
      </c>
      <c r="L96" s="285">
        <v>0</v>
      </c>
      <c r="M96" s="285">
        <v>0</v>
      </c>
      <c r="N96" s="285">
        <v>0</v>
      </c>
      <c r="O96" s="285">
        <v>0</v>
      </c>
      <c r="P96" s="285">
        <v>0</v>
      </c>
      <c r="Q96" s="285">
        <v>0</v>
      </c>
      <c r="R96" s="286">
        <f>SUM(J96:Q96)</f>
        <v>0</v>
      </c>
      <c r="S96" s="287">
        <f>I96-R96</f>
        <v>0</v>
      </c>
      <c r="T96" s="288">
        <f>G96-I96</f>
        <v>0</v>
      </c>
      <c r="U96" s="289">
        <v>0</v>
      </c>
      <c r="V96" s="290" t="e">
        <f t="shared" si="1"/>
        <v>#DIV/0!</v>
      </c>
      <c r="X96" s="329"/>
      <c r="Y96" s="285"/>
      <c r="Z96" s="285"/>
      <c r="AA96" s="285"/>
      <c r="AB96" s="285"/>
      <c r="AC96" s="285"/>
      <c r="AD96" s="285"/>
      <c r="AE96" s="285"/>
    </row>
    <row r="97" spans="1:31" ht="18.95" customHeight="1">
      <c r="A97" s="312"/>
      <c r="B97" s="279"/>
      <c r="C97" s="280" t="s">
        <v>117</v>
      </c>
      <c r="D97" s="281" t="s">
        <v>43</v>
      </c>
      <c r="E97" s="282">
        <v>0</v>
      </c>
      <c r="F97" s="283"/>
      <c r="G97" s="282">
        <v>0</v>
      </c>
      <c r="H97" s="283"/>
      <c r="I97" s="284">
        <v>0</v>
      </c>
      <c r="J97" s="285">
        <v>0</v>
      </c>
      <c r="K97" s="285">
        <v>0</v>
      </c>
      <c r="L97" s="285">
        <v>0</v>
      </c>
      <c r="M97" s="285">
        <v>0</v>
      </c>
      <c r="N97" s="285">
        <v>0</v>
      </c>
      <c r="O97" s="285">
        <v>0</v>
      </c>
      <c r="P97" s="285">
        <v>0</v>
      </c>
      <c r="Q97" s="285">
        <v>0</v>
      </c>
      <c r="R97" s="286">
        <f>SUM(J97:Q97)</f>
        <v>0</v>
      </c>
      <c r="S97" s="287">
        <f>I97-R97</f>
        <v>0</v>
      </c>
      <c r="T97" s="288">
        <f>G97-I97</f>
        <v>0</v>
      </c>
      <c r="U97" s="289">
        <v>0</v>
      </c>
      <c r="V97" s="290" t="e">
        <f t="shared" si="1"/>
        <v>#DIV/0!</v>
      </c>
      <c r="X97" s="329"/>
      <c r="Y97" s="285"/>
      <c r="Z97" s="285"/>
      <c r="AA97" s="285"/>
      <c r="AB97" s="285"/>
      <c r="AC97" s="285"/>
      <c r="AD97" s="285"/>
      <c r="AE97" s="285"/>
    </row>
    <row r="98" spans="1:31" ht="18.95" customHeight="1">
      <c r="A98" s="312"/>
      <c r="B98" s="279"/>
      <c r="C98" s="280" t="s">
        <v>116</v>
      </c>
      <c r="D98" s="281" t="s">
        <v>43</v>
      </c>
      <c r="E98" s="282">
        <v>0</v>
      </c>
      <c r="F98" s="283"/>
      <c r="G98" s="282">
        <v>0</v>
      </c>
      <c r="H98" s="283"/>
      <c r="I98" s="284">
        <v>0</v>
      </c>
      <c r="J98" s="285">
        <v>0</v>
      </c>
      <c r="K98" s="285">
        <v>0</v>
      </c>
      <c r="L98" s="285">
        <v>0</v>
      </c>
      <c r="M98" s="285">
        <v>0</v>
      </c>
      <c r="N98" s="285">
        <v>0</v>
      </c>
      <c r="O98" s="285">
        <v>0</v>
      </c>
      <c r="P98" s="285">
        <v>0</v>
      </c>
      <c r="Q98" s="285">
        <v>0</v>
      </c>
      <c r="R98" s="286">
        <f>SUM(J98:Q98)</f>
        <v>0</v>
      </c>
      <c r="S98" s="287">
        <f>I98-R98</f>
        <v>0</v>
      </c>
      <c r="T98" s="288">
        <f>G98-I98</f>
        <v>0</v>
      </c>
      <c r="U98" s="289">
        <v>0</v>
      </c>
      <c r="V98" s="290" t="e">
        <f t="shared" si="1"/>
        <v>#DIV/0!</v>
      </c>
      <c r="X98" s="329"/>
      <c r="Y98" s="285"/>
      <c r="Z98" s="285"/>
      <c r="AA98" s="285"/>
      <c r="AB98" s="285"/>
      <c r="AC98" s="285"/>
      <c r="AD98" s="285"/>
      <c r="AE98" s="285"/>
    </row>
    <row r="99" spans="1:31" ht="18.95" customHeight="1">
      <c r="A99" s="313"/>
      <c r="B99" s="279"/>
      <c r="C99" s="280" t="s">
        <v>118</v>
      </c>
      <c r="D99" s="281" t="s">
        <v>43</v>
      </c>
      <c r="E99" s="282">
        <v>0</v>
      </c>
      <c r="F99" s="283"/>
      <c r="G99" s="282">
        <v>0</v>
      </c>
      <c r="H99" s="283"/>
      <c r="I99" s="284">
        <v>0</v>
      </c>
      <c r="J99" s="285">
        <v>0</v>
      </c>
      <c r="K99" s="285">
        <v>0</v>
      </c>
      <c r="L99" s="285">
        <v>0</v>
      </c>
      <c r="M99" s="285">
        <v>0</v>
      </c>
      <c r="N99" s="285">
        <v>0</v>
      </c>
      <c r="O99" s="285">
        <v>0</v>
      </c>
      <c r="P99" s="285">
        <v>0</v>
      </c>
      <c r="Q99" s="285">
        <v>0</v>
      </c>
      <c r="R99" s="286">
        <f>SUM(J99:Q99)</f>
        <v>0</v>
      </c>
      <c r="S99" s="287">
        <f>I99-R99</f>
        <v>0</v>
      </c>
      <c r="T99" s="288">
        <f>G99-I99</f>
        <v>0</v>
      </c>
      <c r="U99" s="289">
        <v>0</v>
      </c>
      <c r="V99" s="290" t="e">
        <f t="shared" si="1"/>
        <v>#DIV/0!</v>
      </c>
      <c r="X99" s="329"/>
      <c r="Y99" s="285"/>
      <c r="Z99" s="285"/>
      <c r="AA99" s="285"/>
      <c r="AB99" s="285"/>
      <c r="AC99" s="285"/>
      <c r="AD99" s="285"/>
      <c r="AE99" s="285"/>
    </row>
    <row r="100" spans="1:31" ht="18.95" customHeight="1">
      <c r="A100" s="314" t="s">
        <v>119</v>
      </c>
      <c r="B100" s="291" t="s">
        <v>38</v>
      </c>
      <c r="C100" s="292" t="s">
        <v>120</v>
      </c>
      <c r="D100" s="293" t="s">
        <v>40</v>
      </c>
      <c r="E100" s="294">
        <v>1539000</v>
      </c>
      <c r="F100" s="295"/>
      <c r="G100" s="294">
        <v>1556560</v>
      </c>
      <c r="H100" s="295"/>
      <c r="I100" s="296">
        <v>1556560</v>
      </c>
      <c r="J100" s="273">
        <v>0</v>
      </c>
      <c r="K100" s="273">
        <v>0</v>
      </c>
      <c r="L100" s="273">
        <v>0</v>
      </c>
      <c r="M100" s="273">
        <v>0</v>
      </c>
      <c r="N100" s="273">
        <v>0</v>
      </c>
      <c r="O100" s="273">
        <v>0</v>
      </c>
      <c r="P100" s="273">
        <v>0</v>
      </c>
      <c r="Q100" s="273">
        <v>0</v>
      </c>
      <c r="R100" s="274">
        <f>SUM(J100:Q100)</f>
        <v>0</v>
      </c>
      <c r="S100" s="275">
        <f>I100-R100</f>
        <v>1556560</v>
      </c>
      <c r="T100" s="276">
        <f>G100-I100</f>
        <v>0</v>
      </c>
      <c r="U100" s="297">
        <v>0</v>
      </c>
      <c r="V100" s="278" t="e">
        <f t="shared" si="1"/>
        <v>#DIV/0!</v>
      </c>
      <c r="X100" s="328"/>
      <c r="Y100" s="273"/>
      <c r="Z100" s="273"/>
      <c r="AA100" s="273"/>
      <c r="AB100" s="273"/>
      <c r="AC100" s="273"/>
      <c r="AD100" s="273"/>
      <c r="AE100" s="273"/>
    </row>
    <row r="101" spans="1:31" ht="18.95" customHeight="1">
      <c r="A101" s="312"/>
      <c r="B101" s="279"/>
      <c r="C101" s="280" t="s">
        <v>120</v>
      </c>
      <c r="D101" s="281" t="s">
        <v>43</v>
      </c>
      <c r="E101" s="282">
        <v>0</v>
      </c>
      <c r="F101" s="283"/>
      <c r="G101" s="282">
        <v>0</v>
      </c>
      <c r="H101" s="283"/>
      <c r="I101" s="284">
        <v>0</v>
      </c>
      <c r="J101" s="285">
        <v>0</v>
      </c>
      <c r="K101" s="285">
        <v>0</v>
      </c>
      <c r="L101" s="285">
        <v>0</v>
      </c>
      <c r="M101" s="285">
        <v>0</v>
      </c>
      <c r="N101" s="285">
        <v>0</v>
      </c>
      <c r="O101" s="285">
        <v>0</v>
      </c>
      <c r="P101" s="285">
        <v>0</v>
      </c>
      <c r="Q101" s="285">
        <v>0</v>
      </c>
      <c r="R101" s="286">
        <f>SUM(J101:Q101)</f>
        <v>0</v>
      </c>
      <c r="S101" s="287">
        <f>I101-R101</f>
        <v>0</v>
      </c>
      <c r="T101" s="288">
        <f>G101-I101</f>
        <v>0</v>
      </c>
      <c r="U101" s="289">
        <v>0</v>
      </c>
      <c r="V101" s="290" t="e">
        <f t="shared" si="1"/>
        <v>#DIV/0!</v>
      </c>
      <c r="X101" s="329"/>
      <c r="Y101" s="285"/>
      <c r="Z101" s="285"/>
      <c r="AA101" s="285"/>
      <c r="AB101" s="285"/>
      <c r="AC101" s="285"/>
      <c r="AD101" s="285"/>
      <c r="AE101" s="285"/>
    </row>
    <row r="102" spans="1:31" ht="18.95" customHeight="1">
      <c r="A102" s="313"/>
      <c r="B102" s="279"/>
      <c r="C102" s="280" t="s">
        <v>121</v>
      </c>
      <c r="D102" s="281" t="s">
        <v>43</v>
      </c>
      <c r="E102" s="282">
        <v>0</v>
      </c>
      <c r="F102" s="283"/>
      <c r="G102" s="282">
        <v>0</v>
      </c>
      <c r="H102" s="283"/>
      <c r="I102" s="284">
        <v>0</v>
      </c>
      <c r="J102" s="285">
        <v>0</v>
      </c>
      <c r="K102" s="285">
        <v>0</v>
      </c>
      <c r="L102" s="285">
        <v>0</v>
      </c>
      <c r="M102" s="285">
        <v>0</v>
      </c>
      <c r="N102" s="285">
        <v>0</v>
      </c>
      <c r="O102" s="285">
        <v>0</v>
      </c>
      <c r="P102" s="285">
        <v>0</v>
      </c>
      <c r="Q102" s="285">
        <v>0</v>
      </c>
      <c r="R102" s="286">
        <f>SUM(J102:Q102)</f>
        <v>0</v>
      </c>
      <c r="S102" s="287">
        <f>I102-R102</f>
        <v>0</v>
      </c>
      <c r="T102" s="288">
        <f>G102-I102</f>
        <v>0</v>
      </c>
      <c r="U102" s="289">
        <v>0</v>
      </c>
      <c r="V102" s="290" t="e">
        <f t="shared" si="1"/>
        <v>#DIV/0!</v>
      </c>
      <c r="X102" s="329"/>
      <c r="Y102" s="285"/>
      <c r="Z102" s="285"/>
      <c r="AA102" s="285"/>
      <c r="AB102" s="285"/>
      <c r="AC102" s="285"/>
      <c r="AD102" s="285"/>
      <c r="AE102" s="285"/>
    </row>
    <row r="103" spans="1:31" ht="18.95" customHeight="1">
      <c r="A103" s="314" t="s">
        <v>122</v>
      </c>
      <c r="B103" s="291" t="s">
        <v>38</v>
      </c>
      <c r="C103" s="292" t="s">
        <v>123</v>
      </c>
      <c r="D103" s="293" t="s">
        <v>40</v>
      </c>
      <c r="E103" s="294">
        <v>2525000</v>
      </c>
      <c r="F103" s="295"/>
      <c r="G103" s="294">
        <v>3351500</v>
      </c>
      <c r="H103" s="295"/>
      <c r="I103" s="296">
        <v>2851450</v>
      </c>
      <c r="J103" s="273">
        <v>0</v>
      </c>
      <c r="K103" s="273">
        <v>0</v>
      </c>
      <c r="L103" s="273">
        <v>600000</v>
      </c>
      <c r="M103" s="273">
        <v>90000</v>
      </c>
      <c r="N103" s="273">
        <v>0</v>
      </c>
      <c r="O103" s="273">
        <v>690000</v>
      </c>
      <c r="P103" s="273">
        <v>0</v>
      </c>
      <c r="Q103" s="273">
        <v>0</v>
      </c>
      <c r="R103" s="274">
        <f>SUM(J103:Q103)</f>
        <v>1380000</v>
      </c>
      <c r="S103" s="275">
        <f>I103-R103</f>
        <v>1471450</v>
      </c>
      <c r="T103" s="276">
        <f>G103-I103</f>
        <v>500050</v>
      </c>
      <c r="U103" s="297">
        <v>27</v>
      </c>
      <c r="V103" s="278">
        <f t="shared" si="1"/>
        <v>51111.111111111109</v>
      </c>
      <c r="X103" s="328"/>
      <c r="Y103" s="273"/>
      <c r="Z103" s="273"/>
      <c r="AA103" s="273"/>
      <c r="AB103" s="273"/>
      <c r="AC103" s="273"/>
      <c r="AD103" s="273"/>
      <c r="AE103" s="273"/>
    </row>
    <row r="104" spans="1:31" ht="18.95" customHeight="1">
      <c r="A104" s="312"/>
      <c r="B104" s="279" t="s">
        <v>124</v>
      </c>
      <c r="C104" s="280" t="s">
        <v>123</v>
      </c>
      <c r="D104" s="281" t="s">
        <v>125</v>
      </c>
      <c r="E104" s="282">
        <v>500000</v>
      </c>
      <c r="F104" s="283"/>
      <c r="G104" s="282">
        <v>0</v>
      </c>
      <c r="H104" s="283"/>
      <c r="I104" s="284">
        <v>527000</v>
      </c>
      <c r="J104" s="285">
        <v>0</v>
      </c>
      <c r="K104" s="285">
        <v>0</v>
      </c>
      <c r="L104" s="285">
        <v>0</v>
      </c>
      <c r="M104" s="285">
        <v>0</v>
      </c>
      <c r="N104" s="285">
        <v>0</v>
      </c>
      <c r="O104" s="285">
        <v>527000</v>
      </c>
      <c r="P104" s="285">
        <v>0</v>
      </c>
      <c r="Q104" s="285">
        <v>0</v>
      </c>
      <c r="R104" s="286">
        <f>SUM(J104:Q104)</f>
        <v>527000</v>
      </c>
      <c r="S104" s="287">
        <f>I104-R104</f>
        <v>0</v>
      </c>
      <c r="T104" s="288">
        <f>G104-I104</f>
        <v>-527000</v>
      </c>
      <c r="U104" s="289">
        <v>0</v>
      </c>
      <c r="V104" s="290" t="e">
        <f t="shared" si="1"/>
        <v>#DIV/0!</v>
      </c>
      <c r="X104" s="329"/>
      <c r="Y104" s="285"/>
      <c r="Z104" s="285"/>
      <c r="AA104" s="285"/>
      <c r="AB104" s="285"/>
      <c r="AC104" s="285"/>
      <c r="AD104" s="285"/>
      <c r="AE104" s="285"/>
    </row>
    <row r="105" spans="1:31" ht="18.95" customHeight="1">
      <c r="A105" s="312"/>
      <c r="B105" s="279" t="s">
        <v>124</v>
      </c>
      <c r="C105" s="280" t="s">
        <v>123</v>
      </c>
      <c r="D105" s="281" t="s">
        <v>43</v>
      </c>
      <c r="E105" s="282">
        <v>0</v>
      </c>
      <c r="F105" s="283"/>
      <c r="G105" s="282">
        <v>0</v>
      </c>
      <c r="H105" s="283"/>
      <c r="I105" s="284">
        <v>0</v>
      </c>
      <c r="J105" s="285">
        <v>0</v>
      </c>
      <c r="K105" s="285">
        <v>0</v>
      </c>
      <c r="L105" s="285">
        <v>0</v>
      </c>
      <c r="M105" s="285">
        <v>0</v>
      </c>
      <c r="N105" s="285">
        <v>30000</v>
      </c>
      <c r="O105" s="285">
        <v>0</v>
      </c>
      <c r="P105" s="285">
        <v>0</v>
      </c>
      <c r="Q105" s="285">
        <v>0</v>
      </c>
      <c r="R105" s="286">
        <f>SUM(J105:Q105)</f>
        <v>30000</v>
      </c>
      <c r="S105" s="287">
        <f>I105-R105</f>
        <v>-30000</v>
      </c>
      <c r="T105" s="288">
        <f>G105-I105</f>
        <v>0</v>
      </c>
      <c r="U105" s="289">
        <v>0</v>
      </c>
      <c r="V105" s="290" t="e">
        <f t="shared" si="1"/>
        <v>#DIV/0!</v>
      </c>
      <c r="X105" s="329"/>
      <c r="Y105" s="285"/>
      <c r="Z105" s="285"/>
      <c r="AA105" s="285"/>
      <c r="AB105" s="285"/>
      <c r="AC105" s="285"/>
      <c r="AD105" s="285"/>
      <c r="AE105" s="285"/>
    </row>
    <row r="106" spans="1:31" ht="18.95" customHeight="1">
      <c r="A106" s="312"/>
      <c r="B106" s="279" t="s">
        <v>46</v>
      </c>
      <c r="C106" s="280" t="s">
        <v>126</v>
      </c>
      <c r="D106" s="281" t="s">
        <v>127</v>
      </c>
      <c r="E106" s="282">
        <v>3285050</v>
      </c>
      <c r="F106" s="283"/>
      <c r="G106" s="282">
        <v>2000000</v>
      </c>
      <c r="H106" s="283"/>
      <c r="I106" s="284">
        <v>2000000</v>
      </c>
      <c r="J106" s="285">
        <v>0</v>
      </c>
      <c r="K106" s="285">
        <v>0</v>
      </c>
      <c r="L106" s="285">
        <v>0</v>
      </c>
      <c r="M106" s="285">
        <v>0</v>
      </c>
      <c r="N106" s="285">
        <v>0</v>
      </c>
      <c r="O106" s="285">
        <v>0</v>
      </c>
      <c r="P106" s="285">
        <v>0</v>
      </c>
      <c r="Q106" s="285">
        <v>0</v>
      </c>
      <c r="R106" s="286">
        <f>SUM(J106:Q106)</f>
        <v>0</v>
      </c>
      <c r="S106" s="287">
        <f>I106-R106</f>
        <v>2000000</v>
      </c>
      <c r="T106" s="288">
        <f>G106-I106</f>
        <v>0</v>
      </c>
      <c r="U106" s="289">
        <v>0</v>
      </c>
      <c r="V106" s="290" t="e">
        <f t="shared" si="1"/>
        <v>#DIV/0!</v>
      </c>
      <c r="X106" s="329"/>
      <c r="Y106" s="285"/>
      <c r="Z106" s="285"/>
      <c r="AA106" s="285"/>
      <c r="AB106" s="285"/>
      <c r="AC106" s="285"/>
      <c r="AD106" s="285"/>
      <c r="AE106" s="285"/>
    </row>
    <row r="107" spans="1:31" ht="18.95" customHeight="1">
      <c r="A107" s="312"/>
      <c r="B107" s="279" t="s">
        <v>46</v>
      </c>
      <c r="C107" s="280" t="s">
        <v>123</v>
      </c>
      <c r="D107" s="281" t="s">
        <v>43</v>
      </c>
      <c r="E107" s="282">
        <v>0</v>
      </c>
      <c r="F107" s="283"/>
      <c r="G107" s="282">
        <v>0</v>
      </c>
      <c r="H107" s="283"/>
      <c r="I107" s="284">
        <v>0</v>
      </c>
      <c r="J107" s="285">
        <v>0</v>
      </c>
      <c r="K107" s="285">
        <v>0</v>
      </c>
      <c r="L107" s="285">
        <v>0</v>
      </c>
      <c r="M107" s="285">
        <v>108000</v>
      </c>
      <c r="N107" s="285">
        <v>0</v>
      </c>
      <c r="O107" s="285">
        <v>54000</v>
      </c>
      <c r="P107" s="285">
        <v>0</v>
      </c>
      <c r="Q107" s="285">
        <v>0</v>
      </c>
      <c r="R107" s="286">
        <f>SUM(J107:Q107)</f>
        <v>162000</v>
      </c>
      <c r="S107" s="287">
        <f>I107-R107</f>
        <v>-162000</v>
      </c>
      <c r="T107" s="288">
        <f>G107-I107</f>
        <v>0</v>
      </c>
      <c r="U107" s="289">
        <v>2</v>
      </c>
      <c r="V107" s="290">
        <f t="shared" si="1"/>
        <v>81000</v>
      </c>
      <c r="X107" s="329"/>
      <c r="Y107" s="285"/>
      <c r="Z107" s="285"/>
      <c r="AA107" s="285"/>
      <c r="AB107" s="285"/>
      <c r="AC107" s="285"/>
      <c r="AD107" s="285"/>
      <c r="AE107" s="285"/>
    </row>
    <row r="108" spans="1:31" ht="18.95" customHeight="1">
      <c r="A108" s="312"/>
      <c r="B108" s="279" t="s">
        <v>128</v>
      </c>
      <c r="C108" s="280" t="s">
        <v>123</v>
      </c>
      <c r="D108" s="281" t="s">
        <v>43</v>
      </c>
      <c r="E108" s="282">
        <v>0</v>
      </c>
      <c r="F108" s="283"/>
      <c r="G108" s="282">
        <v>0</v>
      </c>
      <c r="H108" s="283"/>
      <c r="I108" s="284">
        <v>0</v>
      </c>
      <c r="J108" s="285">
        <v>0</v>
      </c>
      <c r="K108" s="285">
        <v>0</v>
      </c>
      <c r="L108" s="285">
        <v>155000</v>
      </c>
      <c r="M108" s="285">
        <v>0</v>
      </c>
      <c r="N108" s="285">
        <v>0</v>
      </c>
      <c r="O108" s="285">
        <v>0</v>
      </c>
      <c r="P108" s="285">
        <v>0</v>
      </c>
      <c r="Q108" s="285">
        <v>0</v>
      </c>
      <c r="R108" s="286">
        <f>SUM(J108:Q108)</f>
        <v>155000</v>
      </c>
      <c r="S108" s="287">
        <f>I108-R108</f>
        <v>-155000</v>
      </c>
      <c r="T108" s="288">
        <f>G108-I108</f>
        <v>0</v>
      </c>
      <c r="U108" s="289">
        <v>0</v>
      </c>
      <c r="V108" s="290" t="e">
        <f t="shared" si="1"/>
        <v>#DIV/0!</v>
      </c>
      <c r="X108" s="329"/>
      <c r="Y108" s="285"/>
      <c r="Z108" s="285"/>
      <c r="AA108" s="285"/>
      <c r="AB108" s="285"/>
      <c r="AC108" s="285"/>
      <c r="AD108" s="285"/>
      <c r="AE108" s="285"/>
    </row>
    <row r="109" spans="1:31" ht="18.95" customHeight="1">
      <c r="A109" s="312"/>
      <c r="B109" s="279" t="s">
        <v>129</v>
      </c>
      <c r="C109" s="280" t="s">
        <v>123</v>
      </c>
      <c r="D109" s="281" t="s">
        <v>43</v>
      </c>
      <c r="E109" s="282">
        <v>0</v>
      </c>
      <c r="F109" s="283"/>
      <c r="G109" s="282">
        <v>0</v>
      </c>
      <c r="H109" s="283"/>
      <c r="I109" s="284">
        <v>90000</v>
      </c>
      <c r="J109" s="285">
        <v>0</v>
      </c>
      <c r="K109" s="285">
        <v>0</v>
      </c>
      <c r="L109" s="285">
        <v>0</v>
      </c>
      <c r="M109" s="285">
        <v>90000</v>
      </c>
      <c r="N109" s="285">
        <v>0</v>
      </c>
      <c r="O109" s="285">
        <v>0</v>
      </c>
      <c r="P109" s="285">
        <v>0</v>
      </c>
      <c r="Q109" s="285">
        <v>0</v>
      </c>
      <c r="R109" s="286">
        <f>SUM(J109:Q109)</f>
        <v>90000</v>
      </c>
      <c r="S109" s="287">
        <f>I109-R109</f>
        <v>0</v>
      </c>
      <c r="T109" s="288">
        <f>G109-I109</f>
        <v>-90000</v>
      </c>
      <c r="U109" s="289">
        <v>4</v>
      </c>
      <c r="V109" s="290">
        <f t="shared" si="1"/>
        <v>22500</v>
      </c>
      <c r="X109" s="329"/>
      <c r="Y109" s="285"/>
      <c r="Z109" s="285"/>
      <c r="AA109" s="285"/>
      <c r="AB109" s="285"/>
      <c r="AC109" s="285"/>
      <c r="AD109" s="285"/>
      <c r="AE109" s="285"/>
    </row>
    <row r="110" spans="1:31" ht="18.95" customHeight="1">
      <c r="A110" s="312"/>
      <c r="B110" s="279" t="s">
        <v>99</v>
      </c>
      <c r="C110" s="280" t="s">
        <v>123</v>
      </c>
      <c r="D110" s="281" t="s">
        <v>43</v>
      </c>
      <c r="E110" s="282">
        <v>0</v>
      </c>
      <c r="F110" s="283"/>
      <c r="G110" s="282">
        <v>0</v>
      </c>
      <c r="H110" s="283"/>
      <c r="I110" s="284">
        <v>75000</v>
      </c>
      <c r="J110" s="285">
        <v>0</v>
      </c>
      <c r="K110" s="285">
        <v>0</v>
      </c>
      <c r="L110" s="285">
        <v>0</v>
      </c>
      <c r="M110" s="285">
        <v>25000</v>
      </c>
      <c r="N110" s="285">
        <v>0</v>
      </c>
      <c r="O110" s="285">
        <v>0</v>
      </c>
      <c r="P110" s="285">
        <v>0</v>
      </c>
      <c r="Q110" s="285">
        <v>0</v>
      </c>
      <c r="R110" s="286">
        <f>SUM(J110:Q110)</f>
        <v>25000</v>
      </c>
      <c r="S110" s="287">
        <f>I110-R110</f>
        <v>50000</v>
      </c>
      <c r="T110" s="288">
        <f>G110-I110</f>
        <v>-75000</v>
      </c>
      <c r="U110" s="289">
        <v>1</v>
      </c>
      <c r="V110" s="290">
        <f t="shared" si="1"/>
        <v>25000</v>
      </c>
      <c r="X110" s="329"/>
      <c r="Y110" s="285"/>
      <c r="Z110" s="285"/>
      <c r="AA110" s="285"/>
      <c r="AB110" s="285"/>
      <c r="AC110" s="285"/>
      <c r="AD110" s="285"/>
      <c r="AE110" s="285"/>
    </row>
    <row r="111" spans="1:31" ht="18.95" customHeight="1">
      <c r="A111" s="312"/>
      <c r="B111" s="279"/>
      <c r="C111" s="280" t="s">
        <v>126</v>
      </c>
      <c r="D111" s="281" t="s">
        <v>43</v>
      </c>
      <c r="E111" s="282">
        <v>100000</v>
      </c>
      <c r="F111" s="283"/>
      <c r="G111" s="282">
        <v>0</v>
      </c>
      <c r="H111" s="283"/>
      <c r="I111" s="284">
        <v>0</v>
      </c>
      <c r="J111" s="285">
        <v>0</v>
      </c>
      <c r="K111" s="285">
        <v>0</v>
      </c>
      <c r="L111" s="285">
        <v>0</v>
      </c>
      <c r="M111" s="285">
        <v>0</v>
      </c>
      <c r="N111" s="285">
        <v>0</v>
      </c>
      <c r="O111" s="285">
        <v>0</v>
      </c>
      <c r="P111" s="285">
        <v>0</v>
      </c>
      <c r="Q111" s="285">
        <v>0</v>
      </c>
      <c r="R111" s="286">
        <f>SUM(J111:Q111)</f>
        <v>0</v>
      </c>
      <c r="S111" s="287">
        <f>I111-R111</f>
        <v>0</v>
      </c>
      <c r="T111" s="288">
        <f>G111-I111</f>
        <v>0</v>
      </c>
      <c r="U111" s="289">
        <v>0</v>
      </c>
      <c r="V111" s="290" t="e">
        <f t="shared" si="1"/>
        <v>#DIV/0!</v>
      </c>
      <c r="X111" s="329"/>
      <c r="Y111" s="285"/>
      <c r="Z111" s="285"/>
      <c r="AA111" s="285"/>
      <c r="AB111" s="285"/>
      <c r="AC111" s="285"/>
      <c r="AD111" s="285"/>
      <c r="AE111" s="285"/>
    </row>
    <row r="112" spans="1:31" ht="18.95" customHeight="1">
      <c r="A112" s="312"/>
      <c r="B112" s="279"/>
      <c r="C112" s="280" t="s">
        <v>130</v>
      </c>
      <c r="D112" s="281" t="s">
        <v>43</v>
      </c>
      <c r="E112" s="282">
        <v>0</v>
      </c>
      <c r="F112" s="283"/>
      <c r="G112" s="282">
        <v>0</v>
      </c>
      <c r="H112" s="283"/>
      <c r="I112" s="284">
        <v>0</v>
      </c>
      <c r="J112" s="285">
        <v>0</v>
      </c>
      <c r="K112" s="285">
        <v>0</v>
      </c>
      <c r="L112" s="285">
        <v>0</v>
      </c>
      <c r="M112" s="285">
        <v>0</v>
      </c>
      <c r="N112" s="285">
        <v>0</v>
      </c>
      <c r="O112" s="285">
        <v>0</v>
      </c>
      <c r="P112" s="285">
        <v>0</v>
      </c>
      <c r="Q112" s="285">
        <v>0</v>
      </c>
      <c r="R112" s="286">
        <f>SUM(J112:Q112)</f>
        <v>0</v>
      </c>
      <c r="S112" s="287">
        <f>I112-R112</f>
        <v>0</v>
      </c>
      <c r="T112" s="288">
        <f>G112-I112</f>
        <v>0</v>
      </c>
      <c r="U112" s="289">
        <v>0</v>
      </c>
      <c r="V112" s="290" t="e">
        <f t="shared" si="1"/>
        <v>#DIV/0!</v>
      </c>
      <c r="X112" s="329"/>
      <c r="Y112" s="285"/>
      <c r="Z112" s="285"/>
      <c r="AA112" s="285"/>
      <c r="AB112" s="285"/>
      <c r="AC112" s="285"/>
      <c r="AD112" s="285"/>
      <c r="AE112" s="285"/>
    </row>
    <row r="113" spans="1:31" ht="18.95" customHeight="1">
      <c r="A113" s="312"/>
      <c r="B113" s="279"/>
      <c r="C113" s="280" t="s">
        <v>123</v>
      </c>
      <c r="D113" s="281" t="s">
        <v>43</v>
      </c>
      <c r="E113" s="282">
        <v>300000</v>
      </c>
      <c r="F113" s="283"/>
      <c r="G113" s="282">
        <v>200000</v>
      </c>
      <c r="H113" s="283"/>
      <c r="I113" s="284">
        <v>425000</v>
      </c>
      <c r="J113" s="285">
        <v>0</v>
      </c>
      <c r="K113" s="285">
        <v>0</v>
      </c>
      <c r="L113" s="285">
        <v>0</v>
      </c>
      <c r="M113" s="285">
        <v>0</v>
      </c>
      <c r="N113" s="285">
        <v>0</v>
      </c>
      <c r="O113" s="285">
        <v>0</v>
      </c>
      <c r="P113" s="285">
        <v>0</v>
      </c>
      <c r="Q113" s="285">
        <v>0</v>
      </c>
      <c r="R113" s="286">
        <f>SUM(J113:Q113)</f>
        <v>0</v>
      </c>
      <c r="S113" s="287">
        <f>I113-R113</f>
        <v>425000</v>
      </c>
      <c r="T113" s="288">
        <f>G113-I113</f>
        <v>-225000</v>
      </c>
      <c r="U113" s="289">
        <v>0</v>
      </c>
      <c r="V113" s="290" t="e">
        <f t="shared" si="1"/>
        <v>#DIV/0!</v>
      </c>
      <c r="X113" s="329"/>
      <c r="Y113" s="285"/>
      <c r="Z113" s="285"/>
      <c r="AA113" s="285"/>
      <c r="AB113" s="285"/>
      <c r="AC113" s="285"/>
      <c r="AD113" s="285"/>
      <c r="AE113" s="285"/>
    </row>
    <row r="114" spans="1:31" ht="18.95" customHeight="1">
      <c r="A114" s="313"/>
      <c r="B114" s="279"/>
      <c r="C114" s="280" t="s">
        <v>131</v>
      </c>
      <c r="D114" s="281" t="s">
        <v>43</v>
      </c>
      <c r="E114" s="282">
        <v>0</v>
      </c>
      <c r="F114" s="283"/>
      <c r="G114" s="282">
        <v>0</v>
      </c>
      <c r="H114" s="283"/>
      <c r="I114" s="284">
        <v>0</v>
      </c>
      <c r="J114" s="285">
        <v>0</v>
      </c>
      <c r="K114" s="285">
        <v>0</v>
      </c>
      <c r="L114" s="285">
        <v>0</v>
      </c>
      <c r="M114" s="285">
        <v>0</v>
      </c>
      <c r="N114" s="285">
        <v>0</v>
      </c>
      <c r="O114" s="285">
        <v>0</v>
      </c>
      <c r="P114" s="285">
        <v>0</v>
      </c>
      <c r="Q114" s="285">
        <v>0</v>
      </c>
      <c r="R114" s="286">
        <f>SUM(J114:Q114)</f>
        <v>0</v>
      </c>
      <c r="S114" s="287">
        <f>I114-R114</f>
        <v>0</v>
      </c>
      <c r="T114" s="288">
        <f>G114-I114</f>
        <v>0</v>
      </c>
      <c r="U114" s="289">
        <v>0</v>
      </c>
      <c r="V114" s="290" t="e">
        <f t="shared" si="1"/>
        <v>#DIV/0!</v>
      </c>
      <c r="X114" s="329"/>
      <c r="Y114" s="285"/>
      <c r="Z114" s="285"/>
      <c r="AA114" s="285"/>
      <c r="AB114" s="285"/>
      <c r="AC114" s="285"/>
      <c r="AD114" s="285"/>
      <c r="AE114" s="285"/>
    </row>
    <row r="115" spans="1:31" ht="18.95" customHeight="1">
      <c r="A115" s="314" t="s">
        <v>132</v>
      </c>
      <c r="B115" s="291" t="s">
        <v>38</v>
      </c>
      <c r="C115" s="292" t="s">
        <v>133</v>
      </c>
      <c r="D115" s="293" t="s">
        <v>40</v>
      </c>
      <c r="E115" s="294">
        <v>607100</v>
      </c>
      <c r="F115" s="295"/>
      <c r="G115" s="294">
        <v>477250</v>
      </c>
      <c r="H115" s="295"/>
      <c r="I115" s="296">
        <v>477250</v>
      </c>
      <c r="J115" s="273">
        <v>0</v>
      </c>
      <c r="K115" s="273">
        <v>0</v>
      </c>
      <c r="L115" s="273">
        <v>0</v>
      </c>
      <c r="M115" s="273">
        <v>0</v>
      </c>
      <c r="N115" s="273">
        <v>0</v>
      </c>
      <c r="O115" s="273">
        <v>0</v>
      </c>
      <c r="P115" s="273">
        <v>0</v>
      </c>
      <c r="Q115" s="273">
        <v>0</v>
      </c>
      <c r="R115" s="274">
        <f>SUM(J115:Q115)</f>
        <v>0</v>
      </c>
      <c r="S115" s="275">
        <f>I115-R115</f>
        <v>477250</v>
      </c>
      <c r="T115" s="276">
        <f>G115-I115</f>
        <v>0</v>
      </c>
      <c r="U115" s="297">
        <v>0</v>
      </c>
      <c r="V115" s="278" t="e">
        <f t="shared" si="1"/>
        <v>#DIV/0!</v>
      </c>
      <c r="X115" s="328"/>
      <c r="Y115" s="273"/>
      <c r="Z115" s="273"/>
      <c r="AA115" s="273"/>
      <c r="AB115" s="273"/>
      <c r="AC115" s="273"/>
      <c r="AD115" s="273"/>
      <c r="AE115" s="273"/>
    </row>
    <row r="116" spans="1:31" ht="18.95" customHeight="1">
      <c r="A116" s="312"/>
      <c r="B116" s="279"/>
      <c r="C116" s="280" t="s">
        <v>133</v>
      </c>
      <c r="D116" s="281" t="s">
        <v>43</v>
      </c>
      <c r="E116" s="282">
        <v>150000</v>
      </c>
      <c r="F116" s="283"/>
      <c r="G116" s="282">
        <v>0</v>
      </c>
      <c r="H116" s="283"/>
      <c r="I116" s="284">
        <v>0</v>
      </c>
      <c r="J116" s="285">
        <v>0</v>
      </c>
      <c r="K116" s="285">
        <v>0</v>
      </c>
      <c r="L116" s="285">
        <v>0</v>
      </c>
      <c r="M116" s="285">
        <v>0</v>
      </c>
      <c r="N116" s="285">
        <v>0</v>
      </c>
      <c r="O116" s="285">
        <v>0</v>
      </c>
      <c r="P116" s="285">
        <v>0</v>
      </c>
      <c r="Q116" s="285">
        <v>0</v>
      </c>
      <c r="R116" s="286">
        <f>SUM(J116:Q116)</f>
        <v>0</v>
      </c>
      <c r="S116" s="287">
        <f>I116-R116</f>
        <v>0</v>
      </c>
      <c r="T116" s="288">
        <f>G116-I116</f>
        <v>0</v>
      </c>
      <c r="U116" s="289">
        <v>0</v>
      </c>
      <c r="V116" s="290" t="e">
        <f t="shared" si="1"/>
        <v>#DIV/0!</v>
      </c>
      <c r="X116" s="329"/>
      <c r="Y116" s="285"/>
      <c r="Z116" s="285"/>
      <c r="AA116" s="285"/>
      <c r="AB116" s="285"/>
      <c r="AC116" s="285"/>
      <c r="AD116" s="285"/>
      <c r="AE116" s="285"/>
    </row>
    <row r="117" spans="1:31" ht="18.95" customHeight="1" thickBot="1">
      <c r="A117" s="315"/>
      <c r="B117" s="299"/>
      <c r="C117" s="300" t="s">
        <v>134</v>
      </c>
      <c r="D117" s="301" t="s">
        <v>43</v>
      </c>
      <c r="E117" s="302">
        <v>0</v>
      </c>
      <c r="F117" s="303"/>
      <c r="G117" s="302">
        <v>0</v>
      </c>
      <c r="H117" s="303"/>
      <c r="I117" s="304">
        <v>0</v>
      </c>
      <c r="J117" s="305">
        <v>0</v>
      </c>
      <c r="K117" s="305">
        <v>0</v>
      </c>
      <c r="L117" s="305">
        <v>0</v>
      </c>
      <c r="M117" s="305">
        <v>0</v>
      </c>
      <c r="N117" s="305">
        <v>0</v>
      </c>
      <c r="O117" s="305">
        <v>0</v>
      </c>
      <c r="P117" s="305">
        <v>0</v>
      </c>
      <c r="Q117" s="305">
        <v>0</v>
      </c>
      <c r="R117" s="306">
        <f>SUM(J117:Q117)</f>
        <v>0</v>
      </c>
      <c r="S117" s="307">
        <f>I117-R117</f>
        <v>0</v>
      </c>
      <c r="T117" s="308">
        <f>G117-I117</f>
        <v>0</v>
      </c>
      <c r="U117" s="309">
        <v>0</v>
      </c>
      <c r="V117" s="310" t="e">
        <f t="shared" si="1"/>
        <v>#DIV/0!</v>
      </c>
      <c r="X117" s="330"/>
      <c r="Y117" s="305"/>
      <c r="Z117" s="305"/>
      <c r="AA117" s="305"/>
      <c r="AB117" s="305"/>
      <c r="AC117" s="305"/>
      <c r="AD117" s="305"/>
      <c r="AE117" s="305"/>
    </row>
    <row r="118" spans="1:31" ht="18.95" customHeight="1" thickTop="1" thickBot="1">
      <c r="A118" s="27"/>
      <c r="B118" s="28" t="s">
        <v>12</v>
      </c>
      <c r="C118" s="29"/>
      <c r="D118" s="29"/>
      <c r="E118" s="187">
        <f>SUM(E7:F117)</f>
        <v>68199585</v>
      </c>
      <c r="F118" s="188"/>
      <c r="G118" s="187">
        <f>SUM(G7:H117)</f>
        <v>66523590</v>
      </c>
      <c r="H118" s="188"/>
      <c r="I118" s="87">
        <f>SUM(I7:I117)</f>
        <v>73978400</v>
      </c>
      <c r="J118" s="30"/>
      <c r="K118" s="30"/>
      <c r="L118" s="30"/>
      <c r="M118" s="30"/>
      <c r="N118" s="30"/>
      <c r="O118" s="30"/>
      <c r="P118" s="30"/>
      <c r="Q118" s="30"/>
      <c r="R118" s="32">
        <f>SUM(R7:R117)</f>
        <v>52413802</v>
      </c>
      <c r="S118" s="32">
        <f>SUM(S7:S117)</f>
        <v>21564598</v>
      </c>
      <c r="T118" s="33">
        <f>SUM(T7:T117)</f>
        <v>-7454810</v>
      </c>
      <c r="U118" s="298">
        <f>SUM(U7:U117)</f>
        <v>478</v>
      </c>
      <c r="V118" s="34"/>
    </row>
    <row r="119" spans="1:31" ht="15" customHeight="1" thickTop="1">
      <c r="A119" s="189"/>
      <c r="B119" s="190"/>
      <c r="C119" s="190"/>
      <c r="D119" s="190"/>
      <c r="E119" s="191"/>
      <c r="F119" s="191"/>
      <c r="G119" s="191"/>
      <c r="H119" s="191"/>
      <c r="I119" s="191"/>
      <c r="J119" s="190"/>
      <c r="K119" s="190"/>
      <c r="L119" s="190"/>
      <c r="M119" s="190"/>
      <c r="N119" s="190"/>
      <c r="O119" s="190"/>
      <c r="P119" s="190"/>
      <c r="Q119" s="190"/>
      <c r="R119" s="190"/>
      <c r="S119" s="190"/>
      <c r="T119" s="190"/>
      <c r="U119" s="191"/>
      <c r="V119" s="192"/>
    </row>
    <row r="120" spans="1:31" ht="18.95" customHeight="1">
      <c r="A120" s="97"/>
      <c r="B120" s="98" t="s">
        <v>13</v>
      </c>
      <c r="C120" s="98"/>
      <c r="D120" s="99"/>
      <c r="E120" s="193" t="s">
        <v>32</v>
      </c>
      <c r="F120" s="194"/>
      <c r="G120" s="193" t="s">
        <v>14</v>
      </c>
      <c r="H120" s="194"/>
      <c r="I120" s="100" t="s">
        <v>15</v>
      </c>
      <c r="J120" s="101"/>
      <c r="K120" s="101"/>
      <c r="L120" s="101"/>
      <c r="M120" s="101"/>
      <c r="N120" s="101"/>
      <c r="O120" s="101"/>
      <c r="P120" s="101"/>
      <c r="Q120" s="101"/>
      <c r="R120" s="101"/>
      <c r="S120" s="102"/>
      <c r="T120" s="103"/>
      <c r="U120" s="103"/>
      <c r="V120" s="104"/>
    </row>
    <row r="121" spans="1:31" ht="18.95" customHeight="1">
      <c r="A121" s="105"/>
      <c r="B121" s="107"/>
      <c r="C121" s="80"/>
      <c r="D121" s="158"/>
      <c r="E121" s="183"/>
      <c r="F121" s="184"/>
      <c r="G121" s="183"/>
      <c r="H121" s="184"/>
      <c r="I121" s="108"/>
      <c r="J121" s="20"/>
      <c r="K121" s="20"/>
      <c r="L121" s="20"/>
      <c r="M121" s="20"/>
      <c r="N121" s="20"/>
      <c r="O121" s="20"/>
      <c r="P121" s="20"/>
      <c r="Q121" s="20"/>
      <c r="R121" s="81">
        <f>SUM(J121:Q121)</f>
        <v>0</v>
      </c>
      <c r="S121" s="23">
        <f>I121-R121</f>
        <v>0</v>
      </c>
      <c r="T121" s="24">
        <f>G121-I121</f>
        <v>0</v>
      </c>
      <c r="U121" s="68"/>
      <c r="V121" s="88" t="e">
        <f>R121/U121</f>
        <v>#DIV/0!</v>
      </c>
    </row>
    <row r="122" spans="1:31" ht="18.95" customHeight="1">
      <c r="A122" s="106"/>
      <c r="B122" s="109"/>
      <c r="C122" s="71"/>
      <c r="D122" s="157"/>
      <c r="E122" s="185"/>
      <c r="F122" s="186"/>
      <c r="G122" s="185"/>
      <c r="H122" s="186"/>
      <c r="I122" s="110"/>
      <c r="J122" s="111"/>
      <c r="K122" s="111"/>
      <c r="L122" s="111"/>
      <c r="M122" s="111"/>
      <c r="N122" s="111"/>
      <c r="O122" s="111"/>
      <c r="P122" s="111"/>
      <c r="Q122" s="111"/>
      <c r="R122" s="81">
        <f>SUM(J122:Q122)</f>
        <v>0</v>
      </c>
      <c r="S122" s="23">
        <f>I122-R122</f>
        <v>0</v>
      </c>
      <c r="T122" s="24">
        <f>G122-I122</f>
        <v>0</v>
      </c>
      <c r="U122" s="69"/>
      <c r="V122" s="160" t="e">
        <f>R122/U122</f>
        <v>#DIV/0!</v>
      </c>
    </row>
    <row r="123" spans="1:31" ht="18.95" customHeight="1" thickBot="1">
      <c r="A123" s="89"/>
      <c r="B123" s="35" t="s">
        <v>16</v>
      </c>
      <c r="C123" s="35"/>
      <c r="D123" s="36"/>
      <c r="E123" s="168">
        <f>SUM(E121:E122)</f>
        <v>0</v>
      </c>
      <c r="F123" s="169"/>
      <c r="G123" s="168">
        <f>SUM(G121:G122)</f>
        <v>0</v>
      </c>
      <c r="H123" s="169"/>
      <c r="I123" s="37">
        <f>SUM(I121:I122)</f>
        <v>0</v>
      </c>
      <c r="J123" s="38"/>
      <c r="K123" s="38"/>
      <c r="L123" s="38"/>
      <c r="M123" s="38"/>
      <c r="N123" s="38"/>
      <c r="O123" s="38"/>
      <c r="P123" s="38"/>
      <c r="Q123" s="38"/>
      <c r="R123" s="39">
        <f>SUM(R121:R122)</f>
        <v>0</v>
      </c>
      <c r="S123" s="40">
        <f>SUM(S121:S122)</f>
        <v>0</v>
      </c>
      <c r="T123" s="41">
        <f>SUM(T121:T122)</f>
        <v>0</v>
      </c>
      <c r="U123" s="42">
        <f>SUM(U121:U122)</f>
        <v>0</v>
      </c>
      <c r="V123" s="159"/>
    </row>
    <row r="124" spans="1:31" ht="2.25" customHeight="1" thickTop="1" thickBot="1">
      <c r="A124" s="90"/>
      <c r="B124" s="43"/>
      <c r="C124" s="43"/>
      <c r="D124" s="43"/>
      <c r="E124" s="43"/>
      <c r="F124" s="44"/>
      <c r="G124" s="43"/>
      <c r="H124" s="44"/>
      <c r="I124" s="45"/>
      <c r="J124" s="44"/>
      <c r="K124" s="44"/>
      <c r="L124" s="44"/>
      <c r="M124" s="44"/>
      <c r="N124" s="44"/>
      <c r="O124" s="44"/>
      <c r="P124" s="44"/>
      <c r="Q124" s="44"/>
      <c r="R124" s="44"/>
      <c r="S124" s="46"/>
      <c r="T124" s="47"/>
      <c r="U124" s="48"/>
      <c r="V124" s="91"/>
    </row>
    <row r="125" spans="1:31" ht="26.25" customHeight="1" thickTop="1" thickBot="1">
      <c r="A125" s="92"/>
      <c r="B125" s="93" t="s">
        <v>17</v>
      </c>
      <c r="C125" s="93"/>
      <c r="D125" s="93"/>
      <c r="E125" s="170"/>
      <c r="F125" s="171"/>
      <c r="G125" s="170"/>
      <c r="H125" s="171"/>
      <c r="I125" s="49"/>
      <c r="J125" s="49"/>
      <c r="K125" s="49"/>
      <c r="L125" s="49"/>
      <c r="M125" s="49"/>
      <c r="N125" s="49"/>
      <c r="O125" s="49"/>
      <c r="P125" s="49"/>
      <c r="Q125" s="49"/>
      <c r="R125" s="50">
        <f>SUM(R123,R118)</f>
        <v>52413802</v>
      </c>
      <c r="S125" s="51">
        <f>SUM(S123,S118)</f>
        <v>21564598</v>
      </c>
      <c r="T125" s="94">
        <f>T118+T123</f>
        <v>-7454810</v>
      </c>
      <c r="U125" s="95">
        <f>SUM(U123,U118)</f>
        <v>478</v>
      </c>
      <c r="V125" s="96"/>
    </row>
    <row r="126" spans="1:31" ht="2.25" customHeight="1" thickTop="1">
      <c r="A126" s="137"/>
      <c r="B126" s="138"/>
      <c r="C126" s="138"/>
      <c r="D126" s="138"/>
      <c r="E126" s="138"/>
      <c r="F126" s="139"/>
      <c r="G126" s="138"/>
      <c r="H126" s="139"/>
      <c r="I126" s="140"/>
      <c r="J126" s="139"/>
      <c r="K126" s="139"/>
      <c r="L126" s="139"/>
      <c r="M126" s="139"/>
      <c r="N126" s="139"/>
      <c r="O126" s="139"/>
      <c r="P126" s="139"/>
      <c r="Q126" s="139"/>
      <c r="R126" s="139"/>
      <c r="S126" s="141"/>
      <c r="T126" s="142"/>
      <c r="U126" s="143"/>
      <c r="V126" s="144"/>
    </row>
    <row r="127" spans="1:31" ht="18.2" customHeight="1">
      <c r="A127" s="145"/>
      <c r="B127" s="146"/>
      <c r="C127" s="146"/>
      <c r="D127" s="146"/>
      <c r="E127" s="146"/>
      <c r="F127" s="128"/>
      <c r="G127" s="146"/>
      <c r="H127" s="128"/>
      <c r="I127" s="147"/>
      <c r="J127" s="128"/>
      <c r="K127" s="128"/>
      <c r="L127" s="128"/>
      <c r="M127" s="128"/>
      <c r="N127" s="128"/>
      <c r="O127" s="128"/>
      <c r="P127" s="128"/>
      <c r="Q127" s="128"/>
      <c r="R127" s="128"/>
      <c r="S127" s="148"/>
      <c r="T127" s="149"/>
      <c r="U127" s="150"/>
      <c r="V127" s="149"/>
    </row>
    <row r="128" spans="1:31" ht="18.2" customHeight="1">
      <c r="A128" s="339" t="s">
        <v>135</v>
      </c>
      <c r="B128" s="114"/>
      <c r="C128" s="115"/>
      <c r="D128" s="116"/>
      <c r="E128" s="172">
        <v>24160000</v>
      </c>
      <c r="F128" s="173"/>
      <c r="G128" s="174">
        <v>4427000</v>
      </c>
      <c r="H128" s="175"/>
      <c r="I128" s="117">
        <v>3996920</v>
      </c>
      <c r="J128" s="261">
        <v>0</v>
      </c>
      <c r="K128" s="261">
        <v>0</v>
      </c>
      <c r="L128" s="261">
        <v>0</v>
      </c>
      <c r="M128" s="261">
        <v>0</v>
      </c>
      <c r="N128" s="261">
        <v>0</v>
      </c>
      <c r="O128" s="261">
        <v>0</v>
      </c>
      <c r="P128" s="261">
        <v>0</v>
      </c>
      <c r="Q128" s="261">
        <v>0</v>
      </c>
      <c r="R128" s="119">
        <f>SUM(J128:Q128)</f>
        <v>0</v>
      </c>
      <c r="S128" s="120">
        <f>I128-R128</f>
        <v>3996920</v>
      </c>
      <c r="T128" s="121">
        <f>G128-I128</f>
        <v>430080</v>
      </c>
      <c r="U128" s="122">
        <v>0</v>
      </c>
      <c r="V128" s="123" t="e">
        <f>R128/U128</f>
        <v>#DIV/0!</v>
      </c>
      <c r="X128" s="261"/>
      <c r="Y128" s="261"/>
      <c r="Z128" s="261"/>
      <c r="AA128" s="261"/>
      <c r="AB128" s="261"/>
      <c r="AC128" s="261"/>
      <c r="AD128" s="261"/>
      <c r="AE128" s="261"/>
    </row>
    <row r="129" spans="1:31" ht="18.95" customHeight="1" thickBot="1">
      <c r="A129" s="113"/>
      <c r="B129" s="78" t="s">
        <v>34</v>
      </c>
      <c r="C129" s="79"/>
      <c r="D129" s="151"/>
      <c r="E129" s="180">
        <v>48320000</v>
      </c>
      <c r="F129" s="181"/>
      <c r="G129" s="182">
        <v>8854000</v>
      </c>
      <c r="H129" s="181"/>
      <c r="I129" s="135">
        <v>7993840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2">
        <f>SUM(R128:R128)</f>
        <v>0</v>
      </c>
      <c r="S129" s="32">
        <f>SUM(S128:S128)</f>
        <v>3996920</v>
      </c>
      <c r="T129" s="33">
        <f>SUM(T128:T128)</f>
        <v>430080</v>
      </c>
      <c r="U129" s="136">
        <f>SUM(U128:U128)</f>
        <v>0</v>
      </c>
      <c r="V129" s="34"/>
      <c r="X129" s="30"/>
      <c r="Y129" s="30"/>
      <c r="Z129" s="30"/>
      <c r="AA129" s="30"/>
      <c r="AB129" s="30"/>
      <c r="AC129" s="30"/>
      <c r="AD129" s="30"/>
      <c r="AE129" s="30"/>
    </row>
    <row r="130" spans="1:31" ht="18.2" customHeight="1" thickTop="1">
      <c r="A130" s="52"/>
      <c r="B130" s="176" t="s">
        <v>18</v>
      </c>
      <c r="C130" s="177"/>
      <c r="D130" s="134"/>
      <c r="E130" s="178">
        <f>SUM(E118,E123,E129)</f>
        <v>116519585</v>
      </c>
      <c r="F130" s="179"/>
      <c r="G130" s="178">
        <f>SUM(G118,G123,G129)</f>
        <v>75377590</v>
      </c>
      <c r="H130" s="179"/>
      <c r="I130" s="53">
        <f>SUM(I129,I123,I118)</f>
        <v>81972240</v>
      </c>
      <c r="J130" s="54">
        <f>SUM(J7:J128)</f>
        <v>199000</v>
      </c>
      <c r="K130" s="54">
        <f>SUM(K7:K128)</f>
        <v>26400</v>
      </c>
      <c r="L130" s="54">
        <f>SUM(L7:L128)</f>
        <v>12698555</v>
      </c>
      <c r="M130" s="54">
        <f>SUM(M7:M128)</f>
        <v>13463232</v>
      </c>
      <c r="N130" s="54">
        <f>SUM(N7:N128)</f>
        <v>12386249</v>
      </c>
      <c r="O130" s="54">
        <f>SUM(O7:O128)</f>
        <v>14441906</v>
      </c>
      <c r="P130" s="54">
        <f>SUM(P7:P128)</f>
        <v>-801540</v>
      </c>
      <c r="Q130" s="54">
        <f>SUM(Q7:Q128)</f>
        <v>0</v>
      </c>
      <c r="R130" s="54">
        <f>SUM(J130:Q130)</f>
        <v>52413802</v>
      </c>
      <c r="S130" s="55">
        <f>I130-R130</f>
        <v>29558438</v>
      </c>
      <c r="T130" s="56">
        <f>SUM(T129,T125)</f>
        <v>-7024730</v>
      </c>
      <c r="U130" s="57">
        <f>SUM(U129,U125)</f>
        <v>478</v>
      </c>
      <c r="V130" s="58"/>
      <c r="X130" s="54"/>
      <c r="Y130" s="54"/>
      <c r="Z130" s="54"/>
      <c r="AA130" s="54"/>
      <c r="AB130" s="54"/>
      <c r="AC130" s="54"/>
      <c r="AD130" s="54"/>
      <c r="AE130" s="54"/>
    </row>
    <row r="131" spans="1:31" ht="25.5" customHeight="1">
      <c r="A131" s="59"/>
      <c r="B131" s="59"/>
      <c r="C131" s="59"/>
      <c r="D131" s="59"/>
      <c r="E131" s="59"/>
      <c r="F131" s="60"/>
      <c r="G131" s="59"/>
      <c r="H131" s="60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2"/>
      <c r="T131" s="59"/>
      <c r="U131" s="59"/>
    </row>
    <row r="132" spans="1:31" ht="6" customHeight="1"/>
    <row r="133" spans="1:31" ht="18" customHeight="1">
      <c r="A133" s="13" t="s">
        <v>19</v>
      </c>
    </row>
    <row r="134" spans="1:31" ht="18" customHeight="1">
      <c r="A134" s="167" t="s">
        <v>20</v>
      </c>
      <c r="B134" s="167"/>
      <c r="C134" s="167"/>
      <c r="D134" s="167"/>
      <c r="E134" s="167"/>
      <c r="F134" s="167"/>
      <c r="G134" s="167"/>
      <c r="H134" s="167"/>
      <c r="I134" s="167"/>
      <c r="J134" s="167"/>
      <c r="K134" s="167"/>
      <c r="L134" s="167"/>
      <c r="M134" s="167"/>
      <c r="N134" s="167"/>
      <c r="O134" s="167"/>
      <c r="P134" s="167"/>
      <c r="Q134" s="167"/>
    </row>
    <row r="135" spans="1:31" ht="18" customHeight="1">
      <c r="A135" s="167" t="s">
        <v>21</v>
      </c>
      <c r="B135" s="167"/>
      <c r="C135" s="167"/>
      <c r="D135" s="167"/>
      <c r="E135" s="167"/>
      <c r="F135" s="167"/>
    </row>
    <row r="136" spans="1:31" ht="18" customHeight="1">
      <c r="A136" s="167" t="s">
        <v>22</v>
      </c>
      <c r="B136" s="167"/>
      <c r="C136" s="167"/>
      <c r="D136" s="167"/>
      <c r="E136" s="167"/>
      <c r="F136" s="167"/>
    </row>
  </sheetData>
  <mergeCells count="285">
    <mergeCell ref="A115:A117"/>
    <mergeCell ref="A71:A81"/>
    <mergeCell ref="A82:A84"/>
    <mergeCell ref="A85:A93"/>
    <mergeCell ref="A94:A99"/>
    <mergeCell ref="A100:A102"/>
    <mergeCell ref="A103:A114"/>
    <mergeCell ref="A7:A30"/>
    <mergeCell ref="A31:A37"/>
    <mergeCell ref="A38:A42"/>
    <mergeCell ref="A43:A58"/>
    <mergeCell ref="A59:A63"/>
    <mergeCell ref="A64:A70"/>
    <mergeCell ref="E117:F117"/>
    <mergeCell ref="G117:H117"/>
    <mergeCell ref="J1:N1"/>
    <mergeCell ref="J2:N2"/>
    <mergeCell ref="J3:N3"/>
    <mergeCell ref="E114:F114"/>
    <mergeCell ref="G114:H114"/>
    <mergeCell ref="E115:F115"/>
    <mergeCell ref="G115:H115"/>
    <mergeCell ref="E116:F116"/>
    <mergeCell ref="G116:H116"/>
    <mergeCell ref="E111:F111"/>
    <mergeCell ref="G111:H111"/>
    <mergeCell ref="E112:F112"/>
    <mergeCell ref="G112:H112"/>
    <mergeCell ref="E113:F113"/>
    <mergeCell ref="G113:H113"/>
    <mergeCell ref="E108:F108"/>
    <mergeCell ref="G108:H108"/>
    <mergeCell ref="E109:F109"/>
    <mergeCell ref="G109:H109"/>
    <mergeCell ref="E110:F110"/>
    <mergeCell ref="G110:H110"/>
    <mergeCell ref="E105:F105"/>
    <mergeCell ref="G105:H105"/>
    <mergeCell ref="E106:F106"/>
    <mergeCell ref="G106:H106"/>
    <mergeCell ref="E107:F107"/>
    <mergeCell ref="G107:H107"/>
    <mergeCell ref="E102:F102"/>
    <mergeCell ref="G102:H102"/>
    <mergeCell ref="E103:F103"/>
    <mergeCell ref="G103:H103"/>
    <mergeCell ref="E104:F104"/>
    <mergeCell ref="G104:H104"/>
    <mergeCell ref="E99:F99"/>
    <mergeCell ref="G99:H99"/>
    <mergeCell ref="E100:F100"/>
    <mergeCell ref="G100:H100"/>
    <mergeCell ref="E101:F101"/>
    <mergeCell ref="G101:H101"/>
    <mergeCell ref="E96:F96"/>
    <mergeCell ref="G96:H96"/>
    <mergeCell ref="E97:F97"/>
    <mergeCell ref="G97:H97"/>
    <mergeCell ref="E98:F98"/>
    <mergeCell ref="G98:H98"/>
    <mergeCell ref="E93:F93"/>
    <mergeCell ref="G93:H93"/>
    <mergeCell ref="E94:F94"/>
    <mergeCell ref="G94:H94"/>
    <mergeCell ref="E95:F95"/>
    <mergeCell ref="G95:H95"/>
    <mergeCell ref="E90:F90"/>
    <mergeCell ref="G90:H90"/>
    <mergeCell ref="E91:F91"/>
    <mergeCell ref="G91:H91"/>
    <mergeCell ref="E92:F92"/>
    <mergeCell ref="G92:H92"/>
    <mergeCell ref="E87:F87"/>
    <mergeCell ref="G87:H87"/>
    <mergeCell ref="E88:F88"/>
    <mergeCell ref="G88:H88"/>
    <mergeCell ref="E89:F89"/>
    <mergeCell ref="G89:H89"/>
    <mergeCell ref="E84:F84"/>
    <mergeCell ref="G84:H84"/>
    <mergeCell ref="E85:F85"/>
    <mergeCell ref="G85:H85"/>
    <mergeCell ref="E86:F86"/>
    <mergeCell ref="G86:H86"/>
    <mergeCell ref="E81:F81"/>
    <mergeCell ref="G81:H81"/>
    <mergeCell ref="E82:F82"/>
    <mergeCell ref="G82:H82"/>
    <mergeCell ref="E83:F83"/>
    <mergeCell ref="G83:H83"/>
    <mergeCell ref="E78:F78"/>
    <mergeCell ref="G78:H78"/>
    <mergeCell ref="E79:F79"/>
    <mergeCell ref="G79:H79"/>
    <mergeCell ref="E80:F80"/>
    <mergeCell ref="G80:H80"/>
    <mergeCell ref="E75:F75"/>
    <mergeCell ref="G75:H75"/>
    <mergeCell ref="E76:F76"/>
    <mergeCell ref="G76:H76"/>
    <mergeCell ref="E77:F77"/>
    <mergeCell ref="G77:H77"/>
    <mergeCell ref="E72:F72"/>
    <mergeCell ref="G72:H72"/>
    <mergeCell ref="E73:F73"/>
    <mergeCell ref="G73:H73"/>
    <mergeCell ref="E74:F74"/>
    <mergeCell ref="G74:H74"/>
    <mergeCell ref="E69:F69"/>
    <mergeCell ref="G69:H69"/>
    <mergeCell ref="E70:F70"/>
    <mergeCell ref="G70:H70"/>
    <mergeCell ref="E71:F71"/>
    <mergeCell ref="G71:H71"/>
    <mergeCell ref="E66:F66"/>
    <mergeCell ref="G66:H66"/>
    <mergeCell ref="E67:F67"/>
    <mergeCell ref="G67:H67"/>
    <mergeCell ref="E68:F68"/>
    <mergeCell ref="G68:H68"/>
    <mergeCell ref="E63:F63"/>
    <mergeCell ref="G63:H63"/>
    <mergeCell ref="E64:F64"/>
    <mergeCell ref="G64:H64"/>
    <mergeCell ref="E65:F65"/>
    <mergeCell ref="G65:H65"/>
    <mergeCell ref="E60:F60"/>
    <mergeCell ref="G60:H60"/>
    <mergeCell ref="E61:F61"/>
    <mergeCell ref="G61:H61"/>
    <mergeCell ref="E62:F62"/>
    <mergeCell ref="G62:H62"/>
    <mergeCell ref="E57:F57"/>
    <mergeCell ref="G57:H57"/>
    <mergeCell ref="E58:F58"/>
    <mergeCell ref="G58:H58"/>
    <mergeCell ref="E59:F59"/>
    <mergeCell ref="G59:H59"/>
    <mergeCell ref="E54:F54"/>
    <mergeCell ref="G54:H54"/>
    <mergeCell ref="E55:F55"/>
    <mergeCell ref="G55:H55"/>
    <mergeCell ref="E56:F56"/>
    <mergeCell ref="G56:H56"/>
    <mergeCell ref="E51:F51"/>
    <mergeCell ref="G51:H51"/>
    <mergeCell ref="E52:F52"/>
    <mergeCell ref="G52:H52"/>
    <mergeCell ref="E53:F53"/>
    <mergeCell ref="G53:H53"/>
    <mergeCell ref="E48:F48"/>
    <mergeCell ref="G48:H48"/>
    <mergeCell ref="E49:F49"/>
    <mergeCell ref="G49:H49"/>
    <mergeCell ref="E50:F50"/>
    <mergeCell ref="G50:H50"/>
    <mergeCell ref="E45:F45"/>
    <mergeCell ref="G45:H45"/>
    <mergeCell ref="E46:F46"/>
    <mergeCell ref="G46:H46"/>
    <mergeCell ref="E47:F47"/>
    <mergeCell ref="G47:H47"/>
    <mergeCell ref="E42:F42"/>
    <mergeCell ref="G42:H42"/>
    <mergeCell ref="E43:F43"/>
    <mergeCell ref="G43:H43"/>
    <mergeCell ref="E44:F44"/>
    <mergeCell ref="G44:H44"/>
    <mergeCell ref="E39:F39"/>
    <mergeCell ref="G39:H39"/>
    <mergeCell ref="E40:F40"/>
    <mergeCell ref="G40:H40"/>
    <mergeCell ref="E41:F41"/>
    <mergeCell ref="G41:H41"/>
    <mergeCell ref="E36:F36"/>
    <mergeCell ref="G36:H36"/>
    <mergeCell ref="E37:F37"/>
    <mergeCell ref="G37:H37"/>
    <mergeCell ref="E38:F38"/>
    <mergeCell ref="G38:H38"/>
    <mergeCell ref="E33:F33"/>
    <mergeCell ref="G33:H33"/>
    <mergeCell ref="E34:F34"/>
    <mergeCell ref="G34:H34"/>
    <mergeCell ref="E35:F35"/>
    <mergeCell ref="G35:H35"/>
    <mergeCell ref="E30:F30"/>
    <mergeCell ref="G30:H30"/>
    <mergeCell ref="E31:F31"/>
    <mergeCell ref="G31:H31"/>
    <mergeCell ref="E32:F32"/>
    <mergeCell ref="G32:H32"/>
    <mergeCell ref="E27:F27"/>
    <mergeCell ref="G27:H27"/>
    <mergeCell ref="E28:F28"/>
    <mergeCell ref="G28:H28"/>
    <mergeCell ref="E29:F29"/>
    <mergeCell ref="G29:H29"/>
    <mergeCell ref="E24:F24"/>
    <mergeCell ref="G24:H24"/>
    <mergeCell ref="E25:F25"/>
    <mergeCell ref="G25:H25"/>
    <mergeCell ref="E26:F26"/>
    <mergeCell ref="G26:H26"/>
    <mergeCell ref="E21:F21"/>
    <mergeCell ref="G21:H21"/>
    <mergeCell ref="E22:F22"/>
    <mergeCell ref="G22:H22"/>
    <mergeCell ref="E23:F23"/>
    <mergeCell ref="G23:H23"/>
    <mergeCell ref="E18:F18"/>
    <mergeCell ref="G18:H18"/>
    <mergeCell ref="E19:F19"/>
    <mergeCell ref="G19:H19"/>
    <mergeCell ref="E20:F20"/>
    <mergeCell ref="G20:H20"/>
    <mergeCell ref="E15:F15"/>
    <mergeCell ref="G15:H15"/>
    <mergeCell ref="E16:F16"/>
    <mergeCell ref="G16:H16"/>
    <mergeCell ref="E17:F17"/>
    <mergeCell ref="G17:H17"/>
    <mergeCell ref="E12:F12"/>
    <mergeCell ref="G12:H12"/>
    <mergeCell ref="E13:F13"/>
    <mergeCell ref="G13:H13"/>
    <mergeCell ref="E14:F14"/>
    <mergeCell ref="G14:H14"/>
    <mergeCell ref="A135:F135"/>
    <mergeCell ref="A136:F136"/>
    <mergeCell ref="E8:F8"/>
    <mergeCell ref="G8:H8"/>
    <mergeCell ref="E9:F9"/>
    <mergeCell ref="G9:H9"/>
    <mergeCell ref="E10:F10"/>
    <mergeCell ref="G10:H10"/>
    <mergeCell ref="E11:F11"/>
    <mergeCell ref="G11:H11"/>
    <mergeCell ref="E129:F129"/>
    <mergeCell ref="G129:H129"/>
    <mergeCell ref="B130:C130"/>
    <mergeCell ref="E130:F130"/>
    <mergeCell ref="G130:H130"/>
    <mergeCell ref="A134:Q134"/>
    <mergeCell ref="E125:F125"/>
    <mergeCell ref="G125:H125"/>
    <mergeCell ref="E128:F128"/>
    <mergeCell ref="G128:H128"/>
    <mergeCell ref="E121:F121"/>
    <mergeCell ref="G121:H121"/>
    <mergeCell ref="E122:F122"/>
    <mergeCell ref="G122:H122"/>
    <mergeCell ref="E123:F123"/>
    <mergeCell ref="G123:H123"/>
    <mergeCell ref="E118:F118"/>
    <mergeCell ref="G118:H118"/>
    <mergeCell ref="A119:V119"/>
    <mergeCell ref="E120:F120"/>
    <mergeCell ref="G120:H120"/>
    <mergeCell ref="R5:R6"/>
    <mergeCell ref="S5:S6"/>
    <mergeCell ref="T5:T6"/>
    <mergeCell ref="U5:U6"/>
    <mergeCell ref="V5:V6"/>
    <mergeCell ref="E7:F7"/>
    <mergeCell ref="G7:H7"/>
    <mergeCell ref="A5:B6"/>
    <mergeCell ref="C5:C6"/>
    <mergeCell ref="D5:D6"/>
    <mergeCell ref="E5:F6"/>
    <mergeCell ref="G5:H6"/>
    <mergeCell ref="I5:I6"/>
    <mergeCell ref="A3:B3"/>
    <mergeCell ref="C3:H3"/>
    <mergeCell ref="A4:B4"/>
    <mergeCell ref="C4:F4"/>
    <mergeCell ref="G4:H4"/>
    <mergeCell ref="J4:Q4"/>
    <mergeCell ref="A1:B1"/>
    <mergeCell ref="C1:H1"/>
    <mergeCell ref="R1:S4"/>
    <mergeCell ref="T1:V1"/>
    <mergeCell ref="A2:B2"/>
    <mergeCell ref="C2:H2"/>
    <mergeCell ref="T2:V4"/>
  </mergeCells>
  <phoneticPr fontId="2"/>
  <pageMargins left="0.7" right="0.7" top="0.75" bottom="0.75" header="0.3" footer="0.3"/>
  <pageSetup paperSize="9" scale="43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E0BBF-88F2-4E49-9735-995B1EDF65D3}">
  <sheetPr codeName="Sheet13"/>
  <dimension ref="A1:AE144"/>
  <sheetViews>
    <sheetView view="pageBreakPreview" zoomScaleNormal="100" zoomScaleSheetLayoutView="100" workbookViewId="0">
      <pane xSplit="2" ySplit="6" topLeftCell="C125" activePane="bottomRight" state="frozen"/>
      <selection pane="topRight" activeCell="C1" sqref="C1"/>
      <selection pane="bottomLeft" activeCell="A9" sqref="A9"/>
      <selection pane="bottomRight" activeCell="D135" sqref="D135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63" customWidth="1"/>
    <col min="7" max="7" width="7.625" style="13" customWidth="1"/>
    <col min="8" max="8" width="7.625" style="63" customWidth="1"/>
    <col min="9" max="9" width="15.375" style="64" customWidth="1"/>
    <col min="10" max="18" width="8.625" style="64" customWidth="1"/>
    <col min="19" max="19" width="8.625" style="65" customWidth="1"/>
    <col min="20" max="20" width="11.125" style="13" customWidth="1"/>
    <col min="21" max="21" width="8.625" style="13" customWidth="1"/>
    <col min="22" max="22" width="8.625" style="7" customWidth="1"/>
    <col min="23" max="260" width="9" style="7"/>
    <col min="261" max="261" width="8.625" style="7" customWidth="1"/>
    <col min="262" max="262" width="19.625" style="7" customWidth="1"/>
    <col min="263" max="263" width="8.625" style="7" customWidth="1"/>
    <col min="264" max="265" width="7.625" style="7" customWidth="1"/>
    <col min="266" max="266" width="11.125" style="7" customWidth="1"/>
    <col min="267" max="275" width="8.625" style="7" customWidth="1"/>
    <col min="276" max="276" width="11.125" style="7" customWidth="1"/>
    <col min="277" max="278" width="8.625" style="7" customWidth="1"/>
    <col min="279" max="516" width="9" style="7"/>
    <col min="517" max="517" width="8.625" style="7" customWidth="1"/>
    <col min="518" max="518" width="19.625" style="7" customWidth="1"/>
    <col min="519" max="519" width="8.625" style="7" customWidth="1"/>
    <col min="520" max="521" width="7.625" style="7" customWidth="1"/>
    <col min="522" max="522" width="11.125" style="7" customWidth="1"/>
    <col min="523" max="531" width="8.625" style="7" customWidth="1"/>
    <col min="532" max="532" width="11.125" style="7" customWidth="1"/>
    <col min="533" max="534" width="8.625" style="7" customWidth="1"/>
    <col min="535" max="772" width="9" style="7"/>
    <col min="773" max="773" width="8.625" style="7" customWidth="1"/>
    <col min="774" max="774" width="19.625" style="7" customWidth="1"/>
    <col min="775" max="775" width="8.625" style="7" customWidth="1"/>
    <col min="776" max="777" width="7.625" style="7" customWidth="1"/>
    <col min="778" max="778" width="11.125" style="7" customWidth="1"/>
    <col min="779" max="787" width="8.625" style="7" customWidth="1"/>
    <col min="788" max="788" width="11.125" style="7" customWidth="1"/>
    <col min="789" max="790" width="8.625" style="7" customWidth="1"/>
    <col min="791" max="1028" width="9" style="7"/>
    <col min="1029" max="1029" width="8.625" style="7" customWidth="1"/>
    <col min="1030" max="1030" width="19.625" style="7" customWidth="1"/>
    <col min="1031" max="1031" width="8.625" style="7" customWidth="1"/>
    <col min="1032" max="1033" width="7.625" style="7" customWidth="1"/>
    <col min="1034" max="1034" width="11.125" style="7" customWidth="1"/>
    <col min="1035" max="1043" width="8.625" style="7" customWidth="1"/>
    <col min="1044" max="1044" width="11.125" style="7" customWidth="1"/>
    <col min="1045" max="1046" width="8.625" style="7" customWidth="1"/>
    <col min="1047" max="1284" width="9" style="7"/>
    <col min="1285" max="1285" width="8.625" style="7" customWidth="1"/>
    <col min="1286" max="1286" width="19.625" style="7" customWidth="1"/>
    <col min="1287" max="1287" width="8.625" style="7" customWidth="1"/>
    <col min="1288" max="1289" width="7.625" style="7" customWidth="1"/>
    <col min="1290" max="1290" width="11.125" style="7" customWidth="1"/>
    <col min="1291" max="1299" width="8.625" style="7" customWidth="1"/>
    <col min="1300" max="1300" width="11.125" style="7" customWidth="1"/>
    <col min="1301" max="1302" width="8.625" style="7" customWidth="1"/>
    <col min="1303" max="1540" width="9" style="7"/>
    <col min="1541" max="1541" width="8.625" style="7" customWidth="1"/>
    <col min="1542" max="1542" width="19.625" style="7" customWidth="1"/>
    <col min="1543" max="1543" width="8.625" style="7" customWidth="1"/>
    <col min="1544" max="1545" width="7.625" style="7" customWidth="1"/>
    <col min="1546" max="1546" width="11.125" style="7" customWidth="1"/>
    <col min="1547" max="1555" width="8.625" style="7" customWidth="1"/>
    <col min="1556" max="1556" width="11.125" style="7" customWidth="1"/>
    <col min="1557" max="1558" width="8.625" style="7" customWidth="1"/>
    <col min="1559" max="1796" width="9" style="7"/>
    <col min="1797" max="1797" width="8.625" style="7" customWidth="1"/>
    <col min="1798" max="1798" width="19.625" style="7" customWidth="1"/>
    <col min="1799" max="1799" width="8.625" style="7" customWidth="1"/>
    <col min="1800" max="1801" width="7.625" style="7" customWidth="1"/>
    <col min="1802" max="1802" width="11.125" style="7" customWidth="1"/>
    <col min="1803" max="1811" width="8.625" style="7" customWidth="1"/>
    <col min="1812" max="1812" width="11.125" style="7" customWidth="1"/>
    <col min="1813" max="1814" width="8.625" style="7" customWidth="1"/>
    <col min="1815" max="2052" width="9" style="7"/>
    <col min="2053" max="2053" width="8.625" style="7" customWidth="1"/>
    <col min="2054" max="2054" width="19.625" style="7" customWidth="1"/>
    <col min="2055" max="2055" width="8.625" style="7" customWidth="1"/>
    <col min="2056" max="2057" width="7.625" style="7" customWidth="1"/>
    <col min="2058" max="2058" width="11.125" style="7" customWidth="1"/>
    <col min="2059" max="2067" width="8.625" style="7" customWidth="1"/>
    <col min="2068" max="2068" width="11.125" style="7" customWidth="1"/>
    <col min="2069" max="2070" width="8.625" style="7" customWidth="1"/>
    <col min="2071" max="2308" width="9" style="7"/>
    <col min="2309" max="2309" width="8.625" style="7" customWidth="1"/>
    <col min="2310" max="2310" width="19.625" style="7" customWidth="1"/>
    <col min="2311" max="2311" width="8.625" style="7" customWidth="1"/>
    <col min="2312" max="2313" width="7.625" style="7" customWidth="1"/>
    <col min="2314" max="2314" width="11.125" style="7" customWidth="1"/>
    <col min="2315" max="2323" width="8.625" style="7" customWidth="1"/>
    <col min="2324" max="2324" width="11.125" style="7" customWidth="1"/>
    <col min="2325" max="2326" width="8.625" style="7" customWidth="1"/>
    <col min="2327" max="2564" width="9" style="7"/>
    <col min="2565" max="2565" width="8.625" style="7" customWidth="1"/>
    <col min="2566" max="2566" width="19.625" style="7" customWidth="1"/>
    <col min="2567" max="2567" width="8.625" style="7" customWidth="1"/>
    <col min="2568" max="2569" width="7.625" style="7" customWidth="1"/>
    <col min="2570" max="2570" width="11.125" style="7" customWidth="1"/>
    <col min="2571" max="2579" width="8.625" style="7" customWidth="1"/>
    <col min="2580" max="2580" width="11.125" style="7" customWidth="1"/>
    <col min="2581" max="2582" width="8.625" style="7" customWidth="1"/>
    <col min="2583" max="2820" width="9" style="7"/>
    <col min="2821" max="2821" width="8.625" style="7" customWidth="1"/>
    <col min="2822" max="2822" width="19.625" style="7" customWidth="1"/>
    <col min="2823" max="2823" width="8.625" style="7" customWidth="1"/>
    <col min="2824" max="2825" width="7.625" style="7" customWidth="1"/>
    <col min="2826" max="2826" width="11.125" style="7" customWidth="1"/>
    <col min="2827" max="2835" width="8.625" style="7" customWidth="1"/>
    <col min="2836" max="2836" width="11.125" style="7" customWidth="1"/>
    <col min="2837" max="2838" width="8.625" style="7" customWidth="1"/>
    <col min="2839" max="3076" width="9" style="7"/>
    <col min="3077" max="3077" width="8.625" style="7" customWidth="1"/>
    <col min="3078" max="3078" width="19.625" style="7" customWidth="1"/>
    <col min="3079" max="3079" width="8.625" style="7" customWidth="1"/>
    <col min="3080" max="3081" width="7.625" style="7" customWidth="1"/>
    <col min="3082" max="3082" width="11.125" style="7" customWidth="1"/>
    <col min="3083" max="3091" width="8.625" style="7" customWidth="1"/>
    <col min="3092" max="3092" width="11.125" style="7" customWidth="1"/>
    <col min="3093" max="3094" width="8.625" style="7" customWidth="1"/>
    <col min="3095" max="3332" width="9" style="7"/>
    <col min="3333" max="3333" width="8.625" style="7" customWidth="1"/>
    <col min="3334" max="3334" width="19.625" style="7" customWidth="1"/>
    <col min="3335" max="3335" width="8.625" style="7" customWidth="1"/>
    <col min="3336" max="3337" width="7.625" style="7" customWidth="1"/>
    <col min="3338" max="3338" width="11.125" style="7" customWidth="1"/>
    <col min="3339" max="3347" width="8.625" style="7" customWidth="1"/>
    <col min="3348" max="3348" width="11.125" style="7" customWidth="1"/>
    <col min="3349" max="3350" width="8.625" style="7" customWidth="1"/>
    <col min="3351" max="3588" width="9" style="7"/>
    <col min="3589" max="3589" width="8.625" style="7" customWidth="1"/>
    <col min="3590" max="3590" width="19.625" style="7" customWidth="1"/>
    <col min="3591" max="3591" width="8.625" style="7" customWidth="1"/>
    <col min="3592" max="3593" width="7.625" style="7" customWidth="1"/>
    <col min="3594" max="3594" width="11.125" style="7" customWidth="1"/>
    <col min="3595" max="3603" width="8.625" style="7" customWidth="1"/>
    <col min="3604" max="3604" width="11.125" style="7" customWidth="1"/>
    <col min="3605" max="3606" width="8.625" style="7" customWidth="1"/>
    <col min="3607" max="3844" width="9" style="7"/>
    <col min="3845" max="3845" width="8.625" style="7" customWidth="1"/>
    <col min="3846" max="3846" width="19.625" style="7" customWidth="1"/>
    <col min="3847" max="3847" width="8.625" style="7" customWidth="1"/>
    <col min="3848" max="3849" width="7.625" style="7" customWidth="1"/>
    <col min="3850" max="3850" width="11.125" style="7" customWidth="1"/>
    <col min="3851" max="3859" width="8.625" style="7" customWidth="1"/>
    <col min="3860" max="3860" width="11.125" style="7" customWidth="1"/>
    <col min="3861" max="3862" width="8.625" style="7" customWidth="1"/>
    <col min="3863" max="4100" width="9" style="7"/>
    <col min="4101" max="4101" width="8.625" style="7" customWidth="1"/>
    <col min="4102" max="4102" width="19.625" style="7" customWidth="1"/>
    <col min="4103" max="4103" width="8.625" style="7" customWidth="1"/>
    <col min="4104" max="4105" width="7.625" style="7" customWidth="1"/>
    <col min="4106" max="4106" width="11.125" style="7" customWidth="1"/>
    <col min="4107" max="4115" width="8.625" style="7" customWidth="1"/>
    <col min="4116" max="4116" width="11.125" style="7" customWidth="1"/>
    <col min="4117" max="4118" width="8.625" style="7" customWidth="1"/>
    <col min="4119" max="4356" width="9" style="7"/>
    <col min="4357" max="4357" width="8.625" style="7" customWidth="1"/>
    <col min="4358" max="4358" width="19.625" style="7" customWidth="1"/>
    <col min="4359" max="4359" width="8.625" style="7" customWidth="1"/>
    <col min="4360" max="4361" width="7.625" style="7" customWidth="1"/>
    <col min="4362" max="4362" width="11.125" style="7" customWidth="1"/>
    <col min="4363" max="4371" width="8.625" style="7" customWidth="1"/>
    <col min="4372" max="4372" width="11.125" style="7" customWidth="1"/>
    <col min="4373" max="4374" width="8.625" style="7" customWidth="1"/>
    <col min="4375" max="4612" width="9" style="7"/>
    <col min="4613" max="4613" width="8.625" style="7" customWidth="1"/>
    <col min="4614" max="4614" width="19.625" style="7" customWidth="1"/>
    <col min="4615" max="4615" width="8.625" style="7" customWidth="1"/>
    <col min="4616" max="4617" width="7.625" style="7" customWidth="1"/>
    <col min="4618" max="4618" width="11.125" style="7" customWidth="1"/>
    <col min="4619" max="4627" width="8.625" style="7" customWidth="1"/>
    <col min="4628" max="4628" width="11.125" style="7" customWidth="1"/>
    <col min="4629" max="4630" width="8.625" style="7" customWidth="1"/>
    <col min="4631" max="4868" width="9" style="7"/>
    <col min="4869" max="4869" width="8.625" style="7" customWidth="1"/>
    <col min="4870" max="4870" width="19.625" style="7" customWidth="1"/>
    <col min="4871" max="4871" width="8.625" style="7" customWidth="1"/>
    <col min="4872" max="4873" width="7.625" style="7" customWidth="1"/>
    <col min="4874" max="4874" width="11.125" style="7" customWidth="1"/>
    <col min="4875" max="4883" width="8.625" style="7" customWidth="1"/>
    <col min="4884" max="4884" width="11.125" style="7" customWidth="1"/>
    <col min="4885" max="4886" width="8.625" style="7" customWidth="1"/>
    <col min="4887" max="5124" width="9" style="7"/>
    <col min="5125" max="5125" width="8.625" style="7" customWidth="1"/>
    <col min="5126" max="5126" width="19.625" style="7" customWidth="1"/>
    <col min="5127" max="5127" width="8.625" style="7" customWidth="1"/>
    <col min="5128" max="5129" width="7.625" style="7" customWidth="1"/>
    <col min="5130" max="5130" width="11.125" style="7" customWidth="1"/>
    <col min="5131" max="5139" width="8.625" style="7" customWidth="1"/>
    <col min="5140" max="5140" width="11.125" style="7" customWidth="1"/>
    <col min="5141" max="5142" width="8.625" style="7" customWidth="1"/>
    <col min="5143" max="5380" width="9" style="7"/>
    <col min="5381" max="5381" width="8.625" style="7" customWidth="1"/>
    <col min="5382" max="5382" width="19.625" style="7" customWidth="1"/>
    <col min="5383" max="5383" width="8.625" style="7" customWidth="1"/>
    <col min="5384" max="5385" width="7.625" style="7" customWidth="1"/>
    <col min="5386" max="5386" width="11.125" style="7" customWidth="1"/>
    <col min="5387" max="5395" width="8.625" style="7" customWidth="1"/>
    <col min="5396" max="5396" width="11.125" style="7" customWidth="1"/>
    <col min="5397" max="5398" width="8.625" style="7" customWidth="1"/>
    <col min="5399" max="5636" width="9" style="7"/>
    <col min="5637" max="5637" width="8.625" style="7" customWidth="1"/>
    <col min="5638" max="5638" width="19.625" style="7" customWidth="1"/>
    <col min="5639" max="5639" width="8.625" style="7" customWidth="1"/>
    <col min="5640" max="5641" width="7.625" style="7" customWidth="1"/>
    <col min="5642" max="5642" width="11.125" style="7" customWidth="1"/>
    <col min="5643" max="5651" width="8.625" style="7" customWidth="1"/>
    <col min="5652" max="5652" width="11.125" style="7" customWidth="1"/>
    <col min="5653" max="5654" width="8.625" style="7" customWidth="1"/>
    <col min="5655" max="5892" width="9" style="7"/>
    <col min="5893" max="5893" width="8.625" style="7" customWidth="1"/>
    <col min="5894" max="5894" width="19.625" style="7" customWidth="1"/>
    <col min="5895" max="5895" width="8.625" style="7" customWidth="1"/>
    <col min="5896" max="5897" width="7.625" style="7" customWidth="1"/>
    <col min="5898" max="5898" width="11.125" style="7" customWidth="1"/>
    <col min="5899" max="5907" width="8.625" style="7" customWidth="1"/>
    <col min="5908" max="5908" width="11.125" style="7" customWidth="1"/>
    <col min="5909" max="5910" width="8.625" style="7" customWidth="1"/>
    <col min="5911" max="6148" width="9" style="7"/>
    <col min="6149" max="6149" width="8.625" style="7" customWidth="1"/>
    <col min="6150" max="6150" width="19.625" style="7" customWidth="1"/>
    <col min="6151" max="6151" width="8.625" style="7" customWidth="1"/>
    <col min="6152" max="6153" width="7.625" style="7" customWidth="1"/>
    <col min="6154" max="6154" width="11.125" style="7" customWidth="1"/>
    <col min="6155" max="6163" width="8.625" style="7" customWidth="1"/>
    <col min="6164" max="6164" width="11.125" style="7" customWidth="1"/>
    <col min="6165" max="6166" width="8.625" style="7" customWidth="1"/>
    <col min="6167" max="6404" width="9" style="7"/>
    <col min="6405" max="6405" width="8.625" style="7" customWidth="1"/>
    <col min="6406" max="6406" width="19.625" style="7" customWidth="1"/>
    <col min="6407" max="6407" width="8.625" style="7" customWidth="1"/>
    <col min="6408" max="6409" width="7.625" style="7" customWidth="1"/>
    <col min="6410" max="6410" width="11.125" style="7" customWidth="1"/>
    <col min="6411" max="6419" width="8.625" style="7" customWidth="1"/>
    <col min="6420" max="6420" width="11.125" style="7" customWidth="1"/>
    <col min="6421" max="6422" width="8.625" style="7" customWidth="1"/>
    <col min="6423" max="6660" width="9" style="7"/>
    <col min="6661" max="6661" width="8.625" style="7" customWidth="1"/>
    <col min="6662" max="6662" width="19.625" style="7" customWidth="1"/>
    <col min="6663" max="6663" width="8.625" style="7" customWidth="1"/>
    <col min="6664" max="6665" width="7.625" style="7" customWidth="1"/>
    <col min="6666" max="6666" width="11.125" style="7" customWidth="1"/>
    <col min="6667" max="6675" width="8.625" style="7" customWidth="1"/>
    <col min="6676" max="6676" width="11.125" style="7" customWidth="1"/>
    <col min="6677" max="6678" width="8.625" style="7" customWidth="1"/>
    <col min="6679" max="6916" width="9" style="7"/>
    <col min="6917" max="6917" width="8.625" style="7" customWidth="1"/>
    <col min="6918" max="6918" width="19.625" style="7" customWidth="1"/>
    <col min="6919" max="6919" width="8.625" style="7" customWidth="1"/>
    <col min="6920" max="6921" width="7.625" style="7" customWidth="1"/>
    <col min="6922" max="6922" width="11.125" style="7" customWidth="1"/>
    <col min="6923" max="6931" width="8.625" style="7" customWidth="1"/>
    <col min="6932" max="6932" width="11.125" style="7" customWidth="1"/>
    <col min="6933" max="6934" width="8.625" style="7" customWidth="1"/>
    <col min="6935" max="7172" width="9" style="7"/>
    <col min="7173" max="7173" width="8.625" style="7" customWidth="1"/>
    <col min="7174" max="7174" width="19.625" style="7" customWidth="1"/>
    <col min="7175" max="7175" width="8.625" style="7" customWidth="1"/>
    <col min="7176" max="7177" width="7.625" style="7" customWidth="1"/>
    <col min="7178" max="7178" width="11.125" style="7" customWidth="1"/>
    <col min="7179" max="7187" width="8.625" style="7" customWidth="1"/>
    <col min="7188" max="7188" width="11.125" style="7" customWidth="1"/>
    <col min="7189" max="7190" width="8.625" style="7" customWidth="1"/>
    <col min="7191" max="7428" width="9" style="7"/>
    <col min="7429" max="7429" width="8.625" style="7" customWidth="1"/>
    <col min="7430" max="7430" width="19.625" style="7" customWidth="1"/>
    <col min="7431" max="7431" width="8.625" style="7" customWidth="1"/>
    <col min="7432" max="7433" width="7.625" style="7" customWidth="1"/>
    <col min="7434" max="7434" width="11.125" style="7" customWidth="1"/>
    <col min="7435" max="7443" width="8.625" style="7" customWidth="1"/>
    <col min="7444" max="7444" width="11.125" style="7" customWidth="1"/>
    <col min="7445" max="7446" width="8.625" style="7" customWidth="1"/>
    <col min="7447" max="7684" width="9" style="7"/>
    <col min="7685" max="7685" width="8.625" style="7" customWidth="1"/>
    <col min="7686" max="7686" width="19.625" style="7" customWidth="1"/>
    <col min="7687" max="7687" width="8.625" style="7" customWidth="1"/>
    <col min="7688" max="7689" width="7.625" style="7" customWidth="1"/>
    <col min="7690" max="7690" width="11.125" style="7" customWidth="1"/>
    <col min="7691" max="7699" width="8.625" style="7" customWidth="1"/>
    <col min="7700" max="7700" width="11.125" style="7" customWidth="1"/>
    <col min="7701" max="7702" width="8.625" style="7" customWidth="1"/>
    <col min="7703" max="7940" width="9" style="7"/>
    <col min="7941" max="7941" width="8.625" style="7" customWidth="1"/>
    <col min="7942" max="7942" width="19.625" style="7" customWidth="1"/>
    <col min="7943" max="7943" width="8.625" style="7" customWidth="1"/>
    <col min="7944" max="7945" width="7.625" style="7" customWidth="1"/>
    <col min="7946" max="7946" width="11.125" style="7" customWidth="1"/>
    <col min="7947" max="7955" width="8.625" style="7" customWidth="1"/>
    <col min="7956" max="7956" width="11.125" style="7" customWidth="1"/>
    <col min="7957" max="7958" width="8.625" style="7" customWidth="1"/>
    <col min="7959" max="8196" width="9" style="7"/>
    <col min="8197" max="8197" width="8.625" style="7" customWidth="1"/>
    <col min="8198" max="8198" width="19.625" style="7" customWidth="1"/>
    <col min="8199" max="8199" width="8.625" style="7" customWidth="1"/>
    <col min="8200" max="8201" width="7.625" style="7" customWidth="1"/>
    <col min="8202" max="8202" width="11.125" style="7" customWidth="1"/>
    <col min="8203" max="8211" width="8.625" style="7" customWidth="1"/>
    <col min="8212" max="8212" width="11.125" style="7" customWidth="1"/>
    <col min="8213" max="8214" width="8.625" style="7" customWidth="1"/>
    <col min="8215" max="8452" width="9" style="7"/>
    <col min="8453" max="8453" width="8.625" style="7" customWidth="1"/>
    <col min="8454" max="8454" width="19.625" style="7" customWidth="1"/>
    <col min="8455" max="8455" width="8.625" style="7" customWidth="1"/>
    <col min="8456" max="8457" width="7.625" style="7" customWidth="1"/>
    <col min="8458" max="8458" width="11.125" style="7" customWidth="1"/>
    <col min="8459" max="8467" width="8.625" style="7" customWidth="1"/>
    <col min="8468" max="8468" width="11.125" style="7" customWidth="1"/>
    <col min="8469" max="8470" width="8.625" style="7" customWidth="1"/>
    <col min="8471" max="8708" width="9" style="7"/>
    <col min="8709" max="8709" width="8.625" style="7" customWidth="1"/>
    <col min="8710" max="8710" width="19.625" style="7" customWidth="1"/>
    <col min="8711" max="8711" width="8.625" style="7" customWidth="1"/>
    <col min="8712" max="8713" width="7.625" style="7" customWidth="1"/>
    <col min="8714" max="8714" width="11.125" style="7" customWidth="1"/>
    <col min="8715" max="8723" width="8.625" style="7" customWidth="1"/>
    <col min="8724" max="8724" width="11.125" style="7" customWidth="1"/>
    <col min="8725" max="8726" width="8.625" style="7" customWidth="1"/>
    <col min="8727" max="8964" width="9" style="7"/>
    <col min="8965" max="8965" width="8.625" style="7" customWidth="1"/>
    <col min="8966" max="8966" width="19.625" style="7" customWidth="1"/>
    <col min="8967" max="8967" width="8.625" style="7" customWidth="1"/>
    <col min="8968" max="8969" width="7.625" style="7" customWidth="1"/>
    <col min="8970" max="8970" width="11.125" style="7" customWidth="1"/>
    <col min="8971" max="8979" width="8.625" style="7" customWidth="1"/>
    <col min="8980" max="8980" width="11.125" style="7" customWidth="1"/>
    <col min="8981" max="8982" width="8.625" style="7" customWidth="1"/>
    <col min="8983" max="9220" width="9" style="7"/>
    <col min="9221" max="9221" width="8.625" style="7" customWidth="1"/>
    <col min="9222" max="9222" width="19.625" style="7" customWidth="1"/>
    <col min="9223" max="9223" width="8.625" style="7" customWidth="1"/>
    <col min="9224" max="9225" width="7.625" style="7" customWidth="1"/>
    <col min="9226" max="9226" width="11.125" style="7" customWidth="1"/>
    <col min="9227" max="9235" width="8.625" style="7" customWidth="1"/>
    <col min="9236" max="9236" width="11.125" style="7" customWidth="1"/>
    <col min="9237" max="9238" width="8.625" style="7" customWidth="1"/>
    <col min="9239" max="9476" width="9" style="7"/>
    <col min="9477" max="9477" width="8.625" style="7" customWidth="1"/>
    <col min="9478" max="9478" width="19.625" style="7" customWidth="1"/>
    <col min="9479" max="9479" width="8.625" style="7" customWidth="1"/>
    <col min="9480" max="9481" width="7.625" style="7" customWidth="1"/>
    <col min="9482" max="9482" width="11.125" style="7" customWidth="1"/>
    <col min="9483" max="9491" width="8.625" style="7" customWidth="1"/>
    <col min="9492" max="9492" width="11.125" style="7" customWidth="1"/>
    <col min="9493" max="9494" width="8.625" style="7" customWidth="1"/>
    <col min="9495" max="9732" width="9" style="7"/>
    <col min="9733" max="9733" width="8.625" style="7" customWidth="1"/>
    <col min="9734" max="9734" width="19.625" style="7" customWidth="1"/>
    <col min="9735" max="9735" width="8.625" style="7" customWidth="1"/>
    <col min="9736" max="9737" width="7.625" style="7" customWidth="1"/>
    <col min="9738" max="9738" width="11.125" style="7" customWidth="1"/>
    <col min="9739" max="9747" width="8.625" style="7" customWidth="1"/>
    <col min="9748" max="9748" width="11.125" style="7" customWidth="1"/>
    <col min="9749" max="9750" width="8.625" style="7" customWidth="1"/>
    <col min="9751" max="9988" width="9" style="7"/>
    <col min="9989" max="9989" width="8.625" style="7" customWidth="1"/>
    <col min="9990" max="9990" width="19.625" style="7" customWidth="1"/>
    <col min="9991" max="9991" width="8.625" style="7" customWidth="1"/>
    <col min="9992" max="9993" width="7.625" style="7" customWidth="1"/>
    <col min="9994" max="9994" width="11.125" style="7" customWidth="1"/>
    <col min="9995" max="10003" width="8.625" style="7" customWidth="1"/>
    <col min="10004" max="10004" width="11.125" style="7" customWidth="1"/>
    <col min="10005" max="10006" width="8.625" style="7" customWidth="1"/>
    <col min="10007" max="10244" width="9" style="7"/>
    <col min="10245" max="10245" width="8.625" style="7" customWidth="1"/>
    <col min="10246" max="10246" width="19.625" style="7" customWidth="1"/>
    <col min="10247" max="10247" width="8.625" style="7" customWidth="1"/>
    <col min="10248" max="10249" width="7.625" style="7" customWidth="1"/>
    <col min="10250" max="10250" width="11.125" style="7" customWidth="1"/>
    <col min="10251" max="10259" width="8.625" style="7" customWidth="1"/>
    <col min="10260" max="10260" width="11.125" style="7" customWidth="1"/>
    <col min="10261" max="10262" width="8.625" style="7" customWidth="1"/>
    <col min="10263" max="10500" width="9" style="7"/>
    <col min="10501" max="10501" width="8.625" style="7" customWidth="1"/>
    <col min="10502" max="10502" width="19.625" style="7" customWidth="1"/>
    <col min="10503" max="10503" width="8.625" style="7" customWidth="1"/>
    <col min="10504" max="10505" width="7.625" style="7" customWidth="1"/>
    <col min="10506" max="10506" width="11.125" style="7" customWidth="1"/>
    <col min="10507" max="10515" width="8.625" style="7" customWidth="1"/>
    <col min="10516" max="10516" width="11.125" style="7" customWidth="1"/>
    <col min="10517" max="10518" width="8.625" style="7" customWidth="1"/>
    <col min="10519" max="10756" width="9" style="7"/>
    <col min="10757" max="10757" width="8.625" style="7" customWidth="1"/>
    <col min="10758" max="10758" width="19.625" style="7" customWidth="1"/>
    <col min="10759" max="10759" width="8.625" style="7" customWidth="1"/>
    <col min="10760" max="10761" width="7.625" style="7" customWidth="1"/>
    <col min="10762" max="10762" width="11.125" style="7" customWidth="1"/>
    <col min="10763" max="10771" width="8.625" style="7" customWidth="1"/>
    <col min="10772" max="10772" width="11.125" style="7" customWidth="1"/>
    <col min="10773" max="10774" width="8.625" style="7" customWidth="1"/>
    <col min="10775" max="11012" width="9" style="7"/>
    <col min="11013" max="11013" width="8.625" style="7" customWidth="1"/>
    <col min="11014" max="11014" width="19.625" style="7" customWidth="1"/>
    <col min="11015" max="11015" width="8.625" style="7" customWidth="1"/>
    <col min="11016" max="11017" width="7.625" style="7" customWidth="1"/>
    <col min="11018" max="11018" width="11.125" style="7" customWidth="1"/>
    <col min="11019" max="11027" width="8.625" style="7" customWidth="1"/>
    <col min="11028" max="11028" width="11.125" style="7" customWidth="1"/>
    <col min="11029" max="11030" width="8.625" style="7" customWidth="1"/>
    <col min="11031" max="11268" width="9" style="7"/>
    <col min="11269" max="11269" width="8.625" style="7" customWidth="1"/>
    <col min="11270" max="11270" width="19.625" style="7" customWidth="1"/>
    <col min="11271" max="11271" width="8.625" style="7" customWidth="1"/>
    <col min="11272" max="11273" width="7.625" style="7" customWidth="1"/>
    <col min="11274" max="11274" width="11.125" style="7" customWidth="1"/>
    <col min="11275" max="11283" width="8.625" style="7" customWidth="1"/>
    <col min="11284" max="11284" width="11.125" style="7" customWidth="1"/>
    <col min="11285" max="11286" width="8.625" style="7" customWidth="1"/>
    <col min="11287" max="11524" width="9" style="7"/>
    <col min="11525" max="11525" width="8.625" style="7" customWidth="1"/>
    <col min="11526" max="11526" width="19.625" style="7" customWidth="1"/>
    <col min="11527" max="11527" width="8.625" style="7" customWidth="1"/>
    <col min="11528" max="11529" width="7.625" style="7" customWidth="1"/>
    <col min="11530" max="11530" width="11.125" style="7" customWidth="1"/>
    <col min="11531" max="11539" width="8.625" style="7" customWidth="1"/>
    <col min="11540" max="11540" width="11.125" style="7" customWidth="1"/>
    <col min="11541" max="11542" width="8.625" style="7" customWidth="1"/>
    <col min="11543" max="11780" width="9" style="7"/>
    <col min="11781" max="11781" width="8.625" style="7" customWidth="1"/>
    <col min="11782" max="11782" width="19.625" style="7" customWidth="1"/>
    <col min="11783" max="11783" width="8.625" style="7" customWidth="1"/>
    <col min="11784" max="11785" width="7.625" style="7" customWidth="1"/>
    <col min="11786" max="11786" width="11.125" style="7" customWidth="1"/>
    <col min="11787" max="11795" width="8.625" style="7" customWidth="1"/>
    <col min="11796" max="11796" width="11.125" style="7" customWidth="1"/>
    <col min="11797" max="11798" width="8.625" style="7" customWidth="1"/>
    <col min="11799" max="12036" width="9" style="7"/>
    <col min="12037" max="12037" width="8.625" style="7" customWidth="1"/>
    <col min="12038" max="12038" width="19.625" style="7" customWidth="1"/>
    <col min="12039" max="12039" width="8.625" style="7" customWidth="1"/>
    <col min="12040" max="12041" width="7.625" style="7" customWidth="1"/>
    <col min="12042" max="12042" width="11.125" style="7" customWidth="1"/>
    <col min="12043" max="12051" width="8.625" style="7" customWidth="1"/>
    <col min="12052" max="12052" width="11.125" style="7" customWidth="1"/>
    <col min="12053" max="12054" width="8.625" style="7" customWidth="1"/>
    <col min="12055" max="12292" width="9" style="7"/>
    <col min="12293" max="12293" width="8.625" style="7" customWidth="1"/>
    <col min="12294" max="12294" width="19.625" style="7" customWidth="1"/>
    <col min="12295" max="12295" width="8.625" style="7" customWidth="1"/>
    <col min="12296" max="12297" width="7.625" style="7" customWidth="1"/>
    <col min="12298" max="12298" width="11.125" style="7" customWidth="1"/>
    <col min="12299" max="12307" width="8.625" style="7" customWidth="1"/>
    <col min="12308" max="12308" width="11.125" style="7" customWidth="1"/>
    <col min="12309" max="12310" width="8.625" style="7" customWidth="1"/>
    <col min="12311" max="12548" width="9" style="7"/>
    <col min="12549" max="12549" width="8.625" style="7" customWidth="1"/>
    <col min="12550" max="12550" width="19.625" style="7" customWidth="1"/>
    <col min="12551" max="12551" width="8.625" style="7" customWidth="1"/>
    <col min="12552" max="12553" width="7.625" style="7" customWidth="1"/>
    <col min="12554" max="12554" width="11.125" style="7" customWidth="1"/>
    <col min="12555" max="12563" width="8.625" style="7" customWidth="1"/>
    <col min="12564" max="12564" width="11.125" style="7" customWidth="1"/>
    <col min="12565" max="12566" width="8.625" style="7" customWidth="1"/>
    <col min="12567" max="12804" width="9" style="7"/>
    <col min="12805" max="12805" width="8.625" style="7" customWidth="1"/>
    <col min="12806" max="12806" width="19.625" style="7" customWidth="1"/>
    <col min="12807" max="12807" width="8.625" style="7" customWidth="1"/>
    <col min="12808" max="12809" width="7.625" style="7" customWidth="1"/>
    <col min="12810" max="12810" width="11.125" style="7" customWidth="1"/>
    <col min="12811" max="12819" width="8.625" style="7" customWidth="1"/>
    <col min="12820" max="12820" width="11.125" style="7" customWidth="1"/>
    <col min="12821" max="12822" width="8.625" style="7" customWidth="1"/>
    <col min="12823" max="13060" width="9" style="7"/>
    <col min="13061" max="13061" width="8.625" style="7" customWidth="1"/>
    <col min="13062" max="13062" width="19.625" style="7" customWidth="1"/>
    <col min="13063" max="13063" width="8.625" style="7" customWidth="1"/>
    <col min="13064" max="13065" width="7.625" style="7" customWidth="1"/>
    <col min="13066" max="13066" width="11.125" style="7" customWidth="1"/>
    <col min="13067" max="13075" width="8.625" style="7" customWidth="1"/>
    <col min="13076" max="13076" width="11.125" style="7" customWidth="1"/>
    <col min="13077" max="13078" width="8.625" style="7" customWidth="1"/>
    <col min="13079" max="13316" width="9" style="7"/>
    <col min="13317" max="13317" width="8.625" style="7" customWidth="1"/>
    <col min="13318" max="13318" width="19.625" style="7" customWidth="1"/>
    <col min="13319" max="13319" width="8.625" style="7" customWidth="1"/>
    <col min="13320" max="13321" width="7.625" style="7" customWidth="1"/>
    <col min="13322" max="13322" width="11.125" style="7" customWidth="1"/>
    <col min="13323" max="13331" width="8.625" style="7" customWidth="1"/>
    <col min="13332" max="13332" width="11.125" style="7" customWidth="1"/>
    <col min="13333" max="13334" width="8.625" style="7" customWidth="1"/>
    <col min="13335" max="13572" width="9" style="7"/>
    <col min="13573" max="13573" width="8.625" style="7" customWidth="1"/>
    <col min="13574" max="13574" width="19.625" style="7" customWidth="1"/>
    <col min="13575" max="13575" width="8.625" style="7" customWidth="1"/>
    <col min="13576" max="13577" width="7.625" style="7" customWidth="1"/>
    <col min="13578" max="13578" width="11.125" style="7" customWidth="1"/>
    <col min="13579" max="13587" width="8.625" style="7" customWidth="1"/>
    <col min="13588" max="13588" width="11.125" style="7" customWidth="1"/>
    <col min="13589" max="13590" width="8.625" style="7" customWidth="1"/>
    <col min="13591" max="13828" width="9" style="7"/>
    <col min="13829" max="13829" width="8.625" style="7" customWidth="1"/>
    <col min="13830" max="13830" width="19.625" style="7" customWidth="1"/>
    <col min="13831" max="13831" width="8.625" style="7" customWidth="1"/>
    <col min="13832" max="13833" width="7.625" style="7" customWidth="1"/>
    <col min="13834" max="13834" width="11.125" style="7" customWidth="1"/>
    <col min="13835" max="13843" width="8.625" style="7" customWidth="1"/>
    <col min="13844" max="13844" width="11.125" style="7" customWidth="1"/>
    <col min="13845" max="13846" width="8.625" style="7" customWidth="1"/>
    <col min="13847" max="14084" width="9" style="7"/>
    <col min="14085" max="14085" width="8.625" style="7" customWidth="1"/>
    <col min="14086" max="14086" width="19.625" style="7" customWidth="1"/>
    <col min="14087" max="14087" width="8.625" style="7" customWidth="1"/>
    <col min="14088" max="14089" width="7.625" style="7" customWidth="1"/>
    <col min="14090" max="14090" width="11.125" style="7" customWidth="1"/>
    <col min="14091" max="14099" width="8.625" style="7" customWidth="1"/>
    <col min="14100" max="14100" width="11.125" style="7" customWidth="1"/>
    <col min="14101" max="14102" width="8.625" style="7" customWidth="1"/>
    <col min="14103" max="14340" width="9" style="7"/>
    <col min="14341" max="14341" width="8.625" style="7" customWidth="1"/>
    <col min="14342" max="14342" width="19.625" style="7" customWidth="1"/>
    <col min="14343" max="14343" width="8.625" style="7" customWidth="1"/>
    <col min="14344" max="14345" width="7.625" style="7" customWidth="1"/>
    <col min="14346" max="14346" width="11.125" style="7" customWidth="1"/>
    <col min="14347" max="14355" width="8.625" style="7" customWidth="1"/>
    <col min="14356" max="14356" width="11.125" style="7" customWidth="1"/>
    <col min="14357" max="14358" width="8.625" style="7" customWidth="1"/>
    <col min="14359" max="14596" width="9" style="7"/>
    <col min="14597" max="14597" width="8.625" style="7" customWidth="1"/>
    <col min="14598" max="14598" width="19.625" style="7" customWidth="1"/>
    <col min="14599" max="14599" width="8.625" style="7" customWidth="1"/>
    <col min="14600" max="14601" width="7.625" style="7" customWidth="1"/>
    <col min="14602" max="14602" width="11.125" style="7" customWidth="1"/>
    <col min="14603" max="14611" width="8.625" style="7" customWidth="1"/>
    <col min="14612" max="14612" width="11.125" style="7" customWidth="1"/>
    <col min="14613" max="14614" width="8.625" style="7" customWidth="1"/>
    <col min="14615" max="14852" width="9" style="7"/>
    <col min="14853" max="14853" width="8.625" style="7" customWidth="1"/>
    <col min="14854" max="14854" width="19.625" style="7" customWidth="1"/>
    <col min="14855" max="14855" width="8.625" style="7" customWidth="1"/>
    <col min="14856" max="14857" width="7.625" style="7" customWidth="1"/>
    <col min="14858" max="14858" width="11.125" style="7" customWidth="1"/>
    <col min="14859" max="14867" width="8.625" style="7" customWidth="1"/>
    <col min="14868" max="14868" width="11.125" style="7" customWidth="1"/>
    <col min="14869" max="14870" width="8.625" style="7" customWidth="1"/>
    <col min="14871" max="15108" width="9" style="7"/>
    <col min="15109" max="15109" width="8.625" style="7" customWidth="1"/>
    <col min="15110" max="15110" width="19.625" style="7" customWidth="1"/>
    <col min="15111" max="15111" width="8.625" style="7" customWidth="1"/>
    <col min="15112" max="15113" width="7.625" style="7" customWidth="1"/>
    <col min="15114" max="15114" width="11.125" style="7" customWidth="1"/>
    <col min="15115" max="15123" width="8.625" style="7" customWidth="1"/>
    <col min="15124" max="15124" width="11.125" style="7" customWidth="1"/>
    <col min="15125" max="15126" width="8.625" style="7" customWidth="1"/>
    <col min="15127" max="15364" width="9" style="7"/>
    <col min="15365" max="15365" width="8.625" style="7" customWidth="1"/>
    <col min="15366" max="15366" width="19.625" style="7" customWidth="1"/>
    <col min="15367" max="15367" width="8.625" style="7" customWidth="1"/>
    <col min="15368" max="15369" width="7.625" style="7" customWidth="1"/>
    <col min="15370" max="15370" width="11.125" style="7" customWidth="1"/>
    <col min="15371" max="15379" width="8.625" style="7" customWidth="1"/>
    <col min="15380" max="15380" width="11.125" style="7" customWidth="1"/>
    <col min="15381" max="15382" width="8.625" style="7" customWidth="1"/>
    <col min="15383" max="15620" width="9" style="7"/>
    <col min="15621" max="15621" width="8.625" style="7" customWidth="1"/>
    <col min="15622" max="15622" width="19.625" style="7" customWidth="1"/>
    <col min="15623" max="15623" width="8.625" style="7" customWidth="1"/>
    <col min="15624" max="15625" width="7.625" style="7" customWidth="1"/>
    <col min="15626" max="15626" width="11.125" style="7" customWidth="1"/>
    <col min="15627" max="15635" width="8.625" style="7" customWidth="1"/>
    <col min="15636" max="15636" width="11.125" style="7" customWidth="1"/>
    <col min="15637" max="15638" width="8.625" style="7" customWidth="1"/>
    <col min="15639" max="15876" width="9" style="7"/>
    <col min="15877" max="15877" width="8.625" style="7" customWidth="1"/>
    <col min="15878" max="15878" width="19.625" style="7" customWidth="1"/>
    <col min="15879" max="15879" width="8.625" style="7" customWidth="1"/>
    <col min="15880" max="15881" width="7.625" style="7" customWidth="1"/>
    <col min="15882" max="15882" width="11.125" style="7" customWidth="1"/>
    <col min="15883" max="15891" width="8.625" style="7" customWidth="1"/>
    <col min="15892" max="15892" width="11.125" style="7" customWidth="1"/>
    <col min="15893" max="15894" width="8.625" style="7" customWidth="1"/>
    <col min="15895" max="16132" width="9" style="7"/>
    <col min="16133" max="16133" width="8.625" style="7" customWidth="1"/>
    <col min="16134" max="16134" width="19.625" style="7" customWidth="1"/>
    <col min="16135" max="16135" width="8.625" style="7" customWidth="1"/>
    <col min="16136" max="16137" width="7.625" style="7" customWidth="1"/>
    <col min="16138" max="16138" width="11.125" style="7" customWidth="1"/>
    <col min="16139" max="16147" width="8.625" style="7" customWidth="1"/>
    <col min="16148" max="16148" width="11.125" style="7" customWidth="1"/>
    <col min="16149" max="16150" width="8.625" style="7" customWidth="1"/>
    <col min="16151" max="16384" width="9" style="7"/>
  </cols>
  <sheetData>
    <row r="1" spans="1:31" s="13" customFormat="1" ht="23.1" customHeight="1">
      <c r="A1" s="219" t="s">
        <v>0</v>
      </c>
      <c r="B1" s="220"/>
      <c r="C1" s="221" t="s">
        <v>35</v>
      </c>
      <c r="D1" s="222"/>
      <c r="E1" s="222"/>
      <c r="F1" s="222"/>
      <c r="G1" s="222"/>
      <c r="H1" s="223"/>
      <c r="I1" s="12" t="s">
        <v>25</v>
      </c>
      <c r="J1" s="224">
        <v>82000000</v>
      </c>
      <c r="K1" s="225"/>
      <c r="L1" s="225"/>
      <c r="M1" s="225"/>
      <c r="N1" s="225"/>
      <c r="O1" s="152"/>
      <c r="P1" s="152"/>
      <c r="Q1" s="321"/>
      <c r="R1" s="226"/>
      <c r="S1" s="227"/>
      <c r="T1" s="231" t="s">
        <v>1</v>
      </c>
      <c r="U1" s="231"/>
      <c r="V1" s="231"/>
    </row>
    <row r="2" spans="1:31" s="13" customFormat="1" ht="23.1" customHeight="1">
      <c r="A2" s="232" t="s">
        <v>26</v>
      </c>
      <c r="B2" s="233"/>
      <c r="C2" s="234" t="s">
        <v>36</v>
      </c>
      <c r="D2" s="235"/>
      <c r="E2" s="235"/>
      <c r="F2" s="235"/>
      <c r="G2" s="235"/>
      <c r="H2" s="236"/>
      <c r="I2" s="14" t="s">
        <v>27</v>
      </c>
      <c r="J2" s="237">
        <v>5634000</v>
      </c>
      <c r="K2" s="238"/>
      <c r="L2" s="238"/>
      <c r="M2" s="238"/>
      <c r="N2" s="238"/>
      <c r="O2" s="153"/>
      <c r="P2" s="153"/>
      <c r="Q2" s="322"/>
      <c r="R2" s="210"/>
      <c r="S2" s="228"/>
      <c r="T2" s="252">
        <v>45903</v>
      </c>
      <c r="U2" s="253"/>
      <c r="V2" s="254"/>
    </row>
    <row r="3" spans="1:31" s="13" customFormat="1" ht="23.1" customHeight="1" thickBot="1">
      <c r="A3" s="241" t="s">
        <v>2</v>
      </c>
      <c r="B3" s="242"/>
      <c r="C3" s="243">
        <f>J1-G137</f>
        <v>7049410</v>
      </c>
      <c r="D3" s="244"/>
      <c r="E3" s="244"/>
      <c r="F3" s="244"/>
      <c r="G3" s="244"/>
      <c r="H3" s="245"/>
      <c r="I3" s="15" t="s">
        <v>3</v>
      </c>
      <c r="J3" s="246">
        <f>SUM(J1:Q2)</f>
        <v>87634000</v>
      </c>
      <c r="K3" s="247"/>
      <c r="L3" s="247"/>
      <c r="M3" s="247"/>
      <c r="N3" s="247"/>
      <c r="O3" s="154"/>
      <c r="P3" s="154"/>
      <c r="Q3" s="323"/>
      <c r="R3" s="210"/>
      <c r="S3" s="228"/>
      <c r="T3" s="255"/>
      <c r="U3" s="256"/>
      <c r="V3" s="257"/>
    </row>
    <row r="4" spans="1:31" s="13" customFormat="1" ht="23.1" customHeight="1" thickBot="1">
      <c r="A4" s="248" t="s">
        <v>4</v>
      </c>
      <c r="B4" s="248"/>
      <c r="C4" s="249">
        <v>8.5999999999999993E-2</v>
      </c>
      <c r="D4" s="249"/>
      <c r="E4" s="250"/>
      <c r="F4" s="250"/>
      <c r="G4" s="250" t="s">
        <v>5</v>
      </c>
      <c r="H4" s="250"/>
      <c r="I4" s="16">
        <f>J3-I137</f>
        <v>1658680</v>
      </c>
      <c r="J4" s="209"/>
      <c r="K4" s="251"/>
      <c r="L4" s="251"/>
      <c r="M4" s="251"/>
      <c r="N4" s="251"/>
      <c r="O4" s="251"/>
      <c r="P4" s="251"/>
      <c r="Q4" s="251"/>
      <c r="R4" s="332"/>
      <c r="S4" s="334"/>
      <c r="T4" s="335"/>
      <c r="U4" s="336"/>
      <c r="V4" s="337"/>
    </row>
    <row r="5" spans="1:31" s="13" customFormat="1" ht="18" customHeight="1" thickBot="1">
      <c r="A5" s="199" t="s">
        <v>6</v>
      </c>
      <c r="B5" s="199"/>
      <c r="C5" s="201" t="s">
        <v>28</v>
      </c>
      <c r="D5" s="203" t="s">
        <v>29</v>
      </c>
      <c r="E5" s="205" t="s">
        <v>23</v>
      </c>
      <c r="F5" s="206"/>
      <c r="G5" s="205" t="s">
        <v>30</v>
      </c>
      <c r="H5" s="206"/>
      <c r="I5" s="216" t="s">
        <v>31</v>
      </c>
      <c r="J5" s="316">
        <v>2025</v>
      </c>
      <c r="K5" s="17"/>
      <c r="L5" s="17"/>
      <c r="M5" s="17"/>
      <c r="N5" s="17"/>
      <c r="O5" s="17"/>
      <c r="P5" s="17"/>
      <c r="Q5" s="318"/>
      <c r="R5" s="331" t="s">
        <v>7</v>
      </c>
      <c r="S5" s="333" t="s">
        <v>8</v>
      </c>
      <c r="T5" s="197" t="s">
        <v>9</v>
      </c>
      <c r="U5" s="212" t="s">
        <v>10</v>
      </c>
      <c r="V5" s="213" t="s">
        <v>11</v>
      </c>
      <c r="X5" s="326">
        <v>2025</v>
      </c>
      <c r="Y5" s="17"/>
      <c r="Z5" s="17"/>
      <c r="AA5" s="17"/>
      <c r="AB5" s="17"/>
      <c r="AC5" s="17"/>
      <c r="AD5" s="17"/>
      <c r="AE5" s="318"/>
    </row>
    <row r="6" spans="1:31" s="13" customFormat="1" ht="44.25" customHeight="1" thickBot="1">
      <c r="A6" s="263"/>
      <c r="B6" s="263"/>
      <c r="C6" s="264"/>
      <c r="D6" s="265"/>
      <c r="E6" s="266"/>
      <c r="F6" s="267"/>
      <c r="G6" s="266"/>
      <c r="H6" s="267"/>
      <c r="I6" s="268"/>
      <c r="J6" s="317" t="s">
        <v>136</v>
      </c>
      <c r="K6" s="317" t="s">
        <v>137</v>
      </c>
      <c r="L6" s="317" t="s">
        <v>138</v>
      </c>
      <c r="M6" s="317" t="s">
        <v>139</v>
      </c>
      <c r="N6" s="317" t="s">
        <v>140</v>
      </c>
      <c r="O6" s="317" t="s">
        <v>141</v>
      </c>
      <c r="P6" s="317" t="s">
        <v>142</v>
      </c>
      <c r="Q6" s="317" t="s">
        <v>143</v>
      </c>
      <c r="R6" s="319"/>
      <c r="S6" s="320"/>
      <c r="T6" s="198"/>
      <c r="U6" s="212"/>
      <c r="V6" s="213"/>
      <c r="X6" s="327" t="s">
        <v>136</v>
      </c>
      <c r="Y6" s="325" t="s">
        <v>137</v>
      </c>
      <c r="Z6" s="317" t="s">
        <v>138</v>
      </c>
      <c r="AA6" s="317" t="s">
        <v>139</v>
      </c>
      <c r="AB6" s="317" t="s">
        <v>140</v>
      </c>
      <c r="AC6" s="317" t="s">
        <v>141</v>
      </c>
      <c r="AD6" s="317" t="s">
        <v>142</v>
      </c>
      <c r="AE6" s="317" t="s">
        <v>143</v>
      </c>
    </row>
    <row r="7" spans="1:31" ht="18.95" customHeight="1" thickTop="1">
      <c r="A7" s="311" t="s">
        <v>37</v>
      </c>
      <c r="B7" s="269" t="s">
        <v>38</v>
      </c>
      <c r="C7" s="155" t="s">
        <v>39</v>
      </c>
      <c r="D7" s="270" t="s">
        <v>40</v>
      </c>
      <c r="E7" s="271">
        <v>450000</v>
      </c>
      <c r="F7" s="192"/>
      <c r="G7" s="271">
        <v>800000</v>
      </c>
      <c r="H7" s="192"/>
      <c r="I7" s="272">
        <v>800000</v>
      </c>
      <c r="J7" s="273">
        <v>0</v>
      </c>
      <c r="K7" s="273">
        <v>0</v>
      </c>
      <c r="L7" s="273">
        <v>300000</v>
      </c>
      <c r="M7" s="273">
        <v>210000</v>
      </c>
      <c r="N7" s="273">
        <v>0</v>
      </c>
      <c r="O7" s="273">
        <v>0</v>
      </c>
      <c r="P7" s="273">
        <v>0</v>
      </c>
      <c r="Q7" s="273">
        <v>0</v>
      </c>
      <c r="R7" s="274">
        <f>SUM(J7:Q7)</f>
        <v>510000</v>
      </c>
      <c r="S7" s="275">
        <f>I7-R7</f>
        <v>290000</v>
      </c>
      <c r="T7" s="276">
        <f>G7-I7</f>
        <v>0</v>
      </c>
      <c r="U7" s="277">
        <v>0</v>
      </c>
      <c r="V7" s="278" t="e">
        <f>R7/U7</f>
        <v>#DIV/0!</v>
      </c>
      <c r="X7" s="328"/>
      <c r="Y7" s="273"/>
      <c r="Z7" s="273"/>
      <c r="AA7" s="273"/>
      <c r="AB7" s="273"/>
      <c r="AC7" s="273"/>
      <c r="AD7" s="273"/>
      <c r="AE7" s="273"/>
    </row>
    <row r="8" spans="1:31" ht="18.95" customHeight="1">
      <c r="A8" s="312"/>
      <c r="B8" s="279" t="s">
        <v>41</v>
      </c>
      <c r="C8" s="280" t="s">
        <v>42</v>
      </c>
      <c r="D8" s="281" t="s">
        <v>43</v>
      </c>
      <c r="E8" s="282">
        <v>0</v>
      </c>
      <c r="F8" s="283"/>
      <c r="G8" s="282">
        <v>1925000</v>
      </c>
      <c r="H8" s="283"/>
      <c r="I8" s="284">
        <v>1137500</v>
      </c>
      <c r="J8" s="285">
        <v>0</v>
      </c>
      <c r="K8" s="285">
        <v>0</v>
      </c>
      <c r="L8" s="285">
        <v>0</v>
      </c>
      <c r="M8" s="285">
        <v>0</v>
      </c>
      <c r="N8" s="285">
        <v>0</v>
      </c>
      <c r="O8" s="285">
        <v>0</v>
      </c>
      <c r="P8" s="285">
        <v>0</v>
      </c>
      <c r="Q8" s="285">
        <v>0</v>
      </c>
      <c r="R8" s="286">
        <f>SUM(J8:Q8)</f>
        <v>0</v>
      </c>
      <c r="S8" s="287">
        <f>I8-R8</f>
        <v>1137500</v>
      </c>
      <c r="T8" s="288">
        <f>G8-I8</f>
        <v>787500</v>
      </c>
      <c r="U8" s="289">
        <v>0</v>
      </c>
      <c r="V8" s="290" t="e">
        <f t="shared" ref="V8:V71" si="0">R8/U8</f>
        <v>#DIV/0!</v>
      </c>
      <c r="X8" s="329"/>
      <c r="Y8" s="285"/>
      <c r="Z8" s="285"/>
      <c r="AA8" s="285"/>
      <c r="AB8" s="285"/>
      <c r="AC8" s="285"/>
      <c r="AD8" s="285"/>
      <c r="AE8" s="285"/>
    </row>
    <row r="9" spans="1:31" ht="18.95" customHeight="1">
      <c r="A9" s="312"/>
      <c r="B9" s="279" t="s">
        <v>44</v>
      </c>
      <c r="C9" s="280" t="s">
        <v>45</v>
      </c>
      <c r="D9" s="281" t="s">
        <v>43</v>
      </c>
      <c r="E9" s="282">
        <v>0</v>
      </c>
      <c r="F9" s="283"/>
      <c r="G9" s="282">
        <v>0</v>
      </c>
      <c r="H9" s="283"/>
      <c r="I9" s="284">
        <v>0</v>
      </c>
      <c r="J9" s="285">
        <v>0</v>
      </c>
      <c r="K9" s="285">
        <v>18400</v>
      </c>
      <c r="L9" s="285">
        <v>0</v>
      </c>
      <c r="M9" s="285">
        <v>0</v>
      </c>
      <c r="N9" s="285">
        <v>0</v>
      </c>
      <c r="O9" s="285">
        <v>0</v>
      </c>
      <c r="P9" s="285">
        <v>0</v>
      </c>
      <c r="Q9" s="285">
        <v>0</v>
      </c>
      <c r="R9" s="286">
        <f>SUM(J9:Q9)</f>
        <v>18400</v>
      </c>
      <c r="S9" s="287">
        <f>I9-R9</f>
        <v>-18400</v>
      </c>
      <c r="T9" s="288">
        <f>G9-I9</f>
        <v>0</v>
      </c>
      <c r="U9" s="289">
        <v>0</v>
      </c>
      <c r="V9" s="290" t="e">
        <f t="shared" si="0"/>
        <v>#DIV/0!</v>
      </c>
      <c r="X9" s="329"/>
      <c r="Y9" s="285"/>
      <c r="Z9" s="285"/>
      <c r="AA9" s="285"/>
      <c r="AB9" s="285"/>
      <c r="AC9" s="285"/>
      <c r="AD9" s="285"/>
      <c r="AE9" s="285"/>
    </row>
    <row r="10" spans="1:31" ht="18.95" customHeight="1">
      <c r="A10" s="312"/>
      <c r="B10" s="279" t="s">
        <v>46</v>
      </c>
      <c r="C10" s="280" t="s">
        <v>47</v>
      </c>
      <c r="D10" s="281" t="s">
        <v>48</v>
      </c>
      <c r="E10" s="282">
        <v>400000</v>
      </c>
      <c r="F10" s="283"/>
      <c r="G10" s="282">
        <v>400000</v>
      </c>
      <c r="H10" s="283"/>
      <c r="I10" s="284">
        <v>400000</v>
      </c>
      <c r="J10" s="285">
        <v>0</v>
      </c>
      <c r="K10" s="285">
        <v>0</v>
      </c>
      <c r="L10" s="285">
        <v>0</v>
      </c>
      <c r="M10" s="285">
        <v>216000</v>
      </c>
      <c r="N10" s="285">
        <v>0</v>
      </c>
      <c r="O10" s="285">
        <v>0</v>
      </c>
      <c r="P10" s="285">
        <v>0</v>
      </c>
      <c r="Q10" s="285">
        <v>0</v>
      </c>
      <c r="R10" s="286">
        <f>SUM(J10:Q10)</f>
        <v>216000</v>
      </c>
      <c r="S10" s="287">
        <f>I10-R10</f>
        <v>184000</v>
      </c>
      <c r="T10" s="288">
        <f>G10-I10</f>
        <v>0</v>
      </c>
      <c r="U10" s="289">
        <v>0</v>
      </c>
      <c r="V10" s="290" t="e">
        <f t="shared" si="0"/>
        <v>#DIV/0!</v>
      </c>
      <c r="X10" s="329"/>
      <c r="Y10" s="285"/>
      <c r="Z10" s="285"/>
      <c r="AA10" s="285"/>
      <c r="AB10" s="285"/>
      <c r="AC10" s="285"/>
      <c r="AD10" s="285"/>
      <c r="AE10" s="285"/>
    </row>
    <row r="11" spans="1:31" ht="18.95" customHeight="1">
      <c r="A11" s="312"/>
      <c r="B11" s="279" t="s">
        <v>49</v>
      </c>
      <c r="C11" s="280" t="s">
        <v>50</v>
      </c>
      <c r="D11" s="281" t="s">
        <v>43</v>
      </c>
      <c r="E11" s="282">
        <v>0</v>
      </c>
      <c r="F11" s="283"/>
      <c r="G11" s="282">
        <v>0</v>
      </c>
      <c r="H11" s="283"/>
      <c r="I11" s="284">
        <v>0</v>
      </c>
      <c r="J11" s="285">
        <v>0</v>
      </c>
      <c r="K11" s="285">
        <v>0</v>
      </c>
      <c r="L11" s="285">
        <v>0</v>
      </c>
      <c r="M11" s="285">
        <v>105000</v>
      </c>
      <c r="N11" s="285">
        <v>174500</v>
      </c>
      <c r="O11" s="285">
        <v>45000</v>
      </c>
      <c r="P11" s="285">
        <v>0</v>
      </c>
      <c r="Q11" s="285">
        <v>0</v>
      </c>
      <c r="R11" s="286">
        <f>SUM(J11:Q11)</f>
        <v>324500</v>
      </c>
      <c r="S11" s="287">
        <f>I11-R11</f>
        <v>-324500</v>
      </c>
      <c r="T11" s="288">
        <f>G11-I11</f>
        <v>0</v>
      </c>
      <c r="U11" s="289">
        <v>0</v>
      </c>
      <c r="V11" s="290" t="e">
        <f t="shared" si="0"/>
        <v>#DIV/0!</v>
      </c>
      <c r="X11" s="329"/>
      <c r="Y11" s="285"/>
      <c r="Z11" s="285"/>
      <c r="AA11" s="285"/>
      <c r="AB11" s="285"/>
      <c r="AC11" s="285"/>
      <c r="AD11" s="285"/>
      <c r="AE11" s="285"/>
    </row>
    <row r="12" spans="1:31" ht="18.95" customHeight="1">
      <c r="A12" s="312"/>
      <c r="B12" s="279" t="s">
        <v>51</v>
      </c>
      <c r="C12" s="280" t="s">
        <v>45</v>
      </c>
      <c r="D12" s="281" t="s">
        <v>43</v>
      </c>
      <c r="E12" s="282">
        <v>0</v>
      </c>
      <c r="F12" s="283"/>
      <c r="G12" s="282">
        <v>0</v>
      </c>
      <c r="H12" s="283"/>
      <c r="I12" s="284">
        <v>0</v>
      </c>
      <c r="J12" s="285">
        <v>0</v>
      </c>
      <c r="K12" s="285">
        <v>0</v>
      </c>
      <c r="L12" s="285">
        <v>29200</v>
      </c>
      <c r="M12" s="285">
        <v>0</v>
      </c>
      <c r="N12" s="285">
        <v>0</v>
      </c>
      <c r="O12" s="285">
        <v>0</v>
      </c>
      <c r="P12" s="285">
        <v>0</v>
      </c>
      <c r="Q12" s="285">
        <v>0</v>
      </c>
      <c r="R12" s="286">
        <f>SUM(J12:Q12)</f>
        <v>29200</v>
      </c>
      <c r="S12" s="287">
        <f>I12-R12</f>
        <v>-29200</v>
      </c>
      <c r="T12" s="288">
        <f>G12-I12</f>
        <v>0</v>
      </c>
      <c r="U12" s="289">
        <v>0</v>
      </c>
      <c r="V12" s="290" t="e">
        <f t="shared" si="0"/>
        <v>#DIV/0!</v>
      </c>
      <c r="X12" s="329"/>
      <c r="Y12" s="285"/>
      <c r="Z12" s="285"/>
      <c r="AA12" s="285"/>
      <c r="AB12" s="285"/>
      <c r="AC12" s="285"/>
      <c r="AD12" s="285"/>
      <c r="AE12" s="285"/>
    </row>
    <row r="13" spans="1:31" ht="18.95" customHeight="1">
      <c r="A13" s="312"/>
      <c r="B13" s="279" t="s">
        <v>52</v>
      </c>
      <c r="C13" s="280" t="s">
        <v>50</v>
      </c>
      <c r="D13" s="281" t="s">
        <v>43</v>
      </c>
      <c r="E13" s="282">
        <v>0</v>
      </c>
      <c r="F13" s="283"/>
      <c r="G13" s="282">
        <v>0</v>
      </c>
      <c r="H13" s="283"/>
      <c r="I13" s="284">
        <v>0</v>
      </c>
      <c r="J13" s="285">
        <v>0</v>
      </c>
      <c r="K13" s="285">
        <v>0</v>
      </c>
      <c r="L13" s="285">
        <v>0</v>
      </c>
      <c r="M13" s="285">
        <v>0</v>
      </c>
      <c r="N13" s="285">
        <v>1325</v>
      </c>
      <c r="O13" s="285">
        <v>0</v>
      </c>
      <c r="P13" s="285">
        <v>0</v>
      </c>
      <c r="Q13" s="285">
        <v>0</v>
      </c>
      <c r="R13" s="286">
        <f>SUM(J13:Q13)</f>
        <v>1325</v>
      </c>
      <c r="S13" s="287">
        <f>I13-R13</f>
        <v>-1325</v>
      </c>
      <c r="T13" s="288">
        <f>G13-I13</f>
        <v>0</v>
      </c>
      <c r="U13" s="289">
        <v>0</v>
      </c>
      <c r="V13" s="290" t="e">
        <f t="shared" si="0"/>
        <v>#DIV/0!</v>
      </c>
      <c r="X13" s="329"/>
      <c r="Y13" s="285"/>
      <c r="Z13" s="285"/>
      <c r="AA13" s="285"/>
      <c r="AB13" s="285"/>
      <c r="AC13" s="285"/>
      <c r="AD13" s="285"/>
      <c r="AE13" s="285"/>
    </row>
    <row r="14" spans="1:31" ht="18.95" customHeight="1">
      <c r="A14" s="312"/>
      <c r="B14" s="279" t="s">
        <v>53</v>
      </c>
      <c r="C14" s="280" t="s">
        <v>45</v>
      </c>
      <c r="D14" s="281" t="s">
        <v>43</v>
      </c>
      <c r="E14" s="282">
        <v>0</v>
      </c>
      <c r="F14" s="283"/>
      <c r="G14" s="282">
        <v>0</v>
      </c>
      <c r="H14" s="283"/>
      <c r="I14" s="284">
        <v>0</v>
      </c>
      <c r="J14" s="285">
        <v>0</v>
      </c>
      <c r="K14" s="285">
        <v>0</v>
      </c>
      <c r="L14" s="285">
        <v>32465</v>
      </c>
      <c r="M14" s="285">
        <v>0</v>
      </c>
      <c r="N14" s="285">
        <v>0</v>
      </c>
      <c r="O14" s="285">
        <v>0</v>
      </c>
      <c r="P14" s="285">
        <v>0</v>
      </c>
      <c r="Q14" s="285">
        <v>0</v>
      </c>
      <c r="R14" s="286">
        <f>SUM(J14:Q14)</f>
        <v>32465</v>
      </c>
      <c r="S14" s="287">
        <f>I14-R14</f>
        <v>-32465</v>
      </c>
      <c r="T14" s="288">
        <f>G14-I14</f>
        <v>0</v>
      </c>
      <c r="U14" s="289">
        <v>0</v>
      </c>
      <c r="V14" s="290" t="e">
        <f t="shared" si="0"/>
        <v>#DIV/0!</v>
      </c>
      <c r="X14" s="329"/>
      <c r="Y14" s="285"/>
      <c r="Z14" s="285"/>
      <c r="AA14" s="285"/>
      <c r="AB14" s="285"/>
      <c r="AC14" s="285"/>
      <c r="AD14" s="285"/>
      <c r="AE14" s="285"/>
    </row>
    <row r="15" spans="1:31" ht="18.95" customHeight="1">
      <c r="A15" s="312"/>
      <c r="B15" s="279" t="s">
        <v>54</v>
      </c>
      <c r="C15" s="280" t="s">
        <v>42</v>
      </c>
      <c r="D15" s="281" t="s">
        <v>43</v>
      </c>
      <c r="E15" s="282">
        <v>250000</v>
      </c>
      <c r="F15" s="283"/>
      <c r="G15" s="282">
        <v>250000</v>
      </c>
      <c r="H15" s="283"/>
      <c r="I15" s="284">
        <v>250000</v>
      </c>
      <c r="J15" s="285">
        <v>0</v>
      </c>
      <c r="K15" s="285">
        <v>0</v>
      </c>
      <c r="L15" s="285">
        <v>143000</v>
      </c>
      <c r="M15" s="285">
        <v>0</v>
      </c>
      <c r="N15" s="285">
        <v>0</v>
      </c>
      <c r="O15" s="285">
        <v>0</v>
      </c>
      <c r="P15" s="285">
        <v>0</v>
      </c>
      <c r="Q15" s="285">
        <v>0</v>
      </c>
      <c r="R15" s="286">
        <f>SUM(J15:Q15)</f>
        <v>143000</v>
      </c>
      <c r="S15" s="287">
        <f>I15-R15</f>
        <v>107000</v>
      </c>
      <c r="T15" s="288">
        <f>G15-I15</f>
        <v>0</v>
      </c>
      <c r="U15" s="289">
        <v>0</v>
      </c>
      <c r="V15" s="290" t="e">
        <f t="shared" si="0"/>
        <v>#DIV/0!</v>
      </c>
      <c r="X15" s="329"/>
      <c r="Y15" s="285"/>
      <c r="Z15" s="285"/>
      <c r="AA15" s="285"/>
      <c r="AB15" s="285"/>
      <c r="AC15" s="285"/>
      <c r="AD15" s="285"/>
      <c r="AE15" s="285"/>
    </row>
    <row r="16" spans="1:31" ht="18.95" customHeight="1">
      <c r="A16" s="312"/>
      <c r="B16" s="279" t="s">
        <v>55</v>
      </c>
      <c r="C16" s="280" t="s">
        <v>45</v>
      </c>
      <c r="D16" s="281" t="s">
        <v>43</v>
      </c>
      <c r="E16" s="282">
        <v>0</v>
      </c>
      <c r="F16" s="283"/>
      <c r="G16" s="282">
        <v>0</v>
      </c>
      <c r="H16" s="283"/>
      <c r="I16" s="284">
        <v>0</v>
      </c>
      <c r="J16" s="285">
        <v>0</v>
      </c>
      <c r="K16" s="285">
        <v>0</v>
      </c>
      <c r="L16" s="285">
        <v>37200</v>
      </c>
      <c r="M16" s="285">
        <v>58270</v>
      </c>
      <c r="N16" s="285">
        <v>0</v>
      </c>
      <c r="O16" s="285">
        <v>0</v>
      </c>
      <c r="P16" s="285">
        <v>0</v>
      </c>
      <c r="Q16" s="285">
        <v>0</v>
      </c>
      <c r="R16" s="286">
        <f>SUM(J16:Q16)</f>
        <v>95470</v>
      </c>
      <c r="S16" s="287">
        <f>I16-R16</f>
        <v>-95470</v>
      </c>
      <c r="T16" s="288">
        <f>G16-I16</f>
        <v>0</v>
      </c>
      <c r="U16" s="289">
        <v>0</v>
      </c>
      <c r="V16" s="290" t="e">
        <f t="shared" si="0"/>
        <v>#DIV/0!</v>
      </c>
      <c r="X16" s="329"/>
      <c r="Y16" s="285"/>
      <c r="Z16" s="285"/>
      <c r="AA16" s="285"/>
      <c r="AB16" s="285"/>
      <c r="AC16" s="285"/>
      <c r="AD16" s="285"/>
      <c r="AE16" s="285"/>
    </row>
    <row r="17" spans="1:31" ht="18.95" customHeight="1">
      <c r="A17" s="312"/>
      <c r="B17" s="279" t="s">
        <v>56</v>
      </c>
      <c r="C17" s="280" t="s">
        <v>57</v>
      </c>
      <c r="D17" s="281" t="s">
        <v>43</v>
      </c>
      <c r="E17" s="282">
        <v>0</v>
      </c>
      <c r="F17" s="283"/>
      <c r="G17" s="282">
        <v>0</v>
      </c>
      <c r="H17" s="283"/>
      <c r="I17" s="284">
        <v>0</v>
      </c>
      <c r="J17" s="285">
        <v>199000</v>
      </c>
      <c r="K17" s="285">
        <v>8000</v>
      </c>
      <c r="L17" s="285">
        <v>0</v>
      </c>
      <c r="M17" s="285">
        <v>0</v>
      </c>
      <c r="N17" s="285">
        <v>0</v>
      </c>
      <c r="O17" s="285">
        <v>0</v>
      </c>
      <c r="P17" s="285">
        <v>0</v>
      </c>
      <c r="Q17" s="285">
        <v>0</v>
      </c>
      <c r="R17" s="286">
        <f>SUM(J17:Q17)</f>
        <v>207000</v>
      </c>
      <c r="S17" s="287">
        <f>I17-R17</f>
        <v>-207000</v>
      </c>
      <c r="T17" s="288">
        <f>G17-I17</f>
        <v>0</v>
      </c>
      <c r="U17" s="289">
        <v>0</v>
      </c>
      <c r="V17" s="290" t="e">
        <f t="shared" si="0"/>
        <v>#DIV/0!</v>
      </c>
      <c r="X17" s="329"/>
      <c r="Y17" s="285"/>
      <c r="Z17" s="285"/>
      <c r="AA17" s="285"/>
      <c r="AB17" s="285"/>
      <c r="AC17" s="285"/>
      <c r="AD17" s="285"/>
      <c r="AE17" s="285"/>
    </row>
    <row r="18" spans="1:31" ht="18.95" customHeight="1">
      <c r="A18" s="312"/>
      <c r="B18" s="279" t="s">
        <v>58</v>
      </c>
      <c r="C18" s="280" t="s">
        <v>57</v>
      </c>
      <c r="D18" s="281" t="s">
        <v>43</v>
      </c>
      <c r="E18" s="282">
        <v>0</v>
      </c>
      <c r="F18" s="283"/>
      <c r="G18" s="282">
        <v>100000</v>
      </c>
      <c r="H18" s="283"/>
      <c r="I18" s="284">
        <v>195800</v>
      </c>
      <c r="J18" s="285">
        <v>0</v>
      </c>
      <c r="K18" s="285">
        <v>0</v>
      </c>
      <c r="L18" s="285">
        <v>103800</v>
      </c>
      <c r="M18" s="285">
        <v>32000</v>
      </c>
      <c r="N18" s="285">
        <v>20000</v>
      </c>
      <c r="O18" s="285">
        <v>20000</v>
      </c>
      <c r="P18" s="285">
        <v>0</v>
      </c>
      <c r="Q18" s="285">
        <v>0</v>
      </c>
      <c r="R18" s="286">
        <f>SUM(J18:Q18)</f>
        <v>175800</v>
      </c>
      <c r="S18" s="287">
        <f>I18-R18</f>
        <v>20000</v>
      </c>
      <c r="T18" s="288">
        <f>G18-I18</f>
        <v>-95800</v>
      </c>
      <c r="U18" s="289">
        <v>0</v>
      </c>
      <c r="V18" s="290" t="e">
        <f t="shared" si="0"/>
        <v>#DIV/0!</v>
      </c>
      <c r="X18" s="329"/>
      <c r="Y18" s="285"/>
      <c r="Z18" s="285"/>
      <c r="AA18" s="285"/>
      <c r="AB18" s="285"/>
      <c r="AC18" s="285"/>
      <c r="AD18" s="285"/>
      <c r="AE18" s="285"/>
    </row>
    <row r="19" spans="1:31" ht="18.95" customHeight="1">
      <c r="A19" s="312"/>
      <c r="B19" s="279" t="s">
        <v>59</v>
      </c>
      <c r="C19" s="280" t="s">
        <v>42</v>
      </c>
      <c r="D19" s="281" t="s">
        <v>43</v>
      </c>
      <c r="E19" s="282">
        <v>0</v>
      </c>
      <c r="F19" s="283"/>
      <c r="G19" s="282">
        <v>0</v>
      </c>
      <c r="H19" s="283"/>
      <c r="I19" s="284">
        <v>0</v>
      </c>
      <c r="J19" s="285">
        <v>0</v>
      </c>
      <c r="K19" s="285">
        <v>0</v>
      </c>
      <c r="L19" s="285">
        <v>558700</v>
      </c>
      <c r="M19" s="285">
        <v>409250</v>
      </c>
      <c r="N19" s="285">
        <v>130200</v>
      </c>
      <c r="O19" s="285">
        <v>105000</v>
      </c>
      <c r="P19" s="285">
        <v>0</v>
      </c>
      <c r="Q19" s="285">
        <v>0</v>
      </c>
      <c r="R19" s="286">
        <f>SUM(J19:Q19)</f>
        <v>1203150</v>
      </c>
      <c r="S19" s="287">
        <f>I19-R19</f>
        <v>-1203150</v>
      </c>
      <c r="T19" s="288">
        <f>G19-I19</f>
        <v>0</v>
      </c>
      <c r="U19" s="289">
        <v>0</v>
      </c>
      <c r="V19" s="290" t="e">
        <f t="shared" si="0"/>
        <v>#DIV/0!</v>
      </c>
      <c r="X19" s="329"/>
      <c r="Y19" s="285"/>
      <c r="Z19" s="285"/>
      <c r="AA19" s="285"/>
      <c r="AB19" s="285"/>
      <c r="AC19" s="285"/>
      <c r="AD19" s="285"/>
      <c r="AE19" s="285"/>
    </row>
    <row r="20" spans="1:31" ht="18.95" customHeight="1">
      <c r="A20" s="312"/>
      <c r="B20" s="279" t="s">
        <v>60</v>
      </c>
      <c r="C20" s="280" t="s">
        <v>39</v>
      </c>
      <c r="D20" s="281" t="s">
        <v>43</v>
      </c>
      <c r="E20" s="282">
        <v>0</v>
      </c>
      <c r="F20" s="283"/>
      <c r="G20" s="282">
        <v>0</v>
      </c>
      <c r="H20" s="283"/>
      <c r="I20" s="284">
        <v>0</v>
      </c>
      <c r="J20" s="285">
        <v>0</v>
      </c>
      <c r="K20" s="285">
        <v>0</v>
      </c>
      <c r="L20" s="285">
        <v>22000</v>
      </c>
      <c r="M20" s="285">
        <v>0</v>
      </c>
      <c r="N20" s="285">
        <v>0</v>
      </c>
      <c r="O20" s="285">
        <v>0</v>
      </c>
      <c r="P20" s="285">
        <v>0</v>
      </c>
      <c r="Q20" s="285">
        <v>0</v>
      </c>
      <c r="R20" s="286">
        <f>SUM(J20:Q20)</f>
        <v>22000</v>
      </c>
      <c r="S20" s="287">
        <f>I20-R20</f>
        <v>-22000</v>
      </c>
      <c r="T20" s="288">
        <f>G20-I20</f>
        <v>0</v>
      </c>
      <c r="U20" s="289">
        <v>0</v>
      </c>
      <c r="V20" s="290" t="e">
        <f t="shared" si="0"/>
        <v>#DIV/0!</v>
      </c>
      <c r="X20" s="329"/>
      <c r="Y20" s="285"/>
      <c r="Z20" s="285"/>
      <c r="AA20" s="285"/>
      <c r="AB20" s="285"/>
      <c r="AC20" s="285"/>
      <c r="AD20" s="285"/>
      <c r="AE20" s="285"/>
    </row>
    <row r="21" spans="1:31" ht="18.95" customHeight="1">
      <c r="A21" s="312"/>
      <c r="B21" s="279" t="s">
        <v>61</v>
      </c>
      <c r="C21" s="280" t="s">
        <v>57</v>
      </c>
      <c r="D21" s="281" t="s">
        <v>62</v>
      </c>
      <c r="E21" s="282">
        <v>530000</v>
      </c>
      <c r="F21" s="283"/>
      <c r="G21" s="282">
        <v>650000</v>
      </c>
      <c r="H21" s="283"/>
      <c r="I21" s="284">
        <v>650000</v>
      </c>
      <c r="J21" s="285">
        <v>0</v>
      </c>
      <c r="K21" s="285">
        <v>0</v>
      </c>
      <c r="L21" s="285">
        <v>351000</v>
      </c>
      <c r="M21" s="285">
        <v>0</v>
      </c>
      <c r="N21" s="285">
        <v>0</v>
      </c>
      <c r="O21" s="285">
        <v>0</v>
      </c>
      <c r="P21" s="285">
        <v>0</v>
      </c>
      <c r="Q21" s="285">
        <v>0</v>
      </c>
      <c r="R21" s="286">
        <f>SUM(J21:Q21)</f>
        <v>351000</v>
      </c>
      <c r="S21" s="287">
        <f>I21-R21</f>
        <v>299000</v>
      </c>
      <c r="T21" s="288">
        <f>G21-I21</f>
        <v>0</v>
      </c>
      <c r="U21" s="289">
        <v>1</v>
      </c>
      <c r="V21" s="290">
        <f t="shared" si="0"/>
        <v>351000</v>
      </c>
      <c r="X21" s="329"/>
      <c r="Y21" s="285"/>
      <c r="Z21" s="285"/>
      <c r="AA21" s="285"/>
      <c r="AB21" s="285"/>
      <c r="AC21" s="285"/>
      <c r="AD21" s="285"/>
      <c r="AE21" s="285"/>
    </row>
    <row r="22" spans="1:31" ht="18.95" customHeight="1">
      <c r="A22" s="312"/>
      <c r="B22" s="279" t="s">
        <v>61</v>
      </c>
      <c r="C22" s="280" t="s">
        <v>57</v>
      </c>
      <c r="D22" s="281" t="s">
        <v>43</v>
      </c>
      <c r="E22" s="282">
        <v>0</v>
      </c>
      <c r="F22" s="283"/>
      <c r="G22" s="282">
        <v>0</v>
      </c>
      <c r="H22" s="283"/>
      <c r="I22" s="284">
        <v>0</v>
      </c>
      <c r="J22" s="285">
        <v>0</v>
      </c>
      <c r="K22" s="285">
        <v>0</v>
      </c>
      <c r="L22" s="285">
        <v>0</v>
      </c>
      <c r="M22" s="285">
        <v>78392</v>
      </c>
      <c r="N22" s="285">
        <v>33674</v>
      </c>
      <c r="O22" s="285">
        <v>54816</v>
      </c>
      <c r="P22" s="285">
        <v>0</v>
      </c>
      <c r="Q22" s="285">
        <v>0</v>
      </c>
      <c r="R22" s="286">
        <f>SUM(J22:Q22)</f>
        <v>166882</v>
      </c>
      <c r="S22" s="287">
        <f>I22-R22</f>
        <v>-166882</v>
      </c>
      <c r="T22" s="288">
        <f>G22-I22</f>
        <v>0</v>
      </c>
      <c r="U22" s="289">
        <v>0</v>
      </c>
      <c r="V22" s="290" t="e">
        <f t="shared" si="0"/>
        <v>#DIV/0!</v>
      </c>
      <c r="X22" s="329"/>
      <c r="Y22" s="285"/>
      <c r="Z22" s="285"/>
      <c r="AA22" s="285"/>
      <c r="AB22" s="285"/>
      <c r="AC22" s="285"/>
      <c r="AD22" s="285"/>
      <c r="AE22" s="285"/>
    </row>
    <row r="23" spans="1:31" ht="18.95" customHeight="1">
      <c r="A23" s="312"/>
      <c r="B23" s="279" t="s">
        <v>63</v>
      </c>
      <c r="C23" s="280" t="s">
        <v>57</v>
      </c>
      <c r="D23" s="281" t="s">
        <v>43</v>
      </c>
      <c r="E23" s="282">
        <v>0</v>
      </c>
      <c r="F23" s="283"/>
      <c r="G23" s="282">
        <v>0</v>
      </c>
      <c r="H23" s="283"/>
      <c r="I23" s="284">
        <v>0</v>
      </c>
      <c r="J23" s="285">
        <v>0</v>
      </c>
      <c r="K23" s="285">
        <v>0</v>
      </c>
      <c r="L23" s="285">
        <v>128190</v>
      </c>
      <c r="M23" s="285">
        <v>0</v>
      </c>
      <c r="N23" s="285">
        <v>0</v>
      </c>
      <c r="O23" s="285">
        <v>0</v>
      </c>
      <c r="P23" s="285">
        <v>0</v>
      </c>
      <c r="Q23" s="285">
        <v>0</v>
      </c>
      <c r="R23" s="286">
        <f>SUM(J23:Q23)</f>
        <v>128190</v>
      </c>
      <c r="S23" s="287">
        <f>I23-R23</f>
        <v>-128190</v>
      </c>
      <c r="T23" s="288">
        <f>G23-I23</f>
        <v>0</v>
      </c>
      <c r="U23" s="289">
        <v>0</v>
      </c>
      <c r="V23" s="290" t="e">
        <f t="shared" si="0"/>
        <v>#DIV/0!</v>
      </c>
      <c r="X23" s="329"/>
      <c r="Y23" s="285"/>
      <c r="Z23" s="285"/>
      <c r="AA23" s="285"/>
      <c r="AB23" s="285"/>
      <c r="AC23" s="285"/>
      <c r="AD23" s="285"/>
      <c r="AE23" s="285"/>
    </row>
    <row r="24" spans="1:31" ht="18.95" customHeight="1">
      <c r="A24" s="312"/>
      <c r="B24" s="279"/>
      <c r="C24" s="280" t="s">
        <v>57</v>
      </c>
      <c r="D24" s="281" t="s">
        <v>43</v>
      </c>
      <c r="E24" s="282">
        <v>0</v>
      </c>
      <c r="F24" s="283"/>
      <c r="G24" s="282">
        <v>0</v>
      </c>
      <c r="H24" s="283"/>
      <c r="I24" s="284">
        <v>0</v>
      </c>
      <c r="J24" s="285">
        <v>0</v>
      </c>
      <c r="K24" s="285">
        <v>0</v>
      </c>
      <c r="L24" s="285">
        <v>0</v>
      </c>
      <c r="M24" s="285">
        <v>0</v>
      </c>
      <c r="N24" s="285">
        <v>0</v>
      </c>
      <c r="O24" s="285">
        <v>0</v>
      </c>
      <c r="P24" s="285">
        <v>0</v>
      </c>
      <c r="Q24" s="285">
        <v>0</v>
      </c>
      <c r="R24" s="286">
        <f>SUM(J24:Q24)</f>
        <v>0</v>
      </c>
      <c r="S24" s="287">
        <f>I24-R24</f>
        <v>0</v>
      </c>
      <c r="T24" s="288">
        <f>G24-I24</f>
        <v>0</v>
      </c>
      <c r="U24" s="289">
        <v>0</v>
      </c>
      <c r="V24" s="290" t="e">
        <f t="shared" si="0"/>
        <v>#DIV/0!</v>
      </c>
      <c r="X24" s="329"/>
      <c r="Y24" s="285"/>
      <c r="Z24" s="285"/>
      <c r="AA24" s="285"/>
      <c r="AB24" s="285"/>
      <c r="AC24" s="285"/>
      <c r="AD24" s="285"/>
      <c r="AE24" s="285"/>
    </row>
    <row r="25" spans="1:31" ht="18.95" customHeight="1">
      <c r="A25" s="312"/>
      <c r="B25" s="279"/>
      <c r="C25" s="280" t="s">
        <v>47</v>
      </c>
      <c r="D25" s="281" t="s">
        <v>43</v>
      </c>
      <c r="E25" s="282">
        <v>0</v>
      </c>
      <c r="F25" s="283"/>
      <c r="G25" s="282">
        <v>0</v>
      </c>
      <c r="H25" s="283"/>
      <c r="I25" s="284">
        <v>0</v>
      </c>
      <c r="J25" s="285">
        <v>0</v>
      </c>
      <c r="K25" s="285">
        <v>0</v>
      </c>
      <c r="L25" s="285">
        <v>0</v>
      </c>
      <c r="M25" s="285">
        <v>0</v>
      </c>
      <c r="N25" s="285">
        <v>0</v>
      </c>
      <c r="O25" s="285">
        <v>0</v>
      </c>
      <c r="P25" s="285">
        <v>0</v>
      </c>
      <c r="Q25" s="285">
        <v>0</v>
      </c>
      <c r="R25" s="286">
        <f>SUM(J25:Q25)</f>
        <v>0</v>
      </c>
      <c r="S25" s="287">
        <f>I25-R25</f>
        <v>0</v>
      </c>
      <c r="T25" s="288">
        <f>G25-I25</f>
        <v>0</v>
      </c>
      <c r="U25" s="289">
        <v>0</v>
      </c>
      <c r="V25" s="290" t="e">
        <f t="shared" si="0"/>
        <v>#DIV/0!</v>
      </c>
      <c r="X25" s="329"/>
      <c r="Y25" s="285"/>
      <c r="Z25" s="285"/>
      <c r="AA25" s="285"/>
      <c r="AB25" s="285"/>
      <c r="AC25" s="285"/>
      <c r="AD25" s="285"/>
      <c r="AE25" s="285"/>
    </row>
    <row r="26" spans="1:31" ht="18.95" customHeight="1">
      <c r="A26" s="312"/>
      <c r="B26" s="279"/>
      <c r="C26" s="280" t="s">
        <v>39</v>
      </c>
      <c r="D26" s="281" t="s">
        <v>43</v>
      </c>
      <c r="E26" s="282">
        <v>0</v>
      </c>
      <c r="F26" s="283"/>
      <c r="G26" s="282">
        <v>0</v>
      </c>
      <c r="H26" s="283"/>
      <c r="I26" s="284">
        <v>0</v>
      </c>
      <c r="J26" s="285">
        <v>0</v>
      </c>
      <c r="K26" s="285">
        <v>0</v>
      </c>
      <c r="L26" s="285">
        <v>0</v>
      </c>
      <c r="M26" s="285">
        <v>0</v>
      </c>
      <c r="N26" s="285">
        <v>0</v>
      </c>
      <c r="O26" s="285">
        <v>0</v>
      </c>
      <c r="P26" s="285">
        <v>0</v>
      </c>
      <c r="Q26" s="285">
        <v>0</v>
      </c>
      <c r="R26" s="286">
        <f>SUM(J26:Q26)</f>
        <v>0</v>
      </c>
      <c r="S26" s="287">
        <f>I26-R26</f>
        <v>0</v>
      </c>
      <c r="T26" s="288">
        <f>G26-I26</f>
        <v>0</v>
      </c>
      <c r="U26" s="289">
        <v>0</v>
      </c>
      <c r="V26" s="290" t="e">
        <f t="shared" si="0"/>
        <v>#DIV/0!</v>
      </c>
      <c r="X26" s="329"/>
      <c r="Y26" s="285"/>
      <c r="Z26" s="285"/>
      <c r="AA26" s="285"/>
      <c r="AB26" s="285"/>
      <c r="AC26" s="285"/>
      <c r="AD26" s="285"/>
      <c r="AE26" s="285"/>
    </row>
    <row r="27" spans="1:31" ht="18.95" customHeight="1">
      <c r="A27" s="312"/>
      <c r="B27" s="279"/>
      <c r="C27" s="280" t="s">
        <v>45</v>
      </c>
      <c r="D27" s="281" t="s">
        <v>43</v>
      </c>
      <c r="E27" s="282">
        <v>0</v>
      </c>
      <c r="F27" s="283"/>
      <c r="G27" s="282">
        <v>0</v>
      </c>
      <c r="H27" s="283"/>
      <c r="I27" s="284">
        <v>200000</v>
      </c>
      <c r="J27" s="285">
        <v>0</v>
      </c>
      <c r="K27" s="285">
        <v>0</v>
      </c>
      <c r="L27" s="285">
        <v>0</v>
      </c>
      <c r="M27" s="285">
        <v>0</v>
      </c>
      <c r="N27" s="285">
        <v>0</v>
      </c>
      <c r="O27" s="285">
        <v>0</v>
      </c>
      <c r="P27" s="285">
        <v>0</v>
      </c>
      <c r="Q27" s="285">
        <v>0</v>
      </c>
      <c r="R27" s="286">
        <f>SUM(J27:Q27)</f>
        <v>0</v>
      </c>
      <c r="S27" s="287">
        <f>I27-R27</f>
        <v>200000</v>
      </c>
      <c r="T27" s="288">
        <f>G27-I27</f>
        <v>-200000</v>
      </c>
      <c r="U27" s="289">
        <v>0</v>
      </c>
      <c r="V27" s="290" t="e">
        <f t="shared" si="0"/>
        <v>#DIV/0!</v>
      </c>
      <c r="X27" s="329"/>
      <c r="Y27" s="285"/>
      <c r="Z27" s="285"/>
      <c r="AA27" s="285"/>
      <c r="AB27" s="285"/>
      <c r="AC27" s="285"/>
      <c r="AD27" s="285"/>
      <c r="AE27" s="285"/>
    </row>
    <row r="28" spans="1:31" ht="18.95" customHeight="1">
      <c r="A28" s="312"/>
      <c r="B28" s="279"/>
      <c r="C28" s="280" t="s">
        <v>42</v>
      </c>
      <c r="D28" s="281" t="s">
        <v>43</v>
      </c>
      <c r="E28" s="282">
        <v>1609000</v>
      </c>
      <c r="F28" s="283"/>
      <c r="G28" s="282">
        <v>0</v>
      </c>
      <c r="H28" s="283"/>
      <c r="I28" s="284">
        <v>0</v>
      </c>
      <c r="J28" s="285">
        <v>0</v>
      </c>
      <c r="K28" s="285">
        <v>0</v>
      </c>
      <c r="L28" s="285">
        <v>0</v>
      </c>
      <c r="M28" s="285">
        <v>0</v>
      </c>
      <c r="N28" s="285">
        <v>0</v>
      </c>
      <c r="O28" s="285">
        <v>0</v>
      </c>
      <c r="P28" s="285">
        <v>0</v>
      </c>
      <c r="Q28" s="285">
        <v>0</v>
      </c>
      <c r="R28" s="286">
        <f>SUM(J28:Q28)</f>
        <v>0</v>
      </c>
      <c r="S28" s="287">
        <f>I28-R28</f>
        <v>0</v>
      </c>
      <c r="T28" s="288">
        <f>G28-I28</f>
        <v>0</v>
      </c>
      <c r="U28" s="289">
        <v>0</v>
      </c>
      <c r="V28" s="290" t="e">
        <f t="shared" si="0"/>
        <v>#DIV/0!</v>
      </c>
      <c r="X28" s="329"/>
      <c r="Y28" s="285"/>
      <c r="Z28" s="285"/>
      <c r="AA28" s="285"/>
      <c r="AB28" s="285"/>
      <c r="AC28" s="285"/>
      <c r="AD28" s="285"/>
      <c r="AE28" s="285"/>
    </row>
    <row r="29" spans="1:31" ht="18.95" customHeight="1">
      <c r="A29" s="312"/>
      <c r="B29" s="279"/>
      <c r="C29" s="280" t="s">
        <v>64</v>
      </c>
      <c r="D29" s="281" t="s">
        <v>43</v>
      </c>
      <c r="E29" s="282">
        <v>0</v>
      </c>
      <c r="F29" s="283"/>
      <c r="G29" s="282">
        <v>0</v>
      </c>
      <c r="H29" s="283"/>
      <c r="I29" s="284">
        <v>0</v>
      </c>
      <c r="J29" s="285">
        <v>0</v>
      </c>
      <c r="K29" s="285">
        <v>0</v>
      </c>
      <c r="L29" s="285">
        <v>0</v>
      </c>
      <c r="M29" s="285">
        <v>0</v>
      </c>
      <c r="N29" s="285">
        <v>0</v>
      </c>
      <c r="O29" s="285">
        <v>0</v>
      </c>
      <c r="P29" s="285">
        <v>0</v>
      </c>
      <c r="Q29" s="285">
        <v>0</v>
      </c>
      <c r="R29" s="286">
        <f>SUM(J29:Q29)</f>
        <v>0</v>
      </c>
      <c r="S29" s="287">
        <f>I29-R29</f>
        <v>0</v>
      </c>
      <c r="T29" s="288">
        <f>G29-I29</f>
        <v>0</v>
      </c>
      <c r="U29" s="289">
        <v>0</v>
      </c>
      <c r="V29" s="290" t="e">
        <f t="shared" si="0"/>
        <v>#DIV/0!</v>
      </c>
      <c r="X29" s="329"/>
      <c r="Y29" s="285"/>
      <c r="Z29" s="285"/>
      <c r="AA29" s="285"/>
      <c r="AB29" s="285"/>
      <c r="AC29" s="285"/>
      <c r="AD29" s="285"/>
      <c r="AE29" s="285"/>
    </row>
    <row r="30" spans="1:31" ht="18.95" customHeight="1">
      <c r="A30" s="313"/>
      <c r="B30" s="279"/>
      <c r="C30" s="280" t="s">
        <v>50</v>
      </c>
      <c r="D30" s="281" t="s">
        <v>43</v>
      </c>
      <c r="E30" s="282">
        <v>970000</v>
      </c>
      <c r="F30" s="283"/>
      <c r="G30" s="282">
        <v>900000</v>
      </c>
      <c r="H30" s="283"/>
      <c r="I30" s="284">
        <v>700000</v>
      </c>
      <c r="J30" s="285">
        <v>0</v>
      </c>
      <c r="K30" s="285">
        <v>0</v>
      </c>
      <c r="L30" s="285">
        <v>0</v>
      </c>
      <c r="M30" s="285">
        <v>0</v>
      </c>
      <c r="N30" s="285">
        <v>0</v>
      </c>
      <c r="O30" s="285">
        <v>0</v>
      </c>
      <c r="P30" s="285">
        <v>0</v>
      </c>
      <c r="Q30" s="285">
        <v>0</v>
      </c>
      <c r="R30" s="286">
        <f>SUM(J30:Q30)</f>
        <v>0</v>
      </c>
      <c r="S30" s="287">
        <f>I30-R30</f>
        <v>700000</v>
      </c>
      <c r="T30" s="288">
        <f>G30-I30</f>
        <v>200000</v>
      </c>
      <c r="U30" s="289">
        <v>0</v>
      </c>
      <c r="V30" s="290" t="e">
        <f t="shared" si="0"/>
        <v>#DIV/0!</v>
      </c>
      <c r="X30" s="329"/>
      <c r="Y30" s="285"/>
      <c r="Z30" s="285"/>
      <c r="AA30" s="285"/>
      <c r="AB30" s="285"/>
      <c r="AC30" s="285"/>
      <c r="AD30" s="285"/>
      <c r="AE30" s="285"/>
    </row>
    <row r="31" spans="1:31" ht="18.95" customHeight="1">
      <c r="A31" s="314" t="s">
        <v>65</v>
      </c>
      <c r="B31" s="291" t="s">
        <v>66</v>
      </c>
      <c r="C31" s="292" t="s">
        <v>67</v>
      </c>
      <c r="D31" s="293" t="s">
        <v>68</v>
      </c>
      <c r="E31" s="294">
        <v>10752500</v>
      </c>
      <c r="F31" s="295"/>
      <c r="G31" s="294">
        <v>10700000</v>
      </c>
      <c r="H31" s="295"/>
      <c r="I31" s="296">
        <v>10700000</v>
      </c>
      <c r="J31" s="273">
        <v>0</v>
      </c>
      <c r="K31" s="273">
        <v>0</v>
      </c>
      <c r="L31" s="273">
        <v>4333500</v>
      </c>
      <c r="M31" s="273">
        <v>1444500</v>
      </c>
      <c r="N31" s="273">
        <v>0</v>
      </c>
      <c r="O31" s="273">
        <v>0</v>
      </c>
      <c r="P31" s="273">
        <v>0</v>
      </c>
      <c r="Q31" s="273">
        <v>0</v>
      </c>
      <c r="R31" s="274">
        <f>SUM(J31:Q31)</f>
        <v>5778000</v>
      </c>
      <c r="S31" s="275">
        <f>I31-R31</f>
        <v>4922000</v>
      </c>
      <c r="T31" s="276">
        <f>G31-I31</f>
        <v>0</v>
      </c>
      <c r="U31" s="297">
        <v>106</v>
      </c>
      <c r="V31" s="278">
        <f t="shared" si="0"/>
        <v>54509.433962264149</v>
      </c>
      <c r="X31" s="328"/>
      <c r="Y31" s="273"/>
      <c r="Z31" s="273"/>
      <c r="AA31" s="273"/>
      <c r="AB31" s="273"/>
      <c r="AC31" s="273"/>
      <c r="AD31" s="273"/>
      <c r="AE31" s="273"/>
    </row>
    <row r="32" spans="1:31" ht="18.95" customHeight="1">
      <c r="A32" s="312"/>
      <c r="B32" s="279"/>
      <c r="C32" s="280" t="s">
        <v>67</v>
      </c>
      <c r="D32" s="281" t="s">
        <v>43</v>
      </c>
      <c r="E32" s="282">
        <v>0</v>
      </c>
      <c r="F32" s="283"/>
      <c r="G32" s="282">
        <v>0</v>
      </c>
      <c r="H32" s="283"/>
      <c r="I32" s="284">
        <v>0</v>
      </c>
      <c r="J32" s="285">
        <v>0</v>
      </c>
      <c r="K32" s="285">
        <v>0</v>
      </c>
      <c r="L32" s="285">
        <v>0</v>
      </c>
      <c r="M32" s="285">
        <v>0</v>
      </c>
      <c r="N32" s="285">
        <v>0</v>
      </c>
      <c r="O32" s="285">
        <v>0</v>
      </c>
      <c r="P32" s="285">
        <v>0</v>
      </c>
      <c r="Q32" s="285">
        <v>0</v>
      </c>
      <c r="R32" s="286">
        <f>SUM(J32:Q32)</f>
        <v>0</v>
      </c>
      <c r="S32" s="287">
        <f>I32-R32</f>
        <v>0</v>
      </c>
      <c r="T32" s="288">
        <f>G32-I32</f>
        <v>0</v>
      </c>
      <c r="U32" s="289">
        <v>0</v>
      </c>
      <c r="V32" s="290" t="e">
        <f t="shared" si="0"/>
        <v>#DIV/0!</v>
      </c>
      <c r="X32" s="329"/>
      <c r="Y32" s="285"/>
      <c r="Z32" s="285"/>
      <c r="AA32" s="285"/>
      <c r="AB32" s="285"/>
      <c r="AC32" s="285"/>
      <c r="AD32" s="285"/>
      <c r="AE32" s="285"/>
    </row>
    <row r="33" spans="1:31" ht="18.95" customHeight="1">
      <c r="A33" s="312"/>
      <c r="B33" s="279"/>
      <c r="C33" s="280" t="s">
        <v>69</v>
      </c>
      <c r="D33" s="281" t="s">
        <v>43</v>
      </c>
      <c r="E33" s="282">
        <v>0</v>
      </c>
      <c r="F33" s="283"/>
      <c r="G33" s="282">
        <v>0</v>
      </c>
      <c r="H33" s="283"/>
      <c r="I33" s="284">
        <v>0</v>
      </c>
      <c r="J33" s="285">
        <v>0</v>
      </c>
      <c r="K33" s="285">
        <v>0</v>
      </c>
      <c r="L33" s="285">
        <v>0</v>
      </c>
      <c r="M33" s="285">
        <v>0</v>
      </c>
      <c r="N33" s="285">
        <v>0</v>
      </c>
      <c r="O33" s="285">
        <v>0</v>
      </c>
      <c r="P33" s="285">
        <v>0</v>
      </c>
      <c r="Q33" s="285">
        <v>0</v>
      </c>
      <c r="R33" s="286">
        <f>SUM(J33:Q33)</f>
        <v>0</v>
      </c>
      <c r="S33" s="287">
        <f>I33-R33</f>
        <v>0</v>
      </c>
      <c r="T33" s="288">
        <f>G33-I33</f>
        <v>0</v>
      </c>
      <c r="U33" s="289">
        <v>0</v>
      </c>
      <c r="V33" s="290" t="e">
        <f t="shared" si="0"/>
        <v>#DIV/0!</v>
      </c>
      <c r="X33" s="329"/>
      <c r="Y33" s="285"/>
      <c r="Z33" s="285"/>
      <c r="AA33" s="285"/>
      <c r="AB33" s="285"/>
      <c r="AC33" s="285"/>
      <c r="AD33" s="285"/>
      <c r="AE33" s="285"/>
    </row>
    <row r="34" spans="1:31" ht="18.95" customHeight="1">
      <c r="A34" s="312"/>
      <c r="B34" s="279"/>
      <c r="C34" s="280" t="s">
        <v>70</v>
      </c>
      <c r="D34" s="281" t="s">
        <v>43</v>
      </c>
      <c r="E34" s="282">
        <v>126000</v>
      </c>
      <c r="F34" s="283"/>
      <c r="G34" s="282">
        <v>0</v>
      </c>
      <c r="H34" s="283"/>
      <c r="I34" s="284">
        <v>0</v>
      </c>
      <c r="J34" s="285">
        <v>0</v>
      </c>
      <c r="K34" s="285">
        <v>0</v>
      </c>
      <c r="L34" s="285">
        <v>0</v>
      </c>
      <c r="M34" s="285">
        <v>0</v>
      </c>
      <c r="N34" s="285">
        <v>0</v>
      </c>
      <c r="O34" s="285">
        <v>0</v>
      </c>
      <c r="P34" s="285">
        <v>0</v>
      </c>
      <c r="Q34" s="285">
        <v>0</v>
      </c>
      <c r="R34" s="286">
        <f>SUM(J34:Q34)</f>
        <v>0</v>
      </c>
      <c r="S34" s="287">
        <f>I34-R34</f>
        <v>0</v>
      </c>
      <c r="T34" s="288">
        <f>G34-I34</f>
        <v>0</v>
      </c>
      <c r="U34" s="289">
        <v>0</v>
      </c>
      <c r="V34" s="290" t="e">
        <f t="shared" si="0"/>
        <v>#DIV/0!</v>
      </c>
      <c r="X34" s="329"/>
      <c r="Y34" s="285"/>
      <c r="Z34" s="285"/>
      <c r="AA34" s="285"/>
      <c r="AB34" s="285"/>
      <c r="AC34" s="285"/>
      <c r="AD34" s="285"/>
      <c r="AE34" s="285"/>
    </row>
    <row r="35" spans="1:31" ht="18.95" customHeight="1">
      <c r="A35" s="312"/>
      <c r="B35" s="279"/>
      <c r="C35" s="280" t="s">
        <v>71</v>
      </c>
      <c r="D35" s="281" t="s">
        <v>43</v>
      </c>
      <c r="E35" s="282">
        <v>0</v>
      </c>
      <c r="F35" s="283"/>
      <c r="G35" s="282">
        <v>0</v>
      </c>
      <c r="H35" s="283"/>
      <c r="I35" s="284">
        <v>0</v>
      </c>
      <c r="J35" s="285">
        <v>0</v>
      </c>
      <c r="K35" s="285">
        <v>0</v>
      </c>
      <c r="L35" s="285">
        <v>0</v>
      </c>
      <c r="M35" s="285">
        <v>0</v>
      </c>
      <c r="N35" s="285">
        <v>0</v>
      </c>
      <c r="O35" s="285">
        <v>0</v>
      </c>
      <c r="P35" s="285">
        <v>0</v>
      </c>
      <c r="Q35" s="285">
        <v>0</v>
      </c>
      <c r="R35" s="286">
        <f>SUM(J35:Q35)</f>
        <v>0</v>
      </c>
      <c r="S35" s="287">
        <f>I35-R35</f>
        <v>0</v>
      </c>
      <c r="T35" s="288">
        <f>G35-I35</f>
        <v>0</v>
      </c>
      <c r="U35" s="289">
        <v>0</v>
      </c>
      <c r="V35" s="290" t="e">
        <f t="shared" si="0"/>
        <v>#DIV/0!</v>
      </c>
      <c r="X35" s="329"/>
      <c r="Y35" s="285"/>
      <c r="Z35" s="285"/>
      <c r="AA35" s="285"/>
      <c r="AB35" s="285"/>
      <c r="AC35" s="285"/>
      <c r="AD35" s="285"/>
      <c r="AE35" s="285"/>
    </row>
    <row r="36" spans="1:31" ht="18.95" customHeight="1">
      <c r="A36" s="312"/>
      <c r="B36" s="279"/>
      <c r="C36" s="280" t="s">
        <v>72</v>
      </c>
      <c r="D36" s="281" t="s">
        <v>43</v>
      </c>
      <c r="E36" s="282">
        <v>3750000</v>
      </c>
      <c r="F36" s="283"/>
      <c r="G36" s="282">
        <v>625000</v>
      </c>
      <c r="H36" s="283"/>
      <c r="I36" s="284">
        <v>375000</v>
      </c>
      <c r="J36" s="285">
        <v>0</v>
      </c>
      <c r="K36" s="285">
        <v>0</v>
      </c>
      <c r="L36" s="285">
        <v>0</v>
      </c>
      <c r="M36" s="285">
        <v>0</v>
      </c>
      <c r="N36" s="285">
        <v>0</v>
      </c>
      <c r="O36" s="285">
        <v>0</v>
      </c>
      <c r="P36" s="285">
        <v>0</v>
      </c>
      <c r="Q36" s="285">
        <v>0</v>
      </c>
      <c r="R36" s="286">
        <f>SUM(J36:Q36)</f>
        <v>0</v>
      </c>
      <c r="S36" s="287">
        <f>I36-R36</f>
        <v>375000</v>
      </c>
      <c r="T36" s="288">
        <f>G36-I36</f>
        <v>250000</v>
      </c>
      <c r="U36" s="289">
        <v>0</v>
      </c>
      <c r="V36" s="290" t="e">
        <f t="shared" si="0"/>
        <v>#DIV/0!</v>
      </c>
      <c r="X36" s="329"/>
      <c r="Y36" s="285"/>
      <c r="Z36" s="285"/>
      <c r="AA36" s="285"/>
      <c r="AB36" s="285"/>
      <c r="AC36" s="285"/>
      <c r="AD36" s="285"/>
      <c r="AE36" s="285"/>
    </row>
    <row r="37" spans="1:31" ht="18.95" customHeight="1">
      <c r="A37" s="313"/>
      <c r="B37" s="279"/>
      <c r="C37" s="280" t="s">
        <v>73</v>
      </c>
      <c r="D37" s="281" t="s">
        <v>43</v>
      </c>
      <c r="E37" s="282">
        <v>0</v>
      </c>
      <c r="F37" s="283"/>
      <c r="G37" s="282">
        <v>0</v>
      </c>
      <c r="H37" s="283"/>
      <c r="I37" s="284">
        <v>0</v>
      </c>
      <c r="J37" s="285">
        <v>0</v>
      </c>
      <c r="K37" s="285">
        <v>0</v>
      </c>
      <c r="L37" s="285">
        <v>0</v>
      </c>
      <c r="M37" s="285">
        <v>0</v>
      </c>
      <c r="N37" s="285">
        <v>0</v>
      </c>
      <c r="O37" s="285">
        <v>0</v>
      </c>
      <c r="P37" s="285">
        <v>0</v>
      </c>
      <c r="Q37" s="285">
        <v>0</v>
      </c>
      <c r="R37" s="286">
        <f>SUM(J37:Q37)</f>
        <v>0</v>
      </c>
      <c r="S37" s="287">
        <f>I37-R37</f>
        <v>0</v>
      </c>
      <c r="T37" s="288">
        <f>G37-I37</f>
        <v>0</v>
      </c>
      <c r="U37" s="289">
        <v>0</v>
      </c>
      <c r="V37" s="290" t="e">
        <f t="shared" si="0"/>
        <v>#DIV/0!</v>
      </c>
      <c r="X37" s="329"/>
      <c r="Y37" s="285"/>
      <c r="Z37" s="285"/>
      <c r="AA37" s="285"/>
      <c r="AB37" s="285"/>
      <c r="AC37" s="285"/>
      <c r="AD37" s="285"/>
      <c r="AE37" s="285"/>
    </row>
    <row r="38" spans="1:31" ht="18.95" customHeight="1">
      <c r="A38" s="314" t="s">
        <v>74</v>
      </c>
      <c r="B38" s="291" t="s">
        <v>38</v>
      </c>
      <c r="C38" s="292" t="s">
        <v>75</v>
      </c>
      <c r="D38" s="293" t="s">
        <v>40</v>
      </c>
      <c r="E38" s="294">
        <v>8049475</v>
      </c>
      <c r="F38" s="295"/>
      <c r="G38" s="294">
        <v>8583000</v>
      </c>
      <c r="H38" s="295"/>
      <c r="I38" s="296">
        <v>8583000</v>
      </c>
      <c r="J38" s="273">
        <v>0</v>
      </c>
      <c r="K38" s="273">
        <v>0</v>
      </c>
      <c r="L38" s="273">
        <v>1900000</v>
      </c>
      <c r="M38" s="273">
        <v>4270000</v>
      </c>
      <c r="N38" s="273">
        <v>1470000</v>
      </c>
      <c r="O38" s="273">
        <v>0</v>
      </c>
      <c r="P38" s="273">
        <v>0</v>
      </c>
      <c r="Q38" s="273">
        <v>0</v>
      </c>
      <c r="R38" s="274">
        <f>SUM(J38:Q38)</f>
        <v>7640000</v>
      </c>
      <c r="S38" s="275">
        <f>I38-R38</f>
        <v>943000</v>
      </c>
      <c r="T38" s="276">
        <f>G38-I38</f>
        <v>0</v>
      </c>
      <c r="U38" s="297">
        <v>128</v>
      </c>
      <c r="V38" s="278">
        <f t="shared" si="0"/>
        <v>59687.5</v>
      </c>
      <c r="X38" s="328"/>
      <c r="Y38" s="273"/>
      <c r="Z38" s="273"/>
      <c r="AA38" s="273"/>
      <c r="AB38" s="273"/>
      <c r="AC38" s="273"/>
      <c r="AD38" s="273"/>
      <c r="AE38" s="273"/>
    </row>
    <row r="39" spans="1:31" ht="18.95" customHeight="1">
      <c r="A39" s="312"/>
      <c r="B39" s="279" t="s">
        <v>38</v>
      </c>
      <c r="C39" s="280" t="s">
        <v>75</v>
      </c>
      <c r="D39" s="281" t="s">
        <v>43</v>
      </c>
      <c r="E39" s="282">
        <v>0</v>
      </c>
      <c r="F39" s="283"/>
      <c r="G39" s="282">
        <v>0</v>
      </c>
      <c r="H39" s="283"/>
      <c r="I39" s="284">
        <v>0</v>
      </c>
      <c r="J39" s="285">
        <v>0</v>
      </c>
      <c r="K39" s="285">
        <v>0</v>
      </c>
      <c r="L39" s="285">
        <v>0</v>
      </c>
      <c r="M39" s="285">
        <v>-235800</v>
      </c>
      <c r="N39" s="285">
        <v>-527600</v>
      </c>
      <c r="O39" s="285">
        <v>-399200</v>
      </c>
      <c r="P39" s="285">
        <v>0</v>
      </c>
      <c r="Q39" s="285">
        <v>0</v>
      </c>
      <c r="R39" s="286">
        <f>SUM(J39:Q39)</f>
        <v>-1162600</v>
      </c>
      <c r="S39" s="287">
        <f>I39-R39</f>
        <v>1162600</v>
      </c>
      <c r="T39" s="288">
        <f>G39-I39</f>
        <v>0</v>
      </c>
      <c r="U39" s="289">
        <v>0</v>
      </c>
      <c r="V39" s="290" t="e">
        <f t="shared" si="0"/>
        <v>#DIV/0!</v>
      </c>
      <c r="X39" s="329"/>
      <c r="Y39" s="285"/>
      <c r="Z39" s="285"/>
      <c r="AA39" s="285"/>
      <c r="AB39" s="285"/>
      <c r="AC39" s="285"/>
      <c r="AD39" s="285"/>
      <c r="AE39" s="285"/>
    </row>
    <row r="40" spans="1:31" ht="18.95" customHeight="1">
      <c r="A40" s="312"/>
      <c r="B40" s="279" t="s">
        <v>53</v>
      </c>
      <c r="C40" s="280" t="s">
        <v>76</v>
      </c>
      <c r="D40" s="281" t="s">
        <v>43</v>
      </c>
      <c r="E40" s="282">
        <v>0</v>
      </c>
      <c r="F40" s="283"/>
      <c r="G40" s="282">
        <v>0</v>
      </c>
      <c r="H40" s="283"/>
      <c r="I40" s="284">
        <v>0</v>
      </c>
      <c r="J40" s="285">
        <v>0</v>
      </c>
      <c r="K40" s="285">
        <v>0</v>
      </c>
      <c r="L40" s="285">
        <v>221600</v>
      </c>
      <c r="M40" s="285">
        <v>495200</v>
      </c>
      <c r="N40" s="285">
        <v>376200</v>
      </c>
      <c r="O40" s="285">
        <v>0</v>
      </c>
      <c r="P40" s="285">
        <v>0</v>
      </c>
      <c r="Q40" s="285">
        <v>0</v>
      </c>
      <c r="R40" s="286">
        <f>SUM(J40:Q40)</f>
        <v>1093000</v>
      </c>
      <c r="S40" s="287">
        <f>I40-R40</f>
        <v>-1093000</v>
      </c>
      <c r="T40" s="288">
        <f>G40-I40</f>
        <v>0</v>
      </c>
      <c r="U40" s="289">
        <v>0</v>
      </c>
      <c r="V40" s="290" t="e">
        <f t="shared" si="0"/>
        <v>#DIV/0!</v>
      </c>
      <c r="X40" s="329"/>
      <c r="Y40" s="285"/>
      <c r="Z40" s="285"/>
      <c r="AA40" s="285"/>
      <c r="AB40" s="285"/>
      <c r="AC40" s="285"/>
      <c r="AD40" s="285"/>
      <c r="AE40" s="285"/>
    </row>
    <row r="41" spans="1:31" ht="18.95" customHeight="1">
      <c r="A41" s="312"/>
      <c r="B41" s="279"/>
      <c r="C41" s="280" t="s">
        <v>75</v>
      </c>
      <c r="D41" s="281" t="s">
        <v>43</v>
      </c>
      <c r="E41" s="282">
        <v>0</v>
      </c>
      <c r="F41" s="283"/>
      <c r="G41" s="282">
        <v>0</v>
      </c>
      <c r="H41" s="283"/>
      <c r="I41" s="284">
        <v>0</v>
      </c>
      <c r="J41" s="285">
        <v>0</v>
      </c>
      <c r="K41" s="285">
        <v>0</v>
      </c>
      <c r="L41" s="285">
        <v>0</v>
      </c>
      <c r="M41" s="285">
        <v>0</v>
      </c>
      <c r="N41" s="285">
        <v>0</v>
      </c>
      <c r="O41" s="285">
        <v>0</v>
      </c>
      <c r="P41" s="285">
        <v>0</v>
      </c>
      <c r="Q41" s="285">
        <v>0</v>
      </c>
      <c r="R41" s="286">
        <f>SUM(J41:Q41)</f>
        <v>0</v>
      </c>
      <c r="S41" s="287">
        <f>I41-R41</f>
        <v>0</v>
      </c>
      <c r="T41" s="288">
        <f>G41-I41</f>
        <v>0</v>
      </c>
      <c r="U41" s="289">
        <v>0</v>
      </c>
      <c r="V41" s="290" t="e">
        <f t="shared" si="0"/>
        <v>#DIV/0!</v>
      </c>
      <c r="X41" s="329"/>
      <c r="Y41" s="285"/>
      <c r="Z41" s="285"/>
      <c r="AA41" s="285"/>
      <c r="AB41" s="285"/>
      <c r="AC41" s="285"/>
      <c r="AD41" s="285"/>
      <c r="AE41" s="285"/>
    </row>
    <row r="42" spans="1:31" ht="18.95" customHeight="1">
      <c r="A42" s="313"/>
      <c r="B42" s="279"/>
      <c r="C42" s="280" t="s">
        <v>76</v>
      </c>
      <c r="D42" s="281" t="s">
        <v>43</v>
      </c>
      <c r="E42" s="282">
        <v>0</v>
      </c>
      <c r="F42" s="283"/>
      <c r="G42" s="282">
        <v>0</v>
      </c>
      <c r="H42" s="283"/>
      <c r="I42" s="284">
        <v>0</v>
      </c>
      <c r="J42" s="285">
        <v>0</v>
      </c>
      <c r="K42" s="285">
        <v>0</v>
      </c>
      <c r="L42" s="285">
        <v>0</v>
      </c>
      <c r="M42" s="285">
        <v>0</v>
      </c>
      <c r="N42" s="285">
        <v>0</v>
      </c>
      <c r="O42" s="285">
        <v>0</v>
      </c>
      <c r="P42" s="285">
        <v>0</v>
      </c>
      <c r="Q42" s="285">
        <v>0</v>
      </c>
      <c r="R42" s="286">
        <f>SUM(J42:Q42)</f>
        <v>0</v>
      </c>
      <c r="S42" s="287">
        <f>I42-R42</f>
        <v>0</v>
      </c>
      <c r="T42" s="288">
        <f>G42-I42</f>
        <v>0</v>
      </c>
      <c r="U42" s="289">
        <v>0</v>
      </c>
      <c r="V42" s="290" t="e">
        <f t="shared" si="0"/>
        <v>#DIV/0!</v>
      </c>
      <c r="X42" s="329"/>
      <c r="Y42" s="285"/>
      <c r="Z42" s="285"/>
      <c r="AA42" s="285"/>
      <c r="AB42" s="285"/>
      <c r="AC42" s="285"/>
      <c r="AD42" s="285"/>
      <c r="AE42" s="285"/>
    </row>
    <row r="43" spans="1:31" ht="18.95" customHeight="1">
      <c r="A43" s="314" t="s">
        <v>77</v>
      </c>
      <c r="B43" s="291" t="s">
        <v>38</v>
      </c>
      <c r="C43" s="292" t="s">
        <v>78</v>
      </c>
      <c r="D43" s="293" t="s">
        <v>40</v>
      </c>
      <c r="E43" s="294">
        <v>822100</v>
      </c>
      <c r="F43" s="295"/>
      <c r="G43" s="294">
        <v>679200</v>
      </c>
      <c r="H43" s="295"/>
      <c r="I43" s="296">
        <v>679200</v>
      </c>
      <c r="J43" s="273">
        <v>0</v>
      </c>
      <c r="K43" s="273">
        <v>0</v>
      </c>
      <c r="L43" s="273">
        <v>0</v>
      </c>
      <c r="M43" s="273">
        <v>679200</v>
      </c>
      <c r="N43" s="273">
        <v>0</v>
      </c>
      <c r="O43" s="273">
        <v>0</v>
      </c>
      <c r="P43" s="273">
        <v>0</v>
      </c>
      <c r="Q43" s="273">
        <v>0</v>
      </c>
      <c r="R43" s="274">
        <f>SUM(J43:Q43)</f>
        <v>679200</v>
      </c>
      <c r="S43" s="275">
        <f>I43-R43</f>
        <v>0</v>
      </c>
      <c r="T43" s="276">
        <f>G43-I43</f>
        <v>0</v>
      </c>
      <c r="U43" s="297">
        <v>35</v>
      </c>
      <c r="V43" s="278">
        <f t="shared" si="0"/>
        <v>19405.714285714286</v>
      </c>
      <c r="X43" s="328"/>
      <c r="Y43" s="273"/>
      <c r="Z43" s="273"/>
      <c r="AA43" s="273"/>
      <c r="AB43" s="273"/>
      <c r="AC43" s="273"/>
      <c r="AD43" s="273"/>
      <c r="AE43" s="273"/>
    </row>
    <row r="44" spans="1:31" ht="18.95" customHeight="1">
      <c r="A44" s="312"/>
      <c r="B44" s="279" t="s">
        <v>38</v>
      </c>
      <c r="C44" s="280" t="s">
        <v>78</v>
      </c>
      <c r="D44" s="281" t="s">
        <v>43</v>
      </c>
      <c r="E44" s="282">
        <v>0</v>
      </c>
      <c r="F44" s="283"/>
      <c r="G44" s="282">
        <v>0</v>
      </c>
      <c r="H44" s="283"/>
      <c r="I44" s="284">
        <v>0</v>
      </c>
      <c r="J44" s="285">
        <v>0</v>
      </c>
      <c r="K44" s="285">
        <v>0</v>
      </c>
      <c r="L44" s="285">
        <v>325000</v>
      </c>
      <c r="M44" s="285">
        <v>0</v>
      </c>
      <c r="N44" s="285">
        <v>-54300</v>
      </c>
      <c r="O44" s="285">
        <v>0</v>
      </c>
      <c r="P44" s="285">
        <v>0</v>
      </c>
      <c r="Q44" s="285">
        <v>0</v>
      </c>
      <c r="R44" s="286">
        <f>SUM(J44:Q44)</f>
        <v>270700</v>
      </c>
      <c r="S44" s="287">
        <f>I44-R44</f>
        <v>-270700</v>
      </c>
      <c r="T44" s="288">
        <f>G44-I44</f>
        <v>0</v>
      </c>
      <c r="U44" s="289">
        <v>0</v>
      </c>
      <c r="V44" s="290" t="e">
        <f t="shared" si="0"/>
        <v>#DIV/0!</v>
      </c>
      <c r="X44" s="329"/>
      <c r="Y44" s="285"/>
      <c r="Z44" s="285"/>
      <c r="AA44" s="285"/>
      <c r="AB44" s="285"/>
      <c r="AC44" s="285"/>
      <c r="AD44" s="285"/>
      <c r="AE44" s="285"/>
    </row>
    <row r="45" spans="1:31" ht="18.95" customHeight="1">
      <c r="A45" s="312"/>
      <c r="B45" s="279" t="s">
        <v>38</v>
      </c>
      <c r="C45" s="280" t="s">
        <v>79</v>
      </c>
      <c r="D45" s="281" t="s">
        <v>40</v>
      </c>
      <c r="E45" s="282">
        <v>3684600</v>
      </c>
      <c r="F45" s="283"/>
      <c r="G45" s="282">
        <v>3756250</v>
      </c>
      <c r="H45" s="283"/>
      <c r="I45" s="284">
        <v>3756250</v>
      </c>
      <c r="J45" s="285">
        <v>0</v>
      </c>
      <c r="K45" s="285">
        <v>0</v>
      </c>
      <c r="L45" s="285">
        <v>0</v>
      </c>
      <c r="M45" s="285">
        <v>1280800</v>
      </c>
      <c r="N45" s="285">
        <v>1680000</v>
      </c>
      <c r="O45" s="285">
        <v>0</v>
      </c>
      <c r="P45" s="285">
        <v>0</v>
      </c>
      <c r="Q45" s="285">
        <v>0</v>
      </c>
      <c r="R45" s="286">
        <f>SUM(J45:Q45)</f>
        <v>2960800</v>
      </c>
      <c r="S45" s="287">
        <f>I45-R45</f>
        <v>795450</v>
      </c>
      <c r="T45" s="288">
        <f>G45-I45</f>
        <v>0</v>
      </c>
      <c r="U45" s="289">
        <v>30</v>
      </c>
      <c r="V45" s="290">
        <f t="shared" si="0"/>
        <v>98693.333333333328</v>
      </c>
      <c r="X45" s="329"/>
      <c r="Y45" s="285"/>
      <c r="Z45" s="285"/>
      <c r="AA45" s="285"/>
      <c r="AB45" s="285"/>
      <c r="AC45" s="285"/>
      <c r="AD45" s="285"/>
      <c r="AE45" s="285"/>
    </row>
    <row r="46" spans="1:31" ht="18.95" customHeight="1">
      <c r="A46" s="312"/>
      <c r="B46" s="279" t="s">
        <v>38</v>
      </c>
      <c r="C46" s="280" t="s">
        <v>79</v>
      </c>
      <c r="D46" s="281" t="s">
        <v>43</v>
      </c>
      <c r="E46" s="282">
        <v>0</v>
      </c>
      <c r="F46" s="283"/>
      <c r="G46" s="282">
        <v>0</v>
      </c>
      <c r="H46" s="283"/>
      <c r="I46" s="284">
        <v>0</v>
      </c>
      <c r="J46" s="285">
        <v>0</v>
      </c>
      <c r="K46" s="285">
        <v>0</v>
      </c>
      <c r="L46" s="285">
        <v>0</v>
      </c>
      <c r="M46" s="285">
        <v>259400</v>
      </c>
      <c r="N46" s="285">
        <v>0</v>
      </c>
      <c r="O46" s="285">
        <v>0</v>
      </c>
      <c r="P46" s="285">
        <v>0</v>
      </c>
      <c r="Q46" s="285">
        <v>0</v>
      </c>
      <c r="R46" s="286">
        <f>SUM(J46:Q46)</f>
        <v>259400</v>
      </c>
      <c r="S46" s="287">
        <f>I46-R46</f>
        <v>-259400</v>
      </c>
      <c r="T46" s="288">
        <f>G46-I46</f>
        <v>0</v>
      </c>
      <c r="U46" s="289">
        <v>0</v>
      </c>
      <c r="V46" s="290" t="e">
        <f t="shared" si="0"/>
        <v>#DIV/0!</v>
      </c>
      <c r="X46" s="329"/>
      <c r="Y46" s="285"/>
      <c r="Z46" s="285"/>
      <c r="AA46" s="285"/>
      <c r="AB46" s="285"/>
      <c r="AC46" s="285"/>
      <c r="AD46" s="285"/>
      <c r="AE46" s="285"/>
    </row>
    <row r="47" spans="1:31" ht="18.95" customHeight="1">
      <c r="A47" s="312"/>
      <c r="B47" s="279" t="s">
        <v>38</v>
      </c>
      <c r="C47" s="280" t="s">
        <v>80</v>
      </c>
      <c r="D47" s="281" t="s">
        <v>40</v>
      </c>
      <c r="E47" s="282">
        <v>1771450</v>
      </c>
      <c r="F47" s="283"/>
      <c r="G47" s="282">
        <v>1879290</v>
      </c>
      <c r="H47" s="283"/>
      <c r="I47" s="284">
        <v>1879290</v>
      </c>
      <c r="J47" s="285">
        <v>0</v>
      </c>
      <c r="K47" s="285">
        <v>0</v>
      </c>
      <c r="L47" s="285">
        <v>0</v>
      </c>
      <c r="M47" s="285">
        <v>0</v>
      </c>
      <c r="N47" s="285">
        <v>0</v>
      </c>
      <c r="O47" s="285">
        <v>0</v>
      </c>
      <c r="P47" s="285">
        <v>0</v>
      </c>
      <c r="Q47" s="285">
        <v>0</v>
      </c>
      <c r="R47" s="286">
        <f>SUM(J47:Q47)</f>
        <v>0</v>
      </c>
      <c r="S47" s="287">
        <f>I47-R47</f>
        <v>1879290</v>
      </c>
      <c r="T47" s="288">
        <f>G47-I47</f>
        <v>0</v>
      </c>
      <c r="U47" s="289">
        <v>10</v>
      </c>
      <c r="V47" s="290">
        <f t="shared" si="0"/>
        <v>0</v>
      </c>
      <c r="X47" s="329"/>
      <c r="Y47" s="285"/>
      <c r="Z47" s="285"/>
      <c r="AA47" s="285"/>
      <c r="AB47" s="285"/>
      <c r="AC47" s="285"/>
      <c r="AD47" s="285"/>
      <c r="AE47" s="285"/>
    </row>
    <row r="48" spans="1:31" ht="18.95" customHeight="1">
      <c r="A48" s="312"/>
      <c r="B48" s="279" t="s">
        <v>53</v>
      </c>
      <c r="C48" s="280" t="s">
        <v>81</v>
      </c>
      <c r="D48" s="281" t="s">
        <v>43</v>
      </c>
      <c r="E48" s="282">
        <v>0</v>
      </c>
      <c r="F48" s="283"/>
      <c r="G48" s="282">
        <v>0</v>
      </c>
      <c r="H48" s="283"/>
      <c r="I48" s="284">
        <v>0</v>
      </c>
      <c r="J48" s="285">
        <v>0</v>
      </c>
      <c r="K48" s="285">
        <v>0</v>
      </c>
      <c r="L48" s="285">
        <v>0</v>
      </c>
      <c r="M48" s="285">
        <v>48280</v>
      </c>
      <c r="N48" s="285">
        <v>0</v>
      </c>
      <c r="O48" s="285">
        <v>0</v>
      </c>
      <c r="P48" s="285">
        <v>0</v>
      </c>
      <c r="Q48" s="285">
        <v>0</v>
      </c>
      <c r="R48" s="286">
        <f>SUM(J48:Q48)</f>
        <v>48280</v>
      </c>
      <c r="S48" s="287">
        <f>I48-R48</f>
        <v>-48280</v>
      </c>
      <c r="T48" s="288">
        <f>G48-I48</f>
        <v>0</v>
      </c>
      <c r="U48" s="289">
        <v>0</v>
      </c>
      <c r="V48" s="290" t="e">
        <f t="shared" si="0"/>
        <v>#DIV/0!</v>
      </c>
      <c r="X48" s="329"/>
      <c r="Y48" s="285"/>
      <c r="Z48" s="285"/>
      <c r="AA48" s="285"/>
      <c r="AB48" s="285"/>
      <c r="AC48" s="285"/>
      <c r="AD48" s="285"/>
      <c r="AE48" s="285"/>
    </row>
    <row r="49" spans="1:31" ht="18.95" customHeight="1">
      <c r="A49" s="312"/>
      <c r="B49" s="279" t="s">
        <v>53</v>
      </c>
      <c r="C49" s="280" t="s">
        <v>82</v>
      </c>
      <c r="D49" s="281" t="s">
        <v>43</v>
      </c>
      <c r="E49" s="282">
        <v>0</v>
      </c>
      <c r="F49" s="283"/>
      <c r="G49" s="282">
        <v>0</v>
      </c>
      <c r="H49" s="283"/>
      <c r="I49" s="284">
        <v>0</v>
      </c>
      <c r="J49" s="285">
        <v>0</v>
      </c>
      <c r="K49" s="285">
        <v>0</v>
      </c>
      <c r="L49" s="285">
        <v>14700</v>
      </c>
      <c r="M49" s="285">
        <v>33880</v>
      </c>
      <c r="N49" s="285">
        <v>0</v>
      </c>
      <c r="O49" s="285">
        <v>0</v>
      </c>
      <c r="P49" s="285">
        <v>0</v>
      </c>
      <c r="Q49" s="285">
        <v>0</v>
      </c>
      <c r="R49" s="286">
        <f>SUM(J49:Q49)</f>
        <v>48580</v>
      </c>
      <c r="S49" s="287">
        <f>I49-R49</f>
        <v>-48580</v>
      </c>
      <c r="T49" s="288">
        <f>G49-I49</f>
        <v>0</v>
      </c>
      <c r="U49" s="289">
        <v>0</v>
      </c>
      <c r="V49" s="290" t="e">
        <f t="shared" si="0"/>
        <v>#DIV/0!</v>
      </c>
      <c r="X49" s="329"/>
      <c r="Y49" s="285"/>
      <c r="Z49" s="285"/>
      <c r="AA49" s="285"/>
      <c r="AB49" s="285"/>
      <c r="AC49" s="285"/>
      <c r="AD49" s="285"/>
      <c r="AE49" s="285"/>
    </row>
    <row r="50" spans="1:31" ht="18.95" customHeight="1">
      <c r="A50" s="312"/>
      <c r="B50" s="279" t="s">
        <v>83</v>
      </c>
      <c r="C50" s="280" t="s">
        <v>82</v>
      </c>
      <c r="D50" s="281" t="s">
        <v>43</v>
      </c>
      <c r="E50" s="282">
        <v>0</v>
      </c>
      <c r="F50" s="283"/>
      <c r="G50" s="282">
        <v>0</v>
      </c>
      <c r="H50" s="283"/>
      <c r="I50" s="284">
        <v>0</v>
      </c>
      <c r="J50" s="285">
        <v>0</v>
      </c>
      <c r="K50" s="285">
        <v>0</v>
      </c>
      <c r="L50" s="285">
        <v>0</v>
      </c>
      <c r="M50" s="285">
        <v>510900</v>
      </c>
      <c r="N50" s="285">
        <v>0</v>
      </c>
      <c r="O50" s="285">
        <v>0</v>
      </c>
      <c r="P50" s="285">
        <v>0</v>
      </c>
      <c r="Q50" s="285">
        <v>0</v>
      </c>
      <c r="R50" s="286">
        <f>SUM(J50:Q50)</f>
        <v>510900</v>
      </c>
      <c r="S50" s="287">
        <f>I50-R50</f>
        <v>-510900</v>
      </c>
      <c r="T50" s="288">
        <f>G50-I50</f>
        <v>0</v>
      </c>
      <c r="U50" s="289">
        <v>0</v>
      </c>
      <c r="V50" s="290" t="e">
        <f t="shared" si="0"/>
        <v>#DIV/0!</v>
      </c>
      <c r="X50" s="329"/>
      <c r="Y50" s="285"/>
      <c r="Z50" s="285"/>
      <c r="AA50" s="285"/>
      <c r="AB50" s="285"/>
      <c r="AC50" s="285"/>
      <c r="AD50" s="285"/>
      <c r="AE50" s="285"/>
    </row>
    <row r="51" spans="1:31" ht="18.95" customHeight="1">
      <c r="A51" s="312"/>
      <c r="B51" s="279" t="s">
        <v>55</v>
      </c>
      <c r="C51" s="280" t="s">
        <v>82</v>
      </c>
      <c r="D51" s="281" t="s">
        <v>43</v>
      </c>
      <c r="E51" s="282">
        <v>0</v>
      </c>
      <c r="F51" s="283"/>
      <c r="G51" s="282">
        <v>0</v>
      </c>
      <c r="H51" s="283"/>
      <c r="I51" s="284">
        <v>0</v>
      </c>
      <c r="J51" s="285">
        <v>0</v>
      </c>
      <c r="K51" s="285">
        <v>0</v>
      </c>
      <c r="L51" s="285">
        <v>0</v>
      </c>
      <c r="M51" s="285">
        <v>0</v>
      </c>
      <c r="N51" s="285">
        <v>17420</v>
      </c>
      <c r="O51" s="285">
        <v>0</v>
      </c>
      <c r="P51" s="285">
        <v>0</v>
      </c>
      <c r="Q51" s="285">
        <v>0</v>
      </c>
      <c r="R51" s="286">
        <f>SUM(J51:Q51)</f>
        <v>17420</v>
      </c>
      <c r="S51" s="287">
        <f>I51-R51</f>
        <v>-17420</v>
      </c>
      <c r="T51" s="288">
        <f>G51-I51</f>
        <v>0</v>
      </c>
      <c r="U51" s="289">
        <v>0</v>
      </c>
      <c r="V51" s="290" t="e">
        <f t="shared" si="0"/>
        <v>#DIV/0!</v>
      </c>
      <c r="X51" s="329"/>
      <c r="Y51" s="285"/>
      <c r="Z51" s="285"/>
      <c r="AA51" s="285"/>
      <c r="AB51" s="285"/>
      <c r="AC51" s="285"/>
      <c r="AD51" s="285"/>
      <c r="AE51" s="285"/>
    </row>
    <row r="52" spans="1:31" ht="18.95" customHeight="1">
      <c r="A52" s="312"/>
      <c r="B52" s="279" t="s">
        <v>84</v>
      </c>
      <c r="C52" s="280" t="s">
        <v>79</v>
      </c>
      <c r="D52" s="281" t="s">
        <v>43</v>
      </c>
      <c r="E52" s="282">
        <v>0</v>
      </c>
      <c r="F52" s="283"/>
      <c r="G52" s="282">
        <v>0</v>
      </c>
      <c r="H52" s="283"/>
      <c r="I52" s="284">
        <v>220000</v>
      </c>
      <c r="J52" s="285">
        <v>0</v>
      </c>
      <c r="K52" s="285">
        <v>0</v>
      </c>
      <c r="L52" s="285">
        <v>0</v>
      </c>
      <c r="M52" s="285">
        <v>0</v>
      </c>
      <c r="N52" s="285">
        <v>0</v>
      </c>
      <c r="O52" s="285">
        <v>220000</v>
      </c>
      <c r="P52" s="285">
        <v>0</v>
      </c>
      <c r="Q52" s="285">
        <v>0</v>
      </c>
      <c r="R52" s="286">
        <f>SUM(J52:Q52)</f>
        <v>220000</v>
      </c>
      <c r="S52" s="287">
        <f>I52-R52</f>
        <v>0</v>
      </c>
      <c r="T52" s="288">
        <f>G52-I52</f>
        <v>-220000</v>
      </c>
      <c r="U52" s="289">
        <v>0</v>
      </c>
      <c r="V52" s="290" t="e">
        <f t="shared" si="0"/>
        <v>#DIV/0!</v>
      </c>
      <c r="X52" s="329"/>
      <c r="Y52" s="285"/>
      <c r="Z52" s="285"/>
      <c r="AA52" s="285"/>
      <c r="AB52" s="285"/>
      <c r="AC52" s="285"/>
      <c r="AD52" s="285"/>
      <c r="AE52" s="285"/>
    </row>
    <row r="53" spans="1:31" ht="18.95" customHeight="1">
      <c r="A53" s="312"/>
      <c r="B53" s="279"/>
      <c r="C53" s="280" t="s">
        <v>78</v>
      </c>
      <c r="D53" s="281" t="s">
        <v>43</v>
      </c>
      <c r="E53" s="282">
        <v>0</v>
      </c>
      <c r="F53" s="283"/>
      <c r="G53" s="282">
        <v>250000</v>
      </c>
      <c r="H53" s="283"/>
      <c r="I53" s="284">
        <v>325000</v>
      </c>
      <c r="J53" s="285">
        <v>0</v>
      </c>
      <c r="K53" s="285">
        <v>0</v>
      </c>
      <c r="L53" s="285">
        <v>0</v>
      </c>
      <c r="M53" s="285">
        <v>0</v>
      </c>
      <c r="N53" s="285">
        <v>0</v>
      </c>
      <c r="O53" s="285">
        <v>0</v>
      </c>
      <c r="P53" s="285">
        <v>0</v>
      </c>
      <c r="Q53" s="285">
        <v>0</v>
      </c>
      <c r="R53" s="286">
        <f>SUM(J53:Q53)</f>
        <v>0</v>
      </c>
      <c r="S53" s="287">
        <f>I53-R53</f>
        <v>325000</v>
      </c>
      <c r="T53" s="288">
        <f>G53-I53</f>
        <v>-75000</v>
      </c>
      <c r="U53" s="289">
        <v>0</v>
      </c>
      <c r="V53" s="290" t="e">
        <f t="shared" si="0"/>
        <v>#DIV/0!</v>
      </c>
      <c r="X53" s="329"/>
      <c r="Y53" s="285"/>
      <c r="Z53" s="285"/>
      <c r="AA53" s="285"/>
      <c r="AB53" s="285"/>
      <c r="AC53" s="285"/>
      <c r="AD53" s="285"/>
      <c r="AE53" s="285"/>
    </row>
    <row r="54" spans="1:31" ht="18.95" customHeight="1">
      <c r="A54" s="312"/>
      <c r="B54" s="279"/>
      <c r="C54" s="280" t="s">
        <v>81</v>
      </c>
      <c r="D54" s="281" t="s">
        <v>43</v>
      </c>
      <c r="E54" s="282">
        <v>0</v>
      </c>
      <c r="F54" s="283"/>
      <c r="G54" s="282">
        <v>0</v>
      </c>
      <c r="H54" s="283"/>
      <c r="I54" s="284">
        <v>0</v>
      </c>
      <c r="J54" s="285">
        <v>0</v>
      </c>
      <c r="K54" s="285">
        <v>0</v>
      </c>
      <c r="L54" s="285">
        <v>0</v>
      </c>
      <c r="M54" s="285">
        <v>0</v>
      </c>
      <c r="N54" s="285">
        <v>0</v>
      </c>
      <c r="O54" s="285">
        <v>0</v>
      </c>
      <c r="P54" s="285">
        <v>0</v>
      </c>
      <c r="Q54" s="285">
        <v>0</v>
      </c>
      <c r="R54" s="286">
        <f>SUM(J54:Q54)</f>
        <v>0</v>
      </c>
      <c r="S54" s="287">
        <f>I54-R54</f>
        <v>0</v>
      </c>
      <c r="T54" s="288">
        <f>G54-I54</f>
        <v>0</v>
      </c>
      <c r="U54" s="289">
        <v>0</v>
      </c>
      <c r="V54" s="290" t="e">
        <f t="shared" si="0"/>
        <v>#DIV/0!</v>
      </c>
      <c r="X54" s="329"/>
      <c r="Y54" s="285"/>
      <c r="Z54" s="285"/>
      <c r="AA54" s="285"/>
      <c r="AB54" s="285"/>
      <c r="AC54" s="285"/>
      <c r="AD54" s="285"/>
      <c r="AE54" s="285"/>
    </row>
    <row r="55" spans="1:31" ht="18.95" customHeight="1">
      <c r="A55" s="312"/>
      <c r="B55" s="279"/>
      <c r="C55" s="280" t="s">
        <v>79</v>
      </c>
      <c r="D55" s="281" t="s">
        <v>43</v>
      </c>
      <c r="E55" s="282">
        <v>911360</v>
      </c>
      <c r="F55" s="283"/>
      <c r="G55" s="282">
        <v>945000</v>
      </c>
      <c r="H55" s="283"/>
      <c r="I55" s="284">
        <v>945000</v>
      </c>
      <c r="J55" s="285">
        <v>0</v>
      </c>
      <c r="K55" s="285">
        <v>0</v>
      </c>
      <c r="L55" s="285">
        <v>0</v>
      </c>
      <c r="M55" s="285">
        <v>0</v>
      </c>
      <c r="N55" s="285">
        <v>0</v>
      </c>
      <c r="O55" s="285">
        <v>0</v>
      </c>
      <c r="P55" s="285">
        <v>0</v>
      </c>
      <c r="Q55" s="285">
        <v>0</v>
      </c>
      <c r="R55" s="286">
        <f>SUM(J55:Q55)</f>
        <v>0</v>
      </c>
      <c r="S55" s="287">
        <f>I55-R55</f>
        <v>945000</v>
      </c>
      <c r="T55" s="288">
        <f>G55-I55</f>
        <v>0</v>
      </c>
      <c r="U55" s="289">
        <v>0</v>
      </c>
      <c r="V55" s="290" t="e">
        <f t="shared" si="0"/>
        <v>#DIV/0!</v>
      </c>
      <c r="X55" s="329"/>
      <c r="Y55" s="285"/>
      <c r="Z55" s="285"/>
      <c r="AA55" s="285"/>
      <c r="AB55" s="285"/>
      <c r="AC55" s="285"/>
      <c r="AD55" s="285"/>
      <c r="AE55" s="285"/>
    </row>
    <row r="56" spans="1:31" ht="18.95" customHeight="1">
      <c r="A56" s="312"/>
      <c r="B56" s="279"/>
      <c r="C56" s="280" t="s">
        <v>82</v>
      </c>
      <c r="D56" s="281" t="s">
        <v>43</v>
      </c>
      <c r="E56" s="282">
        <v>0</v>
      </c>
      <c r="F56" s="283"/>
      <c r="G56" s="282">
        <v>0</v>
      </c>
      <c r="H56" s="283"/>
      <c r="I56" s="284">
        <v>60000</v>
      </c>
      <c r="J56" s="285">
        <v>0</v>
      </c>
      <c r="K56" s="285">
        <v>0</v>
      </c>
      <c r="L56" s="285">
        <v>0</v>
      </c>
      <c r="M56" s="285">
        <v>0</v>
      </c>
      <c r="N56" s="285">
        <v>0</v>
      </c>
      <c r="O56" s="285">
        <v>0</v>
      </c>
      <c r="P56" s="285">
        <v>0</v>
      </c>
      <c r="Q56" s="285">
        <v>0</v>
      </c>
      <c r="R56" s="286">
        <f>SUM(J56:Q56)</f>
        <v>0</v>
      </c>
      <c r="S56" s="287">
        <f>I56-R56</f>
        <v>60000</v>
      </c>
      <c r="T56" s="288">
        <f>G56-I56</f>
        <v>-60000</v>
      </c>
      <c r="U56" s="289">
        <v>0</v>
      </c>
      <c r="V56" s="290" t="e">
        <f t="shared" si="0"/>
        <v>#DIV/0!</v>
      </c>
      <c r="X56" s="329"/>
      <c r="Y56" s="285"/>
      <c r="Z56" s="285"/>
      <c r="AA56" s="285"/>
      <c r="AB56" s="285"/>
      <c r="AC56" s="285"/>
      <c r="AD56" s="285"/>
      <c r="AE56" s="285"/>
    </row>
    <row r="57" spans="1:31" ht="18.95" customHeight="1">
      <c r="A57" s="312"/>
      <c r="B57" s="279"/>
      <c r="C57" s="280" t="s">
        <v>80</v>
      </c>
      <c r="D57" s="281" t="s">
        <v>43</v>
      </c>
      <c r="E57" s="282">
        <v>0</v>
      </c>
      <c r="F57" s="283"/>
      <c r="G57" s="282">
        <v>0</v>
      </c>
      <c r="H57" s="283"/>
      <c r="I57" s="284">
        <v>0</v>
      </c>
      <c r="J57" s="285">
        <v>0</v>
      </c>
      <c r="K57" s="285">
        <v>0</v>
      </c>
      <c r="L57" s="285">
        <v>0</v>
      </c>
      <c r="M57" s="285">
        <v>0</v>
      </c>
      <c r="N57" s="285">
        <v>0</v>
      </c>
      <c r="O57" s="285">
        <v>0</v>
      </c>
      <c r="P57" s="285">
        <v>0</v>
      </c>
      <c r="Q57" s="285">
        <v>0</v>
      </c>
      <c r="R57" s="286">
        <f>SUM(J57:Q57)</f>
        <v>0</v>
      </c>
      <c r="S57" s="287">
        <f>I57-R57</f>
        <v>0</v>
      </c>
      <c r="T57" s="288">
        <f>G57-I57</f>
        <v>0</v>
      </c>
      <c r="U57" s="289">
        <v>0</v>
      </c>
      <c r="V57" s="290" t="e">
        <f t="shared" si="0"/>
        <v>#DIV/0!</v>
      </c>
      <c r="X57" s="329"/>
      <c r="Y57" s="285"/>
      <c r="Z57" s="285"/>
      <c r="AA57" s="285"/>
      <c r="AB57" s="285"/>
      <c r="AC57" s="285"/>
      <c r="AD57" s="285"/>
      <c r="AE57" s="285"/>
    </row>
    <row r="58" spans="1:31" ht="18.95" customHeight="1">
      <c r="A58" s="313"/>
      <c r="B58" s="279"/>
      <c r="C58" s="280" t="s">
        <v>85</v>
      </c>
      <c r="D58" s="281" t="s">
        <v>43</v>
      </c>
      <c r="E58" s="282">
        <v>0</v>
      </c>
      <c r="F58" s="283"/>
      <c r="G58" s="282">
        <v>0</v>
      </c>
      <c r="H58" s="283"/>
      <c r="I58" s="284">
        <v>0</v>
      </c>
      <c r="J58" s="285">
        <v>0</v>
      </c>
      <c r="K58" s="285">
        <v>0</v>
      </c>
      <c r="L58" s="285">
        <v>0</v>
      </c>
      <c r="M58" s="285">
        <v>0</v>
      </c>
      <c r="N58" s="285">
        <v>0</v>
      </c>
      <c r="O58" s="285">
        <v>0</v>
      </c>
      <c r="P58" s="285">
        <v>0</v>
      </c>
      <c r="Q58" s="285">
        <v>0</v>
      </c>
      <c r="R58" s="286">
        <f>SUM(J58:Q58)</f>
        <v>0</v>
      </c>
      <c r="S58" s="287">
        <f>I58-R58</f>
        <v>0</v>
      </c>
      <c r="T58" s="288">
        <f>G58-I58</f>
        <v>0</v>
      </c>
      <c r="U58" s="289">
        <v>0</v>
      </c>
      <c r="V58" s="290" t="e">
        <f t="shared" si="0"/>
        <v>#DIV/0!</v>
      </c>
      <c r="X58" s="329"/>
      <c r="Y58" s="285"/>
      <c r="Z58" s="285"/>
      <c r="AA58" s="285"/>
      <c r="AB58" s="285"/>
      <c r="AC58" s="285"/>
      <c r="AD58" s="285"/>
      <c r="AE58" s="285"/>
    </row>
    <row r="59" spans="1:31" ht="18.95" customHeight="1">
      <c r="A59" s="314" t="s">
        <v>86</v>
      </c>
      <c r="B59" s="291" t="s">
        <v>38</v>
      </c>
      <c r="C59" s="292" t="s">
        <v>87</v>
      </c>
      <c r="D59" s="293" t="s">
        <v>40</v>
      </c>
      <c r="E59" s="294">
        <v>2752050</v>
      </c>
      <c r="F59" s="295"/>
      <c r="G59" s="294">
        <v>2659000</v>
      </c>
      <c r="H59" s="295"/>
      <c r="I59" s="296">
        <v>2659000</v>
      </c>
      <c r="J59" s="273">
        <v>0</v>
      </c>
      <c r="K59" s="273">
        <v>0</v>
      </c>
      <c r="L59" s="273">
        <v>0</v>
      </c>
      <c r="M59" s="273">
        <v>0</v>
      </c>
      <c r="N59" s="273">
        <v>710000</v>
      </c>
      <c r="O59" s="273">
        <v>1910000</v>
      </c>
      <c r="P59" s="273">
        <v>0</v>
      </c>
      <c r="Q59" s="273">
        <v>0</v>
      </c>
      <c r="R59" s="274">
        <f>SUM(J59:Q59)</f>
        <v>2620000</v>
      </c>
      <c r="S59" s="275">
        <f>I59-R59</f>
        <v>39000</v>
      </c>
      <c r="T59" s="276">
        <f>G59-I59</f>
        <v>0</v>
      </c>
      <c r="U59" s="297">
        <v>0</v>
      </c>
      <c r="V59" s="278" t="e">
        <f t="shared" si="0"/>
        <v>#DIV/0!</v>
      </c>
      <c r="X59" s="328"/>
      <c r="Y59" s="273"/>
      <c r="Z59" s="273"/>
      <c r="AA59" s="273"/>
      <c r="AB59" s="273"/>
      <c r="AC59" s="273"/>
      <c r="AD59" s="273"/>
      <c r="AE59" s="273"/>
    </row>
    <row r="60" spans="1:31" ht="18.95" customHeight="1">
      <c r="A60" s="312"/>
      <c r="B60" s="279" t="s">
        <v>53</v>
      </c>
      <c r="C60" s="280" t="s">
        <v>88</v>
      </c>
      <c r="D60" s="281" t="s">
        <v>43</v>
      </c>
      <c r="E60" s="282">
        <v>0</v>
      </c>
      <c r="F60" s="283"/>
      <c r="G60" s="282">
        <v>0</v>
      </c>
      <c r="H60" s="283"/>
      <c r="I60" s="284">
        <v>0</v>
      </c>
      <c r="J60" s="285">
        <v>0</v>
      </c>
      <c r="K60" s="285">
        <v>0</v>
      </c>
      <c r="L60" s="285">
        <v>0</v>
      </c>
      <c r="M60" s="285">
        <v>0</v>
      </c>
      <c r="N60" s="285">
        <v>0</v>
      </c>
      <c r="O60" s="285">
        <v>1260</v>
      </c>
      <c r="P60" s="285">
        <v>0</v>
      </c>
      <c r="Q60" s="285">
        <v>0</v>
      </c>
      <c r="R60" s="286">
        <f>SUM(J60:Q60)</f>
        <v>1260</v>
      </c>
      <c r="S60" s="287">
        <f>I60-R60</f>
        <v>-1260</v>
      </c>
      <c r="T60" s="288">
        <f>G60-I60</f>
        <v>0</v>
      </c>
      <c r="U60" s="289">
        <v>0</v>
      </c>
      <c r="V60" s="290" t="e">
        <f t="shared" si="0"/>
        <v>#DIV/0!</v>
      </c>
      <c r="X60" s="329"/>
      <c r="Y60" s="285"/>
      <c r="Z60" s="285"/>
      <c r="AA60" s="285"/>
      <c r="AB60" s="285"/>
      <c r="AC60" s="285"/>
      <c r="AD60" s="285"/>
      <c r="AE60" s="285"/>
    </row>
    <row r="61" spans="1:31" ht="18.95" customHeight="1">
      <c r="A61" s="312"/>
      <c r="B61" s="279" t="s">
        <v>89</v>
      </c>
      <c r="C61" s="280" t="s">
        <v>88</v>
      </c>
      <c r="D61" s="281" t="s">
        <v>43</v>
      </c>
      <c r="E61" s="282">
        <v>0</v>
      </c>
      <c r="F61" s="283"/>
      <c r="G61" s="282">
        <v>0</v>
      </c>
      <c r="H61" s="283"/>
      <c r="I61" s="284">
        <v>0</v>
      </c>
      <c r="J61" s="285">
        <v>0</v>
      </c>
      <c r="K61" s="285">
        <v>0</v>
      </c>
      <c r="L61" s="285">
        <v>19900</v>
      </c>
      <c r="M61" s="285">
        <v>0</v>
      </c>
      <c r="N61" s="285">
        <v>474400</v>
      </c>
      <c r="O61" s="285">
        <v>217600</v>
      </c>
      <c r="P61" s="285">
        <v>0</v>
      </c>
      <c r="Q61" s="285">
        <v>0</v>
      </c>
      <c r="R61" s="286">
        <f>SUM(J61:Q61)</f>
        <v>711900</v>
      </c>
      <c r="S61" s="287">
        <f>I61-R61</f>
        <v>-711900</v>
      </c>
      <c r="T61" s="288">
        <f>G61-I61</f>
        <v>0</v>
      </c>
      <c r="U61" s="289">
        <v>0</v>
      </c>
      <c r="V61" s="290" t="e">
        <f t="shared" si="0"/>
        <v>#DIV/0!</v>
      </c>
      <c r="X61" s="329"/>
      <c r="Y61" s="285"/>
      <c r="Z61" s="285"/>
      <c r="AA61" s="285"/>
      <c r="AB61" s="285"/>
      <c r="AC61" s="285"/>
      <c r="AD61" s="285"/>
      <c r="AE61" s="285"/>
    </row>
    <row r="62" spans="1:31" ht="18.95" customHeight="1">
      <c r="A62" s="312"/>
      <c r="B62" s="279"/>
      <c r="C62" s="280" t="s">
        <v>87</v>
      </c>
      <c r="D62" s="281" t="s">
        <v>43</v>
      </c>
      <c r="E62" s="282">
        <v>0</v>
      </c>
      <c r="F62" s="283"/>
      <c r="G62" s="282">
        <v>50000</v>
      </c>
      <c r="H62" s="283"/>
      <c r="I62" s="284">
        <v>50000</v>
      </c>
      <c r="J62" s="285">
        <v>0</v>
      </c>
      <c r="K62" s="285">
        <v>0</v>
      </c>
      <c r="L62" s="285">
        <v>0</v>
      </c>
      <c r="M62" s="285">
        <v>0</v>
      </c>
      <c r="N62" s="285">
        <v>0</v>
      </c>
      <c r="O62" s="285">
        <v>0</v>
      </c>
      <c r="P62" s="285">
        <v>0</v>
      </c>
      <c r="Q62" s="285">
        <v>0</v>
      </c>
      <c r="R62" s="286">
        <f>SUM(J62:Q62)</f>
        <v>0</v>
      </c>
      <c r="S62" s="287">
        <f>I62-R62</f>
        <v>50000</v>
      </c>
      <c r="T62" s="288">
        <f>G62-I62</f>
        <v>0</v>
      </c>
      <c r="U62" s="289">
        <v>0</v>
      </c>
      <c r="V62" s="290" t="e">
        <f t="shared" si="0"/>
        <v>#DIV/0!</v>
      </c>
      <c r="X62" s="329"/>
      <c r="Y62" s="285"/>
      <c r="Z62" s="285"/>
      <c r="AA62" s="285"/>
      <c r="AB62" s="285"/>
      <c r="AC62" s="285"/>
      <c r="AD62" s="285"/>
      <c r="AE62" s="285"/>
    </row>
    <row r="63" spans="1:31" ht="18.95" customHeight="1">
      <c r="A63" s="313"/>
      <c r="B63" s="279"/>
      <c r="C63" s="280" t="s">
        <v>88</v>
      </c>
      <c r="D63" s="281" t="s">
        <v>43</v>
      </c>
      <c r="E63" s="282">
        <v>715800</v>
      </c>
      <c r="F63" s="283"/>
      <c r="G63" s="282">
        <v>715800</v>
      </c>
      <c r="H63" s="283"/>
      <c r="I63" s="284">
        <v>815800</v>
      </c>
      <c r="J63" s="285">
        <v>0</v>
      </c>
      <c r="K63" s="285">
        <v>0</v>
      </c>
      <c r="L63" s="285">
        <v>0</v>
      </c>
      <c r="M63" s="285">
        <v>0</v>
      </c>
      <c r="N63" s="285">
        <v>0</v>
      </c>
      <c r="O63" s="285">
        <v>0</v>
      </c>
      <c r="P63" s="285">
        <v>0</v>
      </c>
      <c r="Q63" s="285">
        <v>0</v>
      </c>
      <c r="R63" s="286">
        <f>SUM(J63:Q63)</f>
        <v>0</v>
      </c>
      <c r="S63" s="287">
        <f>I63-R63</f>
        <v>815800</v>
      </c>
      <c r="T63" s="288">
        <f>G63-I63</f>
        <v>-100000</v>
      </c>
      <c r="U63" s="289">
        <v>0</v>
      </c>
      <c r="V63" s="290" t="e">
        <f t="shared" si="0"/>
        <v>#DIV/0!</v>
      </c>
      <c r="X63" s="329"/>
      <c r="Y63" s="285"/>
      <c r="Z63" s="285"/>
      <c r="AA63" s="285"/>
      <c r="AB63" s="285"/>
      <c r="AC63" s="285"/>
      <c r="AD63" s="285"/>
      <c r="AE63" s="285"/>
    </row>
    <row r="64" spans="1:31" ht="18.95" customHeight="1">
      <c r="A64" s="314" t="s">
        <v>90</v>
      </c>
      <c r="B64" s="291" t="s">
        <v>38</v>
      </c>
      <c r="C64" s="292" t="s">
        <v>91</v>
      </c>
      <c r="D64" s="293" t="s">
        <v>40</v>
      </c>
      <c r="E64" s="294">
        <v>2083500</v>
      </c>
      <c r="F64" s="295"/>
      <c r="G64" s="294">
        <v>2152500</v>
      </c>
      <c r="H64" s="295"/>
      <c r="I64" s="296">
        <v>2152500</v>
      </c>
      <c r="J64" s="273">
        <v>0</v>
      </c>
      <c r="K64" s="273">
        <v>0</v>
      </c>
      <c r="L64" s="273">
        <v>500000</v>
      </c>
      <c r="M64" s="273">
        <v>1080000</v>
      </c>
      <c r="N64" s="273">
        <v>100000</v>
      </c>
      <c r="O64" s="273">
        <v>120000</v>
      </c>
      <c r="P64" s="273">
        <v>0</v>
      </c>
      <c r="Q64" s="273">
        <v>0</v>
      </c>
      <c r="R64" s="274">
        <f>SUM(J64:Q64)</f>
        <v>1800000</v>
      </c>
      <c r="S64" s="275">
        <f>I64-R64</f>
        <v>352500</v>
      </c>
      <c r="T64" s="276">
        <f>G64-I64</f>
        <v>0</v>
      </c>
      <c r="U64" s="297">
        <v>86</v>
      </c>
      <c r="V64" s="278">
        <f t="shared" si="0"/>
        <v>20930.232558139534</v>
      </c>
      <c r="X64" s="328"/>
      <c r="Y64" s="273"/>
      <c r="Z64" s="273"/>
      <c r="AA64" s="273"/>
      <c r="AB64" s="273"/>
      <c r="AC64" s="273"/>
      <c r="AD64" s="273"/>
      <c r="AE64" s="273"/>
    </row>
    <row r="65" spans="1:31" ht="18.95" customHeight="1">
      <c r="A65" s="312"/>
      <c r="B65" s="279" t="s">
        <v>38</v>
      </c>
      <c r="C65" s="280" t="s">
        <v>92</v>
      </c>
      <c r="D65" s="281" t="s">
        <v>40</v>
      </c>
      <c r="E65" s="282">
        <v>60000</v>
      </c>
      <c r="F65" s="283"/>
      <c r="G65" s="282">
        <v>52500</v>
      </c>
      <c r="H65" s="283"/>
      <c r="I65" s="284">
        <v>52500</v>
      </c>
      <c r="J65" s="285">
        <v>0</v>
      </c>
      <c r="K65" s="285">
        <v>0</v>
      </c>
      <c r="L65" s="285">
        <v>0</v>
      </c>
      <c r="M65" s="285">
        <v>0</v>
      </c>
      <c r="N65" s="285">
        <v>0</v>
      </c>
      <c r="O65" s="285">
        <v>0</v>
      </c>
      <c r="P65" s="285">
        <v>0</v>
      </c>
      <c r="Q65" s="285">
        <v>0</v>
      </c>
      <c r="R65" s="286">
        <f>SUM(J65:Q65)</f>
        <v>0</v>
      </c>
      <c r="S65" s="287">
        <f>I65-R65</f>
        <v>52500</v>
      </c>
      <c r="T65" s="288">
        <f>G65-I65</f>
        <v>0</v>
      </c>
      <c r="U65" s="289">
        <v>0</v>
      </c>
      <c r="V65" s="290" t="e">
        <f t="shared" si="0"/>
        <v>#DIV/0!</v>
      </c>
      <c r="X65" s="329"/>
      <c r="Y65" s="285"/>
      <c r="Z65" s="285"/>
      <c r="AA65" s="285"/>
      <c r="AB65" s="285"/>
      <c r="AC65" s="285"/>
      <c r="AD65" s="285"/>
      <c r="AE65" s="285"/>
    </row>
    <row r="66" spans="1:31" ht="18.95" customHeight="1">
      <c r="A66" s="312"/>
      <c r="B66" s="279" t="s">
        <v>89</v>
      </c>
      <c r="C66" s="280" t="s">
        <v>93</v>
      </c>
      <c r="D66" s="281" t="s">
        <v>43</v>
      </c>
      <c r="E66" s="282">
        <v>0</v>
      </c>
      <c r="F66" s="283"/>
      <c r="G66" s="282">
        <v>0</v>
      </c>
      <c r="H66" s="283"/>
      <c r="I66" s="284">
        <v>0</v>
      </c>
      <c r="J66" s="285">
        <v>0</v>
      </c>
      <c r="K66" s="285">
        <v>0</v>
      </c>
      <c r="L66" s="285">
        <v>123300</v>
      </c>
      <c r="M66" s="285">
        <v>185400</v>
      </c>
      <c r="N66" s="285">
        <v>0</v>
      </c>
      <c r="O66" s="285">
        <v>0</v>
      </c>
      <c r="P66" s="285">
        <v>0</v>
      </c>
      <c r="Q66" s="285">
        <v>0</v>
      </c>
      <c r="R66" s="286">
        <f>SUM(J66:Q66)</f>
        <v>308700</v>
      </c>
      <c r="S66" s="287">
        <f>I66-R66</f>
        <v>-308700</v>
      </c>
      <c r="T66" s="288">
        <f>G66-I66</f>
        <v>0</v>
      </c>
      <c r="U66" s="289">
        <v>0</v>
      </c>
      <c r="V66" s="290" t="e">
        <f t="shared" si="0"/>
        <v>#DIV/0!</v>
      </c>
      <c r="X66" s="329"/>
      <c r="Y66" s="285"/>
      <c r="Z66" s="285"/>
      <c r="AA66" s="285"/>
      <c r="AB66" s="285"/>
      <c r="AC66" s="285"/>
      <c r="AD66" s="285"/>
      <c r="AE66" s="285"/>
    </row>
    <row r="67" spans="1:31" ht="18.95" customHeight="1">
      <c r="A67" s="312"/>
      <c r="B67" s="279"/>
      <c r="C67" s="280" t="s">
        <v>91</v>
      </c>
      <c r="D67" s="281" t="s">
        <v>43</v>
      </c>
      <c r="E67" s="282">
        <v>0</v>
      </c>
      <c r="F67" s="283"/>
      <c r="G67" s="282">
        <v>0</v>
      </c>
      <c r="H67" s="283"/>
      <c r="I67" s="284">
        <v>0</v>
      </c>
      <c r="J67" s="285">
        <v>0</v>
      </c>
      <c r="K67" s="285">
        <v>0</v>
      </c>
      <c r="L67" s="285">
        <v>0</v>
      </c>
      <c r="M67" s="285">
        <v>0</v>
      </c>
      <c r="N67" s="285">
        <v>0</v>
      </c>
      <c r="O67" s="285">
        <v>0</v>
      </c>
      <c r="P67" s="285">
        <v>0</v>
      </c>
      <c r="Q67" s="285">
        <v>0</v>
      </c>
      <c r="R67" s="286">
        <f>SUM(J67:Q67)</f>
        <v>0</v>
      </c>
      <c r="S67" s="287">
        <f>I67-R67</f>
        <v>0</v>
      </c>
      <c r="T67" s="288">
        <f>G67-I67</f>
        <v>0</v>
      </c>
      <c r="U67" s="289">
        <v>0</v>
      </c>
      <c r="V67" s="290" t="e">
        <f t="shared" si="0"/>
        <v>#DIV/0!</v>
      </c>
      <c r="X67" s="329"/>
      <c r="Y67" s="285"/>
      <c r="Z67" s="285"/>
      <c r="AA67" s="285"/>
      <c r="AB67" s="285"/>
      <c r="AC67" s="285"/>
      <c r="AD67" s="285"/>
      <c r="AE67" s="285"/>
    </row>
    <row r="68" spans="1:31" ht="18.95" customHeight="1">
      <c r="A68" s="312"/>
      <c r="B68" s="279"/>
      <c r="C68" s="280" t="s">
        <v>93</v>
      </c>
      <c r="D68" s="281" t="s">
        <v>43</v>
      </c>
      <c r="E68" s="282">
        <v>118300</v>
      </c>
      <c r="F68" s="283"/>
      <c r="G68" s="282">
        <v>539300</v>
      </c>
      <c r="H68" s="283"/>
      <c r="I68" s="284">
        <v>439300</v>
      </c>
      <c r="J68" s="285">
        <v>0</v>
      </c>
      <c r="K68" s="285">
        <v>0</v>
      </c>
      <c r="L68" s="285">
        <v>0</v>
      </c>
      <c r="M68" s="285">
        <v>0</v>
      </c>
      <c r="N68" s="285">
        <v>0</v>
      </c>
      <c r="O68" s="285">
        <v>0</v>
      </c>
      <c r="P68" s="285">
        <v>0</v>
      </c>
      <c r="Q68" s="285">
        <v>0</v>
      </c>
      <c r="R68" s="286">
        <f>SUM(J68:Q68)</f>
        <v>0</v>
      </c>
      <c r="S68" s="287">
        <f>I68-R68</f>
        <v>439300</v>
      </c>
      <c r="T68" s="288">
        <f>G68-I68</f>
        <v>100000</v>
      </c>
      <c r="U68" s="289">
        <v>0</v>
      </c>
      <c r="V68" s="290" t="e">
        <f t="shared" si="0"/>
        <v>#DIV/0!</v>
      </c>
      <c r="X68" s="329"/>
      <c r="Y68" s="285"/>
      <c r="Z68" s="285"/>
      <c r="AA68" s="285"/>
      <c r="AB68" s="285"/>
      <c r="AC68" s="285"/>
      <c r="AD68" s="285"/>
      <c r="AE68" s="285"/>
    </row>
    <row r="69" spans="1:31" ht="18.95" customHeight="1">
      <c r="A69" s="312"/>
      <c r="B69" s="279"/>
      <c r="C69" s="280" t="s">
        <v>92</v>
      </c>
      <c r="D69" s="281" t="s">
        <v>43</v>
      </c>
      <c r="E69" s="282">
        <v>0</v>
      </c>
      <c r="F69" s="283"/>
      <c r="G69" s="282">
        <v>0</v>
      </c>
      <c r="H69" s="283"/>
      <c r="I69" s="284">
        <v>0</v>
      </c>
      <c r="J69" s="285">
        <v>0</v>
      </c>
      <c r="K69" s="285">
        <v>0</v>
      </c>
      <c r="L69" s="285">
        <v>0</v>
      </c>
      <c r="M69" s="285">
        <v>0</v>
      </c>
      <c r="N69" s="285">
        <v>0</v>
      </c>
      <c r="O69" s="285">
        <v>0</v>
      </c>
      <c r="P69" s="285">
        <v>0</v>
      </c>
      <c r="Q69" s="285">
        <v>0</v>
      </c>
      <c r="R69" s="286">
        <f>SUM(J69:Q69)</f>
        <v>0</v>
      </c>
      <c r="S69" s="287">
        <f>I69-R69</f>
        <v>0</v>
      </c>
      <c r="T69" s="288">
        <f>G69-I69</f>
        <v>0</v>
      </c>
      <c r="U69" s="289">
        <v>0</v>
      </c>
      <c r="V69" s="290" t="e">
        <f t="shared" si="0"/>
        <v>#DIV/0!</v>
      </c>
      <c r="X69" s="329"/>
      <c r="Y69" s="285"/>
      <c r="Z69" s="285"/>
      <c r="AA69" s="285"/>
      <c r="AB69" s="285"/>
      <c r="AC69" s="285"/>
      <c r="AD69" s="285"/>
      <c r="AE69" s="285"/>
    </row>
    <row r="70" spans="1:31" ht="18.95" customHeight="1">
      <c r="A70" s="313"/>
      <c r="B70" s="279"/>
      <c r="C70" s="280" t="s">
        <v>94</v>
      </c>
      <c r="D70" s="281" t="s">
        <v>43</v>
      </c>
      <c r="E70" s="282">
        <v>0</v>
      </c>
      <c r="F70" s="283"/>
      <c r="G70" s="282">
        <v>0</v>
      </c>
      <c r="H70" s="283"/>
      <c r="I70" s="284">
        <v>0</v>
      </c>
      <c r="J70" s="285">
        <v>0</v>
      </c>
      <c r="K70" s="285">
        <v>0</v>
      </c>
      <c r="L70" s="285">
        <v>0</v>
      </c>
      <c r="M70" s="285">
        <v>0</v>
      </c>
      <c r="N70" s="285">
        <v>0</v>
      </c>
      <c r="O70" s="285">
        <v>0</v>
      </c>
      <c r="P70" s="285">
        <v>0</v>
      </c>
      <c r="Q70" s="285">
        <v>0</v>
      </c>
      <c r="R70" s="286">
        <f>SUM(J70:Q70)</f>
        <v>0</v>
      </c>
      <c r="S70" s="287">
        <f>I70-R70</f>
        <v>0</v>
      </c>
      <c r="T70" s="288">
        <f>G70-I70</f>
        <v>0</v>
      </c>
      <c r="U70" s="289">
        <v>0</v>
      </c>
      <c r="V70" s="290" t="e">
        <f t="shared" si="0"/>
        <v>#DIV/0!</v>
      </c>
      <c r="X70" s="329"/>
      <c r="Y70" s="285"/>
      <c r="Z70" s="285"/>
      <c r="AA70" s="285"/>
      <c r="AB70" s="285"/>
      <c r="AC70" s="285"/>
      <c r="AD70" s="285"/>
      <c r="AE70" s="285"/>
    </row>
    <row r="71" spans="1:31" ht="18.95" customHeight="1">
      <c r="A71" s="314" t="s">
        <v>95</v>
      </c>
      <c r="B71" s="291" t="s">
        <v>38</v>
      </c>
      <c r="C71" s="292" t="s">
        <v>96</v>
      </c>
      <c r="D71" s="293" t="s">
        <v>40</v>
      </c>
      <c r="E71" s="294">
        <v>267800</v>
      </c>
      <c r="F71" s="295"/>
      <c r="G71" s="294">
        <v>282240</v>
      </c>
      <c r="H71" s="295"/>
      <c r="I71" s="296">
        <v>282240</v>
      </c>
      <c r="J71" s="273">
        <v>0</v>
      </c>
      <c r="K71" s="273">
        <v>0</v>
      </c>
      <c r="L71" s="273">
        <v>0</v>
      </c>
      <c r="M71" s="273">
        <v>0</v>
      </c>
      <c r="N71" s="273">
        <v>0</v>
      </c>
      <c r="O71" s="273">
        <v>0</v>
      </c>
      <c r="P71" s="273">
        <v>0</v>
      </c>
      <c r="Q71" s="273">
        <v>0</v>
      </c>
      <c r="R71" s="274">
        <f>SUM(J71:Q71)</f>
        <v>0</v>
      </c>
      <c r="S71" s="275">
        <f>I71-R71</f>
        <v>282240</v>
      </c>
      <c r="T71" s="276">
        <f>G71-I71</f>
        <v>0</v>
      </c>
      <c r="U71" s="297">
        <v>0</v>
      </c>
      <c r="V71" s="278" t="e">
        <f t="shared" si="0"/>
        <v>#DIV/0!</v>
      </c>
      <c r="X71" s="328"/>
      <c r="Y71" s="273"/>
      <c r="Z71" s="273"/>
      <c r="AA71" s="273"/>
      <c r="AB71" s="273"/>
      <c r="AC71" s="273"/>
      <c r="AD71" s="273"/>
      <c r="AE71" s="273"/>
    </row>
    <row r="72" spans="1:31" ht="18.95" customHeight="1">
      <c r="A72" s="312"/>
      <c r="B72" s="279" t="s">
        <v>38</v>
      </c>
      <c r="C72" s="280" t="s">
        <v>97</v>
      </c>
      <c r="D72" s="281" t="s">
        <v>40</v>
      </c>
      <c r="E72" s="282">
        <v>1378700</v>
      </c>
      <c r="F72" s="283"/>
      <c r="G72" s="282">
        <v>3052820</v>
      </c>
      <c r="H72" s="283"/>
      <c r="I72" s="284">
        <v>1652820</v>
      </c>
      <c r="J72" s="285">
        <v>0</v>
      </c>
      <c r="K72" s="285">
        <v>0</v>
      </c>
      <c r="L72" s="285">
        <v>0</v>
      </c>
      <c r="M72" s="285">
        <v>0</v>
      </c>
      <c r="N72" s="285">
        <v>0</v>
      </c>
      <c r="O72" s="285">
        <v>0</v>
      </c>
      <c r="P72" s="285">
        <v>0</v>
      </c>
      <c r="Q72" s="285">
        <v>0</v>
      </c>
      <c r="R72" s="286">
        <f>SUM(J72:Q72)</f>
        <v>0</v>
      </c>
      <c r="S72" s="287">
        <f>I72-R72</f>
        <v>1652820</v>
      </c>
      <c r="T72" s="288">
        <f>G72-I72</f>
        <v>1400000</v>
      </c>
      <c r="U72" s="289">
        <v>0</v>
      </c>
      <c r="V72" s="290" t="e">
        <f t="shared" ref="V72:V117" si="1">R72/U72</f>
        <v>#DIV/0!</v>
      </c>
      <c r="X72" s="329"/>
      <c r="Y72" s="285"/>
      <c r="Z72" s="285"/>
      <c r="AA72" s="285"/>
      <c r="AB72" s="285"/>
      <c r="AC72" s="285"/>
      <c r="AD72" s="285"/>
      <c r="AE72" s="285"/>
    </row>
    <row r="73" spans="1:31" ht="18.95" customHeight="1">
      <c r="A73" s="312"/>
      <c r="B73" s="279" t="s">
        <v>53</v>
      </c>
      <c r="C73" s="280" t="s">
        <v>98</v>
      </c>
      <c r="D73" s="281" t="s">
        <v>43</v>
      </c>
      <c r="E73" s="282">
        <v>0</v>
      </c>
      <c r="F73" s="283"/>
      <c r="G73" s="282">
        <v>0</v>
      </c>
      <c r="H73" s="283"/>
      <c r="I73" s="284">
        <v>0</v>
      </c>
      <c r="J73" s="285">
        <v>0</v>
      </c>
      <c r="K73" s="285">
        <v>0</v>
      </c>
      <c r="L73" s="285">
        <v>0</v>
      </c>
      <c r="M73" s="285">
        <v>0</v>
      </c>
      <c r="N73" s="285">
        <v>0</v>
      </c>
      <c r="O73" s="285">
        <v>69620</v>
      </c>
      <c r="P73" s="285">
        <v>0</v>
      </c>
      <c r="Q73" s="285">
        <v>0</v>
      </c>
      <c r="R73" s="286">
        <f>SUM(J73:Q73)</f>
        <v>69620</v>
      </c>
      <c r="S73" s="287">
        <f>I73-R73</f>
        <v>-69620</v>
      </c>
      <c r="T73" s="288">
        <f>G73-I73</f>
        <v>0</v>
      </c>
      <c r="U73" s="289">
        <v>0</v>
      </c>
      <c r="V73" s="290" t="e">
        <f t="shared" si="1"/>
        <v>#DIV/0!</v>
      </c>
      <c r="X73" s="329"/>
      <c r="Y73" s="285"/>
      <c r="Z73" s="285"/>
      <c r="AA73" s="285"/>
      <c r="AB73" s="285"/>
      <c r="AC73" s="285"/>
      <c r="AD73" s="285"/>
      <c r="AE73" s="285"/>
    </row>
    <row r="74" spans="1:31" ht="18.95" customHeight="1">
      <c r="A74" s="312"/>
      <c r="B74" s="279" t="s">
        <v>99</v>
      </c>
      <c r="C74" s="280" t="s">
        <v>97</v>
      </c>
      <c r="D74" s="281" t="s">
        <v>100</v>
      </c>
      <c r="E74" s="282">
        <v>540000</v>
      </c>
      <c r="F74" s="283"/>
      <c r="G74" s="282">
        <v>0</v>
      </c>
      <c r="H74" s="283"/>
      <c r="I74" s="284">
        <v>331000</v>
      </c>
      <c r="J74" s="285">
        <v>0</v>
      </c>
      <c r="K74" s="285">
        <v>0</v>
      </c>
      <c r="L74" s="285">
        <v>0</v>
      </c>
      <c r="M74" s="285">
        <v>0</v>
      </c>
      <c r="N74" s="285">
        <v>331000</v>
      </c>
      <c r="O74" s="285">
        <v>0</v>
      </c>
      <c r="P74" s="285">
        <v>0</v>
      </c>
      <c r="Q74" s="285">
        <v>0</v>
      </c>
      <c r="R74" s="286">
        <f>SUM(J74:Q74)</f>
        <v>331000</v>
      </c>
      <c r="S74" s="287">
        <f>I74-R74</f>
        <v>0</v>
      </c>
      <c r="T74" s="288">
        <f>G74-I74</f>
        <v>-331000</v>
      </c>
      <c r="U74" s="289">
        <v>0</v>
      </c>
      <c r="V74" s="290" t="e">
        <f t="shared" si="1"/>
        <v>#DIV/0!</v>
      </c>
      <c r="X74" s="329"/>
      <c r="Y74" s="285"/>
      <c r="Z74" s="285"/>
      <c r="AA74" s="285"/>
      <c r="AB74" s="285"/>
      <c r="AC74" s="285"/>
      <c r="AD74" s="285"/>
      <c r="AE74" s="285"/>
    </row>
    <row r="75" spans="1:31" ht="18.95" customHeight="1">
      <c r="A75" s="312"/>
      <c r="B75" s="279" t="s">
        <v>99</v>
      </c>
      <c r="C75" s="280" t="s">
        <v>97</v>
      </c>
      <c r="D75" s="281" t="s">
        <v>101</v>
      </c>
      <c r="E75" s="282">
        <v>0</v>
      </c>
      <c r="F75" s="283"/>
      <c r="G75" s="282">
        <v>0</v>
      </c>
      <c r="H75" s="283"/>
      <c r="I75" s="284">
        <v>603000</v>
      </c>
      <c r="J75" s="285">
        <v>0</v>
      </c>
      <c r="K75" s="285">
        <v>0</v>
      </c>
      <c r="L75" s="285">
        <v>0</v>
      </c>
      <c r="M75" s="285">
        <v>0</v>
      </c>
      <c r="N75" s="285">
        <v>0</v>
      </c>
      <c r="O75" s="285">
        <v>603000</v>
      </c>
      <c r="P75" s="285">
        <v>0</v>
      </c>
      <c r="Q75" s="285">
        <v>0</v>
      </c>
      <c r="R75" s="286">
        <f>SUM(J75:Q75)</f>
        <v>603000</v>
      </c>
      <c r="S75" s="287">
        <f>I75-R75</f>
        <v>0</v>
      </c>
      <c r="T75" s="288">
        <f>G75-I75</f>
        <v>-603000</v>
      </c>
      <c r="U75" s="289">
        <v>0</v>
      </c>
      <c r="V75" s="290" t="e">
        <f t="shared" si="1"/>
        <v>#DIV/0!</v>
      </c>
      <c r="X75" s="329"/>
      <c r="Y75" s="285"/>
      <c r="Z75" s="285"/>
      <c r="AA75" s="285"/>
      <c r="AB75" s="285"/>
      <c r="AC75" s="285"/>
      <c r="AD75" s="285"/>
      <c r="AE75" s="285"/>
    </row>
    <row r="76" spans="1:31" ht="18.95" customHeight="1">
      <c r="A76" s="312"/>
      <c r="B76" s="279" t="s">
        <v>102</v>
      </c>
      <c r="C76" s="280" t="s">
        <v>96</v>
      </c>
      <c r="D76" s="281" t="s">
        <v>43</v>
      </c>
      <c r="E76" s="282">
        <v>0</v>
      </c>
      <c r="F76" s="283"/>
      <c r="G76" s="282">
        <v>0</v>
      </c>
      <c r="H76" s="283"/>
      <c r="I76" s="284">
        <v>0</v>
      </c>
      <c r="J76" s="285">
        <v>0</v>
      </c>
      <c r="K76" s="285">
        <v>0</v>
      </c>
      <c r="L76" s="285">
        <v>0</v>
      </c>
      <c r="M76" s="285">
        <v>0</v>
      </c>
      <c r="N76" s="285">
        <v>0</v>
      </c>
      <c r="O76" s="285">
        <v>0</v>
      </c>
      <c r="P76" s="285">
        <v>-74360</v>
      </c>
      <c r="Q76" s="285">
        <v>0</v>
      </c>
      <c r="R76" s="286">
        <f>SUM(J76:Q76)</f>
        <v>-74360</v>
      </c>
      <c r="S76" s="287">
        <f>I76-R76</f>
        <v>74360</v>
      </c>
      <c r="T76" s="288">
        <f>G76-I76</f>
        <v>0</v>
      </c>
      <c r="U76" s="289">
        <v>0</v>
      </c>
      <c r="V76" s="290" t="e">
        <f t="shared" si="1"/>
        <v>#DIV/0!</v>
      </c>
      <c r="X76" s="329"/>
      <c r="Y76" s="285"/>
      <c r="Z76" s="285"/>
      <c r="AA76" s="285"/>
      <c r="AB76" s="285"/>
      <c r="AC76" s="285"/>
      <c r="AD76" s="285"/>
      <c r="AE76" s="285"/>
    </row>
    <row r="77" spans="1:31" ht="18.95" customHeight="1">
      <c r="A77" s="312"/>
      <c r="B77" s="279" t="s">
        <v>102</v>
      </c>
      <c r="C77" s="280" t="s">
        <v>103</v>
      </c>
      <c r="D77" s="281" t="s">
        <v>104</v>
      </c>
      <c r="E77" s="282">
        <v>0</v>
      </c>
      <c r="F77" s="283"/>
      <c r="G77" s="282">
        <v>0</v>
      </c>
      <c r="H77" s="283"/>
      <c r="I77" s="284">
        <v>8150000</v>
      </c>
      <c r="J77" s="285">
        <v>0</v>
      </c>
      <c r="K77" s="285">
        <v>0</v>
      </c>
      <c r="L77" s="285">
        <v>0</v>
      </c>
      <c r="M77" s="285">
        <v>0</v>
      </c>
      <c r="N77" s="285">
        <v>4914450</v>
      </c>
      <c r="O77" s="285">
        <v>2273850</v>
      </c>
      <c r="P77" s="285">
        <v>0</v>
      </c>
      <c r="Q77" s="285">
        <v>0</v>
      </c>
      <c r="R77" s="286">
        <f>SUM(J77:Q77)</f>
        <v>7188300</v>
      </c>
      <c r="S77" s="287">
        <f>I77-R77</f>
        <v>961700</v>
      </c>
      <c r="T77" s="288">
        <f>G77-I77</f>
        <v>-8150000</v>
      </c>
      <c r="U77" s="289">
        <v>0</v>
      </c>
      <c r="V77" s="290" t="e">
        <f t="shared" si="1"/>
        <v>#DIV/0!</v>
      </c>
      <c r="X77" s="329"/>
      <c r="Y77" s="285"/>
      <c r="Z77" s="285"/>
      <c r="AA77" s="285"/>
      <c r="AB77" s="285"/>
      <c r="AC77" s="285"/>
      <c r="AD77" s="285"/>
      <c r="AE77" s="285"/>
    </row>
    <row r="78" spans="1:31" ht="18.95" customHeight="1">
      <c r="A78" s="312"/>
      <c r="B78" s="279"/>
      <c r="C78" s="280" t="s">
        <v>96</v>
      </c>
      <c r="D78" s="281" t="s">
        <v>43</v>
      </c>
      <c r="E78" s="282">
        <v>0</v>
      </c>
      <c r="F78" s="283"/>
      <c r="G78" s="282">
        <v>0</v>
      </c>
      <c r="H78" s="283"/>
      <c r="I78" s="284">
        <v>0</v>
      </c>
      <c r="J78" s="285">
        <v>0</v>
      </c>
      <c r="K78" s="285">
        <v>0</v>
      </c>
      <c r="L78" s="285">
        <v>0</v>
      </c>
      <c r="M78" s="285">
        <v>0</v>
      </c>
      <c r="N78" s="285">
        <v>0</v>
      </c>
      <c r="O78" s="285">
        <v>0</v>
      </c>
      <c r="P78" s="285">
        <v>0</v>
      </c>
      <c r="Q78" s="285">
        <v>0</v>
      </c>
      <c r="R78" s="286">
        <f>SUM(J78:Q78)</f>
        <v>0</v>
      </c>
      <c r="S78" s="287">
        <f>I78-R78</f>
        <v>0</v>
      </c>
      <c r="T78" s="288">
        <f>G78-I78</f>
        <v>0</v>
      </c>
      <c r="U78" s="289">
        <v>0</v>
      </c>
      <c r="V78" s="290" t="e">
        <f t="shared" si="1"/>
        <v>#DIV/0!</v>
      </c>
      <c r="X78" s="329"/>
      <c r="Y78" s="285"/>
      <c r="Z78" s="285"/>
      <c r="AA78" s="285"/>
      <c r="AB78" s="285"/>
      <c r="AC78" s="285"/>
      <c r="AD78" s="285"/>
      <c r="AE78" s="285"/>
    </row>
    <row r="79" spans="1:31" ht="18.95" customHeight="1">
      <c r="A79" s="312"/>
      <c r="B79" s="279"/>
      <c r="C79" s="280" t="s">
        <v>98</v>
      </c>
      <c r="D79" s="281" t="s">
        <v>43</v>
      </c>
      <c r="E79" s="282">
        <v>0</v>
      </c>
      <c r="F79" s="283"/>
      <c r="G79" s="282">
        <v>0</v>
      </c>
      <c r="H79" s="283"/>
      <c r="I79" s="284">
        <v>0</v>
      </c>
      <c r="J79" s="285">
        <v>0</v>
      </c>
      <c r="K79" s="285">
        <v>0</v>
      </c>
      <c r="L79" s="285">
        <v>0</v>
      </c>
      <c r="M79" s="285">
        <v>0</v>
      </c>
      <c r="N79" s="285">
        <v>0</v>
      </c>
      <c r="O79" s="285">
        <v>0</v>
      </c>
      <c r="P79" s="285">
        <v>0</v>
      </c>
      <c r="Q79" s="285">
        <v>0</v>
      </c>
      <c r="R79" s="286">
        <f>SUM(J79:Q79)</f>
        <v>0</v>
      </c>
      <c r="S79" s="287">
        <f>I79-R79</f>
        <v>0</v>
      </c>
      <c r="T79" s="288">
        <f>G79-I79</f>
        <v>0</v>
      </c>
      <c r="U79" s="289">
        <v>0</v>
      </c>
      <c r="V79" s="290" t="e">
        <f t="shared" si="1"/>
        <v>#DIV/0!</v>
      </c>
      <c r="X79" s="329"/>
      <c r="Y79" s="285"/>
      <c r="Z79" s="285"/>
      <c r="AA79" s="285"/>
      <c r="AB79" s="285"/>
      <c r="AC79" s="285"/>
      <c r="AD79" s="285"/>
      <c r="AE79" s="285"/>
    </row>
    <row r="80" spans="1:31" ht="18.95" customHeight="1">
      <c r="A80" s="312"/>
      <c r="B80" s="279"/>
      <c r="C80" s="280" t="s">
        <v>97</v>
      </c>
      <c r="D80" s="281" t="s">
        <v>43</v>
      </c>
      <c r="E80" s="282">
        <v>1070000</v>
      </c>
      <c r="F80" s="283"/>
      <c r="G80" s="282">
        <v>0</v>
      </c>
      <c r="H80" s="283"/>
      <c r="I80" s="284">
        <v>0</v>
      </c>
      <c r="J80" s="285">
        <v>0</v>
      </c>
      <c r="K80" s="285">
        <v>0</v>
      </c>
      <c r="L80" s="285">
        <v>0</v>
      </c>
      <c r="M80" s="285">
        <v>0</v>
      </c>
      <c r="N80" s="285">
        <v>0</v>
      </c>
      <c r="O80" s="285">
        <v>0</v>
      </c>
      <c r="P80" s="285">
        <v>0</v>
      </c>
      <c r="Q80" s="285">
        <v>0</v>
      </c>
      <c r="R80" s="286">
        <f>SUM(J80:Q80)</f>
        <v>0</v>
      </c>
      <c r="S80" s="287">
        <f>I80-R80</f>
        <v>0</v>
      </c>
      <c r="T80" s="288">
        <f>G80-I80</f>
        <v>0</v>
      </c>
      <c r="U80" s="289">
        <v>0</v>
      </c>
      <c r="V80" s="290" t="e">
        <f t="shared" si="1"/>
        <v>#DIV/0!</v>
      </c>
      <c r="X80" s="329"/>
      <c r="Y80" s="285"/>
      <c r="Z80" s="285"/>
      <c r="AA80" s="285"/>
      <c r="AB80" s="285"/>
      <c r="AC80" s="285"/>
      <c r="AD80" s="285"/>
      <c r="AE80" s="285"/>
    </row>
    <row r="81" spans="1:31" ht="18.95" customHeight="1">
      <c r="A81" s="313"/>
      <c r="B81" s="279"/>
      <c r="C81" s="280" t="s">
        <v>105</v>
      </c>
      <c r="D81" s="281" t="s">
        <v>43</v>
      </c>
      <c r="E81" s="282">
        <v>0</v>
      </c>
      <c r="F81" s="283"/>
      <c r="G81" s="282">
        <v>0</v>
      </c>
      <c r="H81" s="283"/>
      <c r="I81" s="284">
        <v>0</v>
      </c>
      <c r="J81" s="285">
        <v>0</v>
      </c>
      <c r="K81" s="285">
        <v>0</v>
      </c>
      <c r="L81" s="285">
        <v>0</v>
      </c>
      <c r="M81" s="285">
        <v>0</v>
      </c>
      <c r="N81" s="285">
        <v>0</v>
      </c>
      <c r="O81" s="285">
        <v>0</v>
      </c>
      <c r="P81" s="285">
        <v>0</v>
      </c>
      <c r="Q81" s="285">
        <v>0</v>
      </c>
      <c r="R81" s="286">
        <f>SUM(J81:Q81)</f>
        <v>0</v>
      </c>
      <c r="S81" s="287">
        <f>I81-R81</f>
        <v>0</v>
      </c>
      <c r="T81" s="288">
        <f>G81-I81</f>
        <v>0</v>
      </c>
      <c r="U81" s="289">
        <v>0</v>
      </c>
      <c r="V81" s="290" t="e">
        <f t="shared" si="1"/>
        <v>#DIV/0!</v>
      </c>
      <c r="X81" s="329"/>
      <c r="Y81" s="285"/>
      <c r="Z81" s="285"/>
      <c r="AA81" s="285"/>
      <c r="AB81" s="285"/>
      <c r="AC81" s="285"/>
      <c r="AD81" s="285"/>
      <c r="AE81" s="285"/>
    </row>
    <row r="82" spans="1:31" ht="18.95" customHeight="1">
      <c r="A82" s="314" t="s">
        <v>106</v>
      </c>
      <c r="B82" s="291" t="s">
        <v>38</v>
      </c>
      <c r="C82" s="292" t="s">
        <v>107</v>
      </c>
      <c r="D82" s="293" t="s">
        <v>40</v>
      </c>
      <c r="E82" s="294">
        <v>884700</v>
      </c>
      <c r="F82" s="295"/>
      <c r="G82" s="294">
        <v>1071750</v>
      </c>
      <c r="H82" s="295"/>
      <c r="I82" s="296">
        <v>1071750</v>
      </c>
      <c r="J82" s="273">
        <v>0</v>
      </c>
      <c r="K82" s="273">
        <v>0</v>
      </c>
      <c r="L82" s="273">
        <v>0</v>
      </c>
      <c r="M82" s="273">
        <v>0</v>
      </c>
      <c r="N82" s="273">
        <v>0</v>
      </c>
      <c r="O82" s="273">
        <v>0</v>
      </c>
      <c r="P82" s="273">
        <v>0</v>
      </c>
      <c r="Q82" s="273">
        <v>0</v>
      </c>
      <c r="R82" s="274">
        <f>SUM(J82:Q82)</f>
        <v>0</v>
      </c>
      <c r="S82" s="275">
        <f>I82-R82</f>
        <v>1071750</v>
      </c>
      <c r="T82" s="276">
        <f>G82-I82</f>
        <v>0</v>
      </c>
      <c r="U82" s="297">
        <v>8</v>
      </c>
      <c r="V82" s="278">
        <f t="shared" si="1"/>
        <v>0</v>
      </c>
      <c r="X82" s="328"/>
      <c r="Y82" s="273"/>
      <c r="Z82" s="273"/>
      <c r="AA82" s="273"/>
      <c r="AB82" s="273"/>
      <c r="AC82" s="273"/>
      <c r="AD82" s="273"/>
      <c r="AE82" s="273"/>
    </row>
    <row r="83" spans="1:31" ht="18.95" customHeight="1">
      <c r="A83" s="312"/>
      <c r="B83" s="279"/>
      <c r="C83" s="280" t="s">
        <v>107</v>
      </c>
      <c r="D83" s="281" t="s">
        <v>43</v>
      </c>
      <c r="E83" s="282">
        <v>0</v>
      </c>
      <c r="F83" s="283"/>
      <c r="G83" s="282">
        <v>0</v>
      </c>
      <c r="H83" s="283"/>
      <c r="I83" s="284">
        <v>0</v>
      </c>
      <c r="J83" s="285">
        <v>0</v>
      </c>
      <c r="K83" s="285">
        <v>0</v>
      </c>
      <c r="L83" s="285">
        <v>0</v>
      </c>
      <c r="M83" s="285">
        <v>0</v>
      </c>
      <c r="N83" s="285">
        <v>0</v>
      </c>
      <c r="O83" s="285">
        <v>0</v>
      </c>
      <c r="P83" s="285">
        <v>0</v>
      </c>
      <c r="Q83" s="285">
        <v>0</v>
      </c>
      <c r="R83" s="286">
        <f>SUM(J83:Q83)</f>
        <v>0</v>
      </c>
      <c r="S83" s="287">
        <f>I83-R83</f>
        <v>0</v>
      </c>
      <c r="T83" s="288">
        <f>G83-I83</f>
        <v>0</v>
      </c>
      <c r="U83" s="289">
        <v>0</v>
      </c>
      <c r="V83" s="290" t="e">
        <f t="shared" si="1"/>
        <v>#DIV/0!</v>
      </c>
      <c r="X83" s="329"/>
      <c r="Y83" s="285"/>
      <c r="Z83" s="285"/>
      <c r="AA83" s="285"/>
      <c r="AB83" s="285"/>
      <c r="AC83" s="285"/>
      <c r="AD83" s="285"/>
      <c r="AE83" s="285"/>
    </row>
    <row r="84" spans="1:31" ht="18.95" customHeight="1">
      <c r="A84" s="313"/>
      <c r="B84" s="279"/>
      <c r="C84" s="280" t="s">
        <v>108</v>
      </c>
      <c r="D84" s="281" t="s">
        <v>43</v>
      </c>
      <c r="E84" s="282">
        <v>0</v>
      </c>
      <c r="F84" s="283"/>
      <c r="G84" s="282">
        <v>0</v>
      </c>
      <c r="H84" s="283"/>
      <c r="I84" s="284">
        <v>0</v>
      </c>
      <c r="J84" s="285">
        <v>0</v>
      </c>
      <c r="K84" s="285">
        <v>0</v>
      </c>
      <c r="L84" s="285">
        <v>0</v>
      </c>
      <c r="M84" s="285">
        <v>0</v>
      </c>
      <c r="N84" s="285">
        <v>0</v>
      </c>
      <c r="O84" s="285">
        <v>0</v>
      </c>
      <c r="P84" s="285">
        <v>0</v>
      </c>
      <c r="Q84" s="285">
        <v>0</v>
      </c>
      <c r="R84" s="286">
        <f>SUM(J84:Q84)</f>
        <v>0</v>
      </c>
      <c r="S84" s="287">
        <f>I84-R84</f>
        <v>0</v>
      </c>
      <c r="T84" s="288">
        <f>G84-I84</f>
        <v>0</v>
      </c>
      <c r="U84" s="289">
        <v>0</v>
      </c>
      <c r="V84" s="290" t="e">
        <f t="shared" si="1"/>
        <v>#DIV/0!</v>
      </c>
      <c r="X84" s="329"/>
      <c r="Y84" s="285"/>
      <c r="Z84" s="285"/>
      <c r="AA84" s="285"/>
      <c r="AB84" s="285"/>
      <c r="AC84" s="285"/>
      <c r="AD84" s="285"/>
      <c r="AE84" s="285"/>
    </row>
    <row r="85" spans="1:31" ht="18.95" customHeight="1">
      <c r="A85" s="314" t="s">
        <v>109</v>
      </c>
      <c r="B85" s="291" t="s">
        <v>38</v>
      </c>
      <c r="C85" s="292" t="s">
        <v>110</v>
      </c>
      <c r="D85" s="293" t="s">
        <v>40</v>
      </c>
      <c r="E85" s="294">
        <v>4145400</v>
      </c>
      <c r="F85" s="295"/>
      <c r="G85" s="294">
        <v>4604830</v>
      </c>
      <c r="H85" s="295"/>
      <c r="I85" s="296">
        <v>4545390</v>
      </c>
      <c r="J85" s="273">
        <v>0</v>
      </c>
      <c r="K85" s="273">
        <v>0</v>
      </c>
      <c r="L85" s="273">
        <v>2800000</v>
      </c>
      <c r="M85" s="273">
        <v>0</v>
      </c>
      <c r="N85" s="273">
        <v>0</v>
      </c>
      <c r="O85" s="273">
        <v>1141700</v>
      </c>
      <c r="P85" s="273">
        <v>0</v>
      </c>
      <c r="Q85" s="273">
        <v>0</v>
      </c>
      <c r="R85" s="274">
        <f>SUM(J85:Q85)</f>
        <v>3941700</v>
      </c>
      <c r="S85" s="275">
        <f>I85-R85</f>
        <v>603690</v>
      </c>
      <c r="T85" s="276">
        <f>G85-I85</f>
        <v>59440</v>
      </c>
      <c r="U85" s="297">
        <v>2</v>
      </c>
      <c r="V85" s="278">
        <f t="shared" si="1"/>
        <v>1970850</v>
      </c>
      <c r="X85" s="328"/>
      <c r="Y85" s="273"/>
      <c r="Z85" s="273"/>
      <c r="AA85" s="273"/>
      <c r="AB85" s="273"/>
      <c r="AC85" s="273"/>
      <c r="AD85" s="273"/>
      <c r="AE85" s="273"/>
    </row>
    <row r="86" spans="1:31" ht="18.95" customHeight="1">
      <c r="A86" s="312"/>
      <c r="B86" s="279" t="s">
        <v>38</v>
      </c>
      <c r="C86" s="280" t="s">
        <v>110</v>
      </c>
      <c r="D86" s="281" t="s">
        <v>43</v>
      </c>
      <c r="E86" s="282">
        <v>0</v>
      </c>
      <c r="F86" s="283"/>
      <c r="G86" s="282">
        <v>0</v>
      </c>
      <c r="H86" s="283"/>
      <c r="I86" s="284">
        <v>0</v>
      </c>
      <c r="J86" s="285">
        <v>0</v>
      </c>
      <c r="K86" s="285">
        <v>0</v>
      </c>
      <c r="L86" s="285">
        <v>0</v>
      </c>
      <c r="M86" s="285">
        <v>0</v>
      </c>
      <c r="N86" s="285">
        <v>-158100</v>
      </c>
      <c r="O86" s="285">
        <v>-479500</v>
      </c>
      <c r="P86" s="285">
        <v>-727180</v>
      </c>
      <c r="Q86" s="285">
        <v>0</v>
      </c>
      <c r="R86" s="286">
        <f>SUM(J86:Q86)</f>
        <v>-1364780</v>
      </c>
      <c r="S86" s="287">
        <f>I86-R86</f>
        <v>1364780</v>
      </c>
      <c r="T86" s="288">
        <f>G86-I86</f>
        <v>0</v>
      </c>
      <c r="U86" s="289">
        <v>0</v>
      </c>
      <c r="V86" s="290" t="e">
        <f t="shared" si="1"/>
        <v>#DIV/0!</v>
      </c>
      <c r="X86" s="329"/>
      <c r="Y86" s="285"/>
      <c r="Z86" s="285"/>
      <c r="AA86" s="285"/>
      <c r="AB86" s="285"/>
      <c r="AC86" s="285"/>
      <c r="AD86" s="285"/>
      <c r="AE86" s="285"/>
    </row>
    <row r="87" spans="1:31" ht="18.95" customHeight="1">
      <c r="A87" s="312"/>
      <c r="B87" s="279" t="s">
        <v>38</v>
      </c>
      <c r="C87" s="280" t="s">
        <v>111</v>
      </c>
      <c r="D87" s="281" t="s">
        <v>40</v>
      </c>
      <c r="E87" s="282">
        <v>4275800</v>
      </c>
      <c r="F87" s="283"/>
      <c r="G87" s="282">
        <v>4366500</v>
      </c>
      <c r="H87" s="283"/>
      <c r="I87" s="284">
        <v>4366500</v>
      </c>
      <c r="J87" s="285">
        <v>0</v>
      </c>
      <c r="K87" s="285">
        <v>0</v>
      </c>
      <c r="L87" s="285">
        <v>0</v>
      </c>
      <c r="M87" s="285">
        <v>1840000</v>
      </c>
      <c r="N87" s="285">
        <v>1860000</v>
      </c>
      <c r="O87" s="285">
        <v>0</v>
      </c>
      <c r="P87" s="285">
        <v>0</v>
      </c>
      <c r="Q87" s="285">
        <v>0</v>
      </c>
      <c r="R87" s="286">
        <f>SUM(J87:Q87)</f>
        <v>3700000</v>
      </c>
      <c r="S87" s="287">
        <f>I87-R87</f>
        <v>666500</v>
      </c>
      <c r="T87" s="288">
        <f>G87-I87</f>
        <v>0</v>
      </c>
      <c r="U87" s="289">
        <v>21</v>
      </c>
      <c r="V87" s="290">
        <f t="shared" si="1"/>
        <v>176190.47619047618</v>
      </c>
      <c r="X87" s="329"/>
      <c r="Y87" s="285"/>
      <c r="Z87" s="285"/>
      <c r="AA87" s="285"/>
      <c r="AB87" s="285"/>
      <c r="AC87" s="285"/>
      <c r="AD87" s="285"/>
      <c r="AE87" s="285"/>
    </row>
    <row r="88" spans="1:31" ht="18.95" customHeight="1">
      <c r="A88" s="312"/>
      <c r="B88" s="279" t="s">
        <v>53</v>
      </c>
      <c r="C88" s="280" t="s">
        <v>112</v>
      </c>
      <c r="D88" s="281" t="s">
        <v>43</v>
      </c>
      <c r="E88" s="282">
        <v>0</v>
      </c>
      <c r="F88" s="283"/>
      <c r="G88" s="282">
        <v>0</v>
      </c>
      <c r="H88" s="283"/>
      <c r="I88" s="284">
        <v>0</v>
      </c>
      <c r="J88" s="285">
        <v>0</v>
      </c>
      <c r="K88" s="285">
        <v>0</v>
      </c>
      <c r="L88" s="285">
        <v>0</v>
      </c>
      <c r="M88" s="285">
        <v>149560</v>
      </c>
      <c r="N88" s="285">
        <v>803080</v>
      </c>
      <c r="O88" s="285">
        <v>688060</v>
      </c>
      <c r="P88" s="285">
        <v>0</v>
      </c>
      <c r="Q88" s="285">
        <v>0</v>
      </c>
      <c r="R88" s="286">
        <f>SUM(J88:Q88)</f>
        <v>1640700</v>
      </c>
      <c r="S88" s="287">
        <f>I88-R88</f>
        <v>-1640700</v>
      </c>
      <c r="T88" s="288">
        <f>G88-I88</f>
        <v>0</v>
      </c>
      <c r="U88" s="289">
        <v>0</v>
      </c>
      <c r="V88" s="290" t="e">
        <f t="shared" si="1"/>
        <v>#DIV/0!</v>
      </c>
      <c r="X88" s="329"/>
      <c r="Y88" s="285"/>
      <c r="Z88" s="285"/>
      <c r="AA88" s="285"/>
      <c r="AB88" s="285"/>
      <c r="AC88" s="285"/>
      <c r="AD88" s="285"/>
      <c r="AE88" s="285"/>
    </row>
    <row r="89" spans="1:31" ht="18.95" customHeight="1">
      <c r="A89" s="312"/>
      <c r="B89" s="279" t="s">
        <v>102</v>
      </c>
      <c r="C89" s="280" t="s">
        <v>110</v>
      </c>
      <c r="D89" s="281" t="s">
        <v>43</v>
      </c>
      <c r="E89" s="282">
        <v>0</v>
      </c>
      <c r="F89" s="283"/>
      <c r="G89" s="282">
        <v>0</v>
      </c>
      <c r="H89" s="283"/>
      <c r="I89" s="284">
        <v>0</v>
      </c>
      <c r="J89" s="285">
        <v>0</v>
      </c>
      <c r="K89" s="285">
        <v>0</v>
      </c>
      <c r="L89" s="285">
        <v>0</v>
      </c>
      <c r="M89" s="285">
        <v>0</v>
      </c>
      <c r="N89" s="285">
        <v>0</v>
      </c>
      <c r="O89" s="285">
        <v>-368600</v>
      </c>
      <c r="P89" s="285">
        <v>0</v>
      </c>
      <c r="Q89" s="285">
        <v>0</v>
      </c>
      <c r="R89" s="286">
        <f>SUM(J89:Q89)</f>
        <v>-368600</v>
      </c>
      <c r="S89" s="287">
        <f>I89-R89</f>
        <v>368600</v>
      </c>
      <c r="T89" s="288">
        <f>G89-I89</f>
        <v>0</v>
      </c>
      <c r="U89" s="289">
        <v>0</v>
      </c>
      <c r="V89" s="290" t="e">
        <f t="shared" si="1"/>
        <v>#DIV/0!</v>
      </c>
      <c r="X89" s="329"/>
      <c r="Y89" s="285"/>
      <c r="Z89" s="285"/>
      <c r="AA89" s="285"/>
      <c r="AB89" s="285"/>
      <c r="AC89" s="285"/>
      <c r="AD89" s="285"/>
      <c r="AE89" s="285"/>
    </row>
    <row r="90" spans="1:31" ht="18.95" customHeight="1">
      <c r="A90" s="312"/>
      <c r="B90" s="279"/>
      <c r="C90" s="280" t="s">
        <v>110</v>
      </c>
      <c r="D90" s="281" t="s">
        <v>43</v>
      </c>
      <c r="E90" s="282">
        <v>81200</v>
      </c>
      <c r="F90" s="283"/>
      <c r="G90" s="282">
        <v>0</v>
      </c>
      <c r="H90" s="283"/>
      <c r="I90" s="284">
        <v>0</v>
      </c>
      <c r="J90" s="285">
        <v>0</v>
      </c>
      <c r="K90" s="285">
        <v>0</v>
      </c>
      <c r="L90" s="285">
        <v>0</v>
      </c>
      <c r="M90" s="285">
        <v>0</v>
      </c>
      <c r="N90" s="285">
        <v>0</v>
      </c>
      <c r="O90" s="285">
        <v>0</v>
      </c>
      <c r="P90" s="285">
        <v>0</v>
      </c>
      <c r="Q90" s="285">
        <v>0</v>
      </c>
      <c r="R90" s="286">
        <f>SUM(J90:Q90)</f>
        <v>0</v>
      </c>
      <c r="S90" s="287">
        <f>I90-R90</f>
        <v>0</v>
      </c>
      <c r="T90" s="288">
        <f>G90-I90</f>
        <v>0</v>
      </c>
      <c r="U90" s="289">
        <v>0</v>
      </c>
      <c r="V90" s="290" t="e">
        <f t="shared" si="1"/>
        <v>#DIV/0!</v>
      </c>
      <c r="X90" s="329"/>
      <c r="Y90" s="285"/>
      <c r="Z90" s="285"/>
      <c r="AA90" s="285"/>
      <c r="AB90" s="285"/>
      <c r="AC90" s="285"/>
      <c r="AD90" s="285"/>
      <c r="AE90" s="285"/>
    </row>
    <row r="91" spans="1:31" ht="18.95" customHeight="1">
      <c r="A91" s="312"/>
      <c r="B91" s="279"/>
      <c r="C91" s="280" t="s">
        <v>112</v>
      </c>
      <c r="D91" s="281" t="s">
        <v>43</v>
      </c>
      <c r="E91" s="282">
        <v>0</v>
      </c>
      <c r="F91" s="283"/>
      <c r="G91" s="282">
        <v>0</v>
      </c>
      <c r="H91" s="283"/>
      <c r="I91" s="284">
        <v>0</v>
      </c>
      <c r="J91" s="285">
        <v>0</v>
      </c>
      <c r="K91" s="285">
        <v>0</v>
      </c>
      <c r="L91" s="285">
        <v>0</v>
      </c>
      <c r="M91" s="285">
        <v>0</v>
      </c>
      <c r="N91" s="285">
        <v>0</v>
      </c>
      <c r="O91" s="285">
        <v>0</v>
      </c>
      <c r="P91" s="285">
        <v>0</v>
      </c>
      <c r="Q91" s="285">
        <v>0</v>
      </c>
      <c r="R91" s="286">
        <f>SUM(J91:Q91)</f>
        <v>0</v>
      </c>
      <c r="S91" s="287">
        <f>I91-R91</f>
        <v>0</v>
      </c>
      <c r="T91" s="288">
        <f>G91-I91</f>
        <v>0</v>
      </c>
      <c r="U91" s="289">
        <v>0</v>
      </c>
      <c r="V91" s="290" t="e">
        <f t="shared" si="1"/>
        <v>#DIV/0!</v>
      </c>
      <c r="X91" s="329"/>
      <c r="Y91" s="285"/>
      <c r="Z91" s="285"/>
      <c r="AA91" s="285"/>
      <c r="AB91" s="285"/>
      <c r="AC91" s="285"/>
      <c r="AD91" s="285"/>
      <c r="AE91" s="285"/>
    </row>
    <row r="92" spans="1:31" ht="18.95" customHeight="1">
      <c r="A92" s="312"/>
      <c r="B92" s="279"/>
      <c r="C92" s="280" t="s">
        <v>111</v>
      </c>
      <c r="D92" s="281" t="s">
        <v>43</v>
      </c>
      <c r="E92" s="282">
        <v>0</v>
      </c>
      <c r="F92" s="283"/>
      <c r="G92" s="282">
        <v>0</v>
      </c>
      <c r="H92" s="283"/>
      <c r="I92" s="284">
        <v>0</v>
      </c>
      <c r="J92" s="285">
        <v>0</v>
      </c>
      <c r="K92" s="285">
        <v>0</v>
      </c>
      <c r="L92" s="285">
        <v>0</v>
      </c>
      <c r="M92" s="285">
        <v>0</v>
      </c>
      <c r="N92" s="285">
        <v>0</v>
      </c>
      <c r="O92" s="285">
        <v>0</v>
      </c>
      <c r="P92" s="285">
        <v>0</v>
      </c>
      <c r="Q92" s="285">
        <v>0</v>
      </c>
      <c r="R92" s="286">
        <f>SUM(J92:Q92)</f>
        <v>0</v>
      </c>
      <c r="S92" s="287">
        <f>I92-R92</f>
        <v>0</v>
      </c>
      <c r="T92" s="288">
        <f>G92-I92</f>
        <v>0</v>
      </c>
      <c r="U92" s="289">
        <v>0</v>
      </c>
      <c r="V92" s="290" t="e">
        <f t="shared" si="1"/>
        <v>#DIV/0!</v>
      </c>
      <c r="X92" s="329"/>
      <c r="Y92" s="285"/>
      <c r="Z92" s="285"/>
      <c r="AA92" s="285"/>
      <c r="AB92" s="285"/>
      <c r="AC92" s="285"/>
      <c r="AD92" s="285"/>
      <c r="AE92" s="285"/>
    </row>
    <row r="93" spans="1:31" ht="18.95" customHeight="1">
      <c r="A93" s="313"/>
      <c r="B93" s="279"/>
      <c r="C93" s="280" t="s">
        <v>113</v>
      </c>
      <c r="D93" s="281" t="s">
        <v>43</v>
      </c>
      <c r="E93" s="282">
        <v>0</v>
      </c>
      <c r="F93" s="283"/>
      <c r="G93" s="282">
        <v>0</v>
      </c>
      <c r="H93" s="283"/>
      <c r="I93" s="284">
        <v>0</v>
      </c>
      <c r="J93" s="285">
        <v>0</v>
      </c>
      <c r="K93" s="285">
        <v>0</v>
      </c>
      <c r="L93" s="285">
        <v>0</v>
      </c>
      <c r="M93" s="285">
        <v>0</v>
      </c>
      <c r="N93" s="285">
        <v>0</v>
      </c>
      <c r="O93" s="285">
        <v>0</v>
      </c>
      <c r="P93" s="285">
        <v>0</v>
      </c>
      <c r="Q93" s="285">
        <v>0</v>
      </c>
      <c r="R93" s="286">
        <f>SUM(J93:Q93)</f>
        <v>0</v>
      </c>
      <c r="S93" s="287">
        <f>I93-R93</f>
        <v>0</v>
      </c>
      <c r="T93" s="288">
        <f>G93-I93</f>
        <v>0</v>
      </c>
      <c r="U93" s="289">
        <v>0</v>
      </c>
      <c r="V93" s="290" t="e">
        <f t="shared" si="1"/>
        <v>#DIV/0!</v>
      </c>
      <c r="X93" s="329"/>
      <c r="Y93" s="285"/>
      <c r="Z93" s="285"/>
      <c r="AA93" s="285"/>
      <c r="AB93" s="285"/>
      <c r="AC93" s="285"/>
      <c r="AD93" s="285"/>
      <c r="AE93" s="285"/>
    </row>
    <row r="94" spans="1:31" ht="18.95" customHeight="1">
      <c r="A94" s="314" t="s">
        <v>114</v>
      </c>
      <c r="B94" s="291" t="s">
        <v>38</v>
      </c>
      <c r="C94" s="292" t="s">
        <v>115</v>
      </c>
      <c r="D94" s="293" t="s">
        <v>40</v>
      </c>
      <c r="E94" s="294">
        <v>2843500</v>
      </c>
      <c r="F94" s="295"/>
      <c r="G94" s="294">
        <v>3056300</v>
      </c>
      <c r="H94" s="295"/>
      <c r="I94" s="296">
        <v>3056300</v>
      </c>
      <c r="J94" s="273">
        <v>0</v>
      </c>
      <c r="K94" s="273">
        <v>0</v>
      </c>
      <c r="L94" s="273">
        <v>0</v>
      </c>
      <c r="M94" s="273">
        <v>0</v>
      </c>
      <c r="N94" s="273">
        <v>0</v>
      </c>
      <c r="O94" s="273">
        <v>3056300</v>
      </c>
      <c r="P94" s="273">
        <v>0</v>
      </c>
      <c r="Q94" s="273">
        <v>0</v>
      </c>
      <c r="R94" s="274">
        <f>SUM(J94:Q94)</f>
        <v>3056300</v>
      </c>
      <c r="S94" s="275">
        <f>I94-R94</f>
        <v>0</v>
      </c>
      <c r="T94" s="276">
        <f>G94-I94</f>
        <v>0</v>
      </c>
      <c r="U94" s="297">
        <v>0</v>
      </c>
      <c r="V94" s="278" t="e">
        <f t="shared" si="1"/>
        <v>#DIV/0!</v>
      </c>
      <c r="X94" s="328"/>
      <c r="Y94" s="273"/>
      <c r="Z94" s="273"/>
      <c r="AA94" s="273"/>
      <c r="AB94" s="273"/>
      <c r="AC94" s="273"/>
      <c r="AD94" s="273"/>
      <c r="AE94" s="273"/>
    </row>
    <row r="95" spans="1:31" ht="18.95" customHeight="1">
      <c r="A95" s="312"/>
      <c r="B95" s="279" t="s">
        <v>38</v>
      </c>
      <c r="C95" s="280" t="s">
        <v>116</v>
      </c>
      <c r="D95" s="281" t="s">
        <v>40</v>
      </c>
      <c r="E95" s="282">
        <v>3837900</v>
      </c>
      <c r="F95" s="283"/>
      <c r="G95" s="282">
        <v>3892000</v>
      </c>
      <c r="H95" s="283"/>
      <c r="I95" s="284">
        <v>3892000</v>
      </c>
      <c r="J95" s="285">
        <v>0</v>
      </c>
      <c r="K95" s="285">
        <v>0</v>
      </c>
      <c r="L95" s="285">
        <v>0</v>
      </c>
      <c r="M95" s="285">
        <v>0</v>
      </c>
      <c r="N95" s="285">
        <v>0</v>
      </c>
      <c r="O95" s="285">
        <v>3892000</v>
      </c>
      <c r="P95" s="285">
        <v>0</v>
      </c>
      <c r="Q95" s="285">
        <v>0</v>
      </c>
      <c r="R95" s="286">
        <f>SUM(J95:Q95)</f>
        <v>3892000</v>
      </c>
      <c r="S95" s="287">
        <f>I95-R95</f>
        <v>0</v>
      </c>
      <c r="T95" s="288">
        <f>G95-I95</f>
        <v>0</v>
      </c>
      <c r="U95" s="289">
        <v>17</v>
      </c>
      <c r="V95" s="290">
        <f t="shared" si="1"/>
        <v>228941.17647058822</v>
      </c>
      <c r="X95" s="329"/>
      <c r="Y95" s="285"/>
      <c r="Z95" s="285"/>
      <c r="AA95" s="285"/>
      <c r="AB95" s="285"/>
      <c r="AC95" s="285"/>
      <c r="AD95" s="285"/>
      <c r="AE95" s="285"/>
    </row>
    <row r="96" spans="1:31" ht="18.95" customHeight="1">
      <c r="A96" s="312"/>
      <c r="B96" s="279"/>
      <c r="C96" s="280" t="s">
        <v>115</v>
      </c>
      <c r="D96" s="281" t="s">
        <v>43</v>
      </c>
      <c r="E96" s="282">
        <v>62300</v>
      </c>
      <c r="F96" s="283"/>
      <c r="G96" s="282">
        <v>0</v>
      </c>
      <c r="H96" s="283"/>
      <c r="I96" s="284">
        <v>0</v>
      </c>
      <c r="J96" s="285">
        <v>0</v>
      </c>
      <c r="K96" s="285">
        <v>0</v>
      </c>
      <c r="L96" s="285">
        <v>0</v>
      </c>
      <c r="M96" s="285">
        <v>0</v>
      </c>
      <c r="N96" s="285">
        <v>0</v>
      </c>
      <c r="O96" s="285">
        <v>0</v>
      </c>
      <c r="P96" s="285">
        <v>0</v>
      </c>
      <c r="Q96" s="285">
        <v>0</v>
      </c>
      <c r="R96" s="286">
        <f>SUM(J96:Q96)</f>
        <v>0</v>
      </c>
      <c r="S96" s="287">
        <f>I96-R96</f>
        <v>0</v>
      </c>
      <c r="T96" s="288">
        <f>G96-I96</f>
        <v>0</v>
      </c>
      <c r="U96" s="289">
        <v>0</v>
      </c>
      <c r="V96" s="290" t="e">
        <f t="shared" si="1"/>
        <v>#DIV/0!</v>
      </c>
      <c r="X96" s="329"/>
      <c r="Y96" s="285"/>
      <c r="Z96" s="285"/>
      <c r="AA96" s="285"/>
      <c r="AB96" s="285"/>
      <c r="AC96" s="285"/>
      <c r="AD96" s="285"/>
      <c r="AE96" s="285"/>
    </row>
    <row r="97" spans="1:31" ht="18.95" customHeight="1">
      <c r="A97" s="312"/>
      <c r="B97" s="279"/>
      <c r="C97" s="280" t="s">
        <v>117</v>
      </c>
      <c r="D97" s="281" t="s">
        <v>43</v>
      </c>
      <c r="E97" s="282">
        <v>0</v>
      </c>
      <c r="F97" s="283"/>
      <c r="G97" s="282">
        <v>0</v>
      </c>
      <c r="H97" s="283"/>
      <c r="I97" s="284">
        <v>0</v>
      </c>
      <c r="J97" s="285">
        <v>0</v>
      </c>
      <c r="K97" s="285">
        <v>0</v>
      </c>
      <c r="L97" s="285">
        <v>0</v>
      </c>
      <c r="M97" s="285">
        <v>0</v>
      </c>
      <c r="N97" s="285">
        <v>0</v>
      </c>
      <c r="O97" s="285">
        <v>0</v>
      </c>
      <c r="P97" s="285">
        <v>0</v>
      </c>
      <c r="Q97" s="285">
        <v>0</v>
      </c>
      <c r="R97" s="286">
        <f>SUM(J97:Q97)</f>
        <v>0</v>
      </c>
      <c r="S97" s="287">
        <f>I97-R97</f>
        <v>0</v>
      </c>
      <c r="T97" s="288">
        <f>G97-I97</f>
        <v>0</v>
      </c>
      <c r="U97" s="289">
        <v>0</v>
      </c>
      <c r="V97" s="290" t="e">
        <f t="shared" si="1"/>
        <v>#DIV/0!</v>
      </c>
      <c r="X97" s="329"/>
      <c r="Y97" s="285"/>
      <c r="Z97" s="285"/>
      <c r="AA97" s="285"/>
      <c r="AB97" s="285"/>
      <c r="AC97" s="285"/>
      <c r="AD97" s="285"/>
      <c r="AE97" s="285"/>
    </row>
    <row r="98" spans="1:31" ht="18.95" customHeight="1">
      <c r="A98" s="312"/>
      <c r="B98" s="279"/>
      <c r="C98" s="280" t="s">
        <v>116</v>
      </c>
      <c r="D98" s="281" t="s">
        <v>43</v>
      </c>
      <c r="E98" s="282">
        <v>0</v>
      </c>
      <c r="F98" s="283"/>
      <c r="G98" s="282">
        <v>0</v>
      </c>
      <c r="H98" s="283"/>
      <c r="I98" s="284">
        <v>0</v>
      </c>
      <c r="J98" s="285">
        <v>0</v>
      </c>
      <c r="K98" s="285">
        <v>0</v>
      </c>
      <c r="L98" s="285">
        <v>0</v>
      </c>
      <c r="M98" s="285">
        <v>0</v>
      </c>
      <c r="N98" s="285">
        <v>0</v>
      </c>
      <c r="O98" s="285">
        <v>0</v>
      </c>
      <c r="P98" s="285">
        <v>0</v>
      </c>
      <c r="Q98" s="285">
        <v>0</v>
      </c>
      <c r="R98" s="286">
        <f>SUM(J98:Q98)</f>
        <v>0</v>
      </c>
      <c r="S98" s="287">
        <f>I98-R98</f>
        <v>0</v>
      </c>
      <c r="T98" s="288">
        <f>G98-I98</f>
        <v>0</v>
      </c>
      <c r="U98" s="289">
        <v>0</v>
      </c>
      <c r="V98" s="290" t="e">
        <f t="shared" si="1"/>
        <v>#DIV/0!</v>
      </c>
      <c r="X98" s="329"/>
      <c r="Y98" s="285"/>
      <c r="Z98" s="285"/>
      <c r="AA98" s="285"/>
      <c r="AB98" s="285"/>
      <c r="AC98" s="285"/>
      <c r="AD98" s="285"/>
      <c r="AE98" s="285"/>
    </row>
    <row r="99" spans="1:31" ht="18.95" customHeight="1">
      <c r="A99" s="313"/>
      <c r="B99" s="279"/>
      <c r="C99" s="280" t="s">
        <v>118</v>
      </c>
      <c r="D99" s="281" t="s">
        <v>43</v>
      </c>
      <c r="E99" s="282">
        <v>0</v>
      </c>
      <c r="F99" s="283"/>
      <c r="G99" s="282">
        <v>0</v>
      </c>
      <c r="H99" s="283"/>
      <c r="I99" s="284">
        <v>0</v>
      </c>
      <c r="J99" s="285">
        <v>0</v>
      </c>
      <c r="K99" s="285">
        <v>0</v>
      </c>
      <c r="L99" s="285">
        <v>0</v>
      </c>
      <c r="M99" s="285">
        <v>0</v>
      </c>
      <c r="N99" s="285">
        <v>0</v>
      </c>
      <c r="O99" s="285">
        <v>0</v>
      </c>
      <c r="P99" s="285">
        <v>0</v>
      </c>
      <c r="Q99" s="285">
        <v>0</v>
      </c>
      <c r="R99" s="286">
        <f>SUM(J99:Q99)</f>
        <v>0</v>
      </c>
      <c r="S99" s="287">
        <f>I99-R99</f>
        <v>0</v>
      </c>
      <c r="T99" s="288">
        <f>G99-I99</f>
        <v>0</v>
      </c>
      <c r="U99" s="289">
        <v>0</v>
      </c>
      <c r="V99" s="290" t="e">
        <f t="shared" si="1"/>
        <v>#DIV/0!</v>
      </c>
      <c r="X99" s="329"/>
      <c r="Y99" s="285"/>
      <c r="Z99" s="285"/>
      <c r="AA99" s="285"/>
      <c r="AB99" s="285"/>
      <c r="AC99" s="285"/>
      <c r="AD99" s="285"/>
      <c r="AE99" s="285"/>
    </row>
    <row r="100" spans="1:31" ht="18.95" customHeight="1">
      <c r="A100" s="314" t="s">
        <v>119</v>
      </c>
      <c r="B100" s="291" t="s">
        <v>38</v>
      </c>
      <c r="C100" s="292" t="s">
        <v>120</v>
      </c>
      <c r="D100" s="293" t="s">
        <v>40</v>
      </c>
      <c r="E100" s="294">
        <v>1539000</v>
      </c>
      <c r="F100" s="295"/>
      <c r="G100" s="294">
        <v>1556560</v>
      </c>
      <c r="H100" s="295"/>
      <c r="I100" s="296">
        <v>1556560</v>
      </c>
      <c r="J100" s="273">
        <v>0</v>
      </c>
      <c r="K100" s="273">
        <v>0</v>
      </c>
      <c r="L100" s="273">
        <v>0</v>
      </c>
      <c r="M100" s="273">
        <v>0</v>
      </c>
      <c r="N100" s="273">
        <v>0</v>
      </c>
      <c r="O100" s="273">
        <v>0</v>
      </c>
      <c r="P100" s="273">
        <v>0</v>
      </c>
      <c r="Q100" s="273">
        <v>0</v>
      </c>
      <c r="R100" s="274">
        <f>SUM(J100:Q100)</f>
        <v>0</v>
      </c>
      <c r="S100" s="275">
        <f>I100-R100</f>
        <v>1556560</v>
      </c>
      <c r="T100" s="276">
        <f>G100-I100</f>
        <v>0</v>
      </c>
      <c r="U100" s="297">
        <v>0</v>
      </c>
      <c r="V100" s="278" t="e">
        <f t="shared" si="1"/>
        <v>#DIV/0!</v>
      </c>
      <c r="X100" s="328"/>
      <c r="Y100" s="273"/>
      <c r="Z100" s="273"/>
      <c r="AA100" s="273"/>
      <c r="AB100" s="273"/>
      <c r="AC100" s="273"/>
      <c r="AD100" s="273"/>
      <c r="AE100" s="273"/>
    </row>
    <row r="101" spans="1:31" ht="18.95" customHeight="1">
      <c r="A101" s="312"/>
      <c r="B101" s="279"/>
      <c r="C101" s="280" t="s">
        <v>120</v>
      </c>
      <c r="D101" s="281" t="s">
        <v>43</v>
      </c>
      <c r="E101" s="282">
        <v>0</v>
      </c>
      <c r="F101" s="283"/>
      <c r="G101" s="282">
        <v>0</v>
      </c>
      <c r="H101" s="283"/>
      <c r="I101" s="284">
        <v>0</v>
      </c>
      <c r="J101" s="285">
        <v>0</v>
      </c>
      <c r="K101" s="285">
        <v>0</v>
      </c>
      <c r="L101" s="285">
        <v>0</v>
      </c>
      <c r="M101" s="285">
        <v>0</v>
      </c>
      <c r="N101" s="285">
        <v>0</v>
      </c>
      <c r="O101" s="285">
        <v>0</v>
      </c>
      <c r="P101" s="285">
        <v>0</v>
      </c>
      <c r="Q101" s="285">
        <v>0</v>
      </c>
      <c r="R101" s="286">
        <f>SUM(J101:Q101)</f>
        <v>0</v>
      </c>
      <c r="S101" s="287">
        <f>I101-R101</f>
        <v>0</v>
      </c>
      <c r="T101" s="288">
        <f>G101-I101</f>
        <v>0</v>
      </c>
      <c r="U101" s="289">
        <v>0</v>
      </c>
      <c r="V101" s="290" t="e">
        <f t="shared" si="1"/>
        <v>#DIV/0!</v>
      </c>
      <c r="X101" s="329"/>
      <c r="Y101" s="285"/>
      <c r="Z101" s="285"/>
      <c r="AA101" s="285"/>
      <c r="AB101" s="285"/>
      <c r="AC101" s="285"/>
      <c r="AD101" s="285"/>
      <c r="AE101" s="285"/>
    </row>
    <row r="102" spans="1:31" ht="18.95" customHeight="1">
      <c r="A102" s="313"/>
      <c r="B102" s="279"/>
      <c r="C102" s="280" t="s">
        <v>121</v>
      </c>
      <c r="D102" s="281" t="s">
        <v>43</v>
      </c>
      <c r="E102" s="282">
        <v>0</v>
      </c>
      <c r="F102" s="283"/>
      <c r="G102" s="282">
        <v>0</v>
      </c>
      <c r="H102" s="283"/>
      <c r="I102" s="284">
        <v>0</v>
      </c>
      <c r="J102" s="285">
        <v>0</v>
      </c>
      <c r="K102" s="285">
        <v>0</v>
      </c>
      <c r="L102" s="285">
        <v>0</v>
      </c>
      <c r="M102" s="285">
        <v>0</v>
      </c>
      <c r="N102" s="285">
        <v>0</v>
      </c>
      <c r="O102" s="285">
        <v>0</v>
      </c>
      <c r="P102" s="285">
        <v>0</v>
      </c>
      <c r="Q102" s="285">
        <v>0</v>
      </c>
      <c r="R102" s="286">
        <f>SUM(J102:Q102)</f>
        <v>0</v>
      </c>
      <c r="S102" s="287">
        <f>I102-R102</f>
        <v>0</v>
      </c>
      <c r="T102" s="288">
        <f>G102-I102</f>
        <v>0</v>
      </c>
      <c r="U102" s="289">
        <v>0</v>
      </c>
      <c r="V102" s="290" t="e">
        <f t="shared" si="1"/>
        <v>#DIV/0!</v>
      </c>
      <c r="X102" s="329"/>
      <c r="Y102" s="285"/>
      <c r="Z102" s="285"/>
      <c r="AA102" s="285"/>
      <c r="AB102" s="285"/>
      <c r="AC102" s="285"/>
      <c r="AD102" s="285"/>
      <c r="AE102" s="285"/>
    </row>
    <row r="103" spans="1:31" ht="18.95" customHeight="1">
      <c r="A103" s="314" t="s">
        <v>122</v>
      </c>
      <c r="B103" s="291" t="s">
        <v>38</v>
      </c>
      <c r="C103" s="292" t="s">
        <v>123</v>
      </c>
      <c r="D103" s="293" t="s">
        <v>40</v>
      </c>
      <c r="E103" s="294">
        <v>2525000</v>
      </c>
      <c r="F103" s="295"/>
      <c r="G103" s="294">
        <v>3351500</v>
      </c>
      <c r="H103" s="295"/>
      <c r="I103" s="296">
        <v>2851450</v>
      </c>
      <c r="J103" s="273">
        <v>0</v>
      </c>
      <c r="K103" s="273">
        <v>0</v>
      </c>
      <c r="L103" s="273">
        <v>600000</v>
      </c>
      <c r="M103" s="273">
        <v>90000</v>
      </c>
      <c r="N103" s="273">
        <v>0</v>
      </c>
      <c r="O103" s="273">
        <v>690000</v>
      </c>
      <c r="P103" s="273">
        <v>0</v>
      </c>
      <c r="Q103" s="273">
        <v>0</v>
      </c>
      <c r="R103" s="274">
        <f>SUM(J103:Q103)</f>
        <v>1380000</v>
      </c>
      <c r="S103" s="275">
        <f>I103-R103</f>
        <v>1471450</v>
      </c>
      <c r="T103" s="276">
        <f>G103-I103</f>
        <v>500050</v>
      </c>
      <c r="U103" s="297">
        <v>27</v>
      </c>
      <c r="V103" s="278">
        <f t="shared" si="1"/>
        <v>51111.111111111109</v>
      </c>
      <c r="X103" s="328"/>
      <c r="Y103" s="273"/>
      <c r="Z103" s="273"/>
      <c r="AA103" s="273"/>
      <c r="AB103" s="273"/>
      <c r="AC103" s="273"/>
      <c r="AD103" s="273"/>
      <c r="AE103" s="273"/>
    </row>
    <row r="104" spans="1:31" ht="18.95" customHeight="1">
      <c r="A104" s="312"/>
      <c r="B104" s="279" t="s">
        <v>124</v>
      </c>
      <c r="C104" s="280" t="s">
        <v>123</v>
      </c>
      <c r="D104" s="281" t="s">
        <v>125</v>
      </c>
      <c r="E104" s="282">
        <v>500000</v>
      </c>
      <c r="F104" s="283"/>
      <c r="G104" s="282">
        <v>0</v>
      </c>
      <c r="H104" s="283"/>
      <c r="I104" s="284">
        <v>527000</v>
      </c>
      <c r="J104" s="285">
        <v>0</v>
      </c>
      <c r="K104" s="285">
        <v>0</v>
      </c>
      <c r="L104" s="285">
        <v>0</v>
      </c>
      <c r="M104" s="285">
        <v>0</v>
      </c>
      <c r="N104" s="285">
        <v>0</v>
      </c>
      <c r="O104" s="285">
        <v>527000</v>
      </c>
      <c r="P104" s="285">
        <v>0</v>
      </c>
      <c r="Q104" s="285">
        <v>0</v>
      </c>
      <c r="R104" s="286">
        <f>SUM(J104:Q104)</f>
        <v>527000</v>
      </c>
      <c r="S104" s="287">
        <f>I104-R104</f>
        <v>0</v>
      </c>
      <c r="T104" s="288">
        <f>G104-I104</f>
        <v>-527000</v>
      </c>
      <c r="U104" s="289">
        <v>0</v>
      </c>
      <c r="V104" s="290" t="e">
        <f t="shared" si="1"/>
        <v>#DIV/0!</v>
      </c>
      <c r="X104" s="329"/>
      <c r="Y104" s="285"/>
      <c r="Z104" s="285"/>
      <c r="AA104" s="285"/>
      <c r="AB104" s="285"/>
      <c r="AC104" s="285"/>
      <c r="AD104" s="285"/>
      <c r="AE104" s="285"/>
    </row>
    <row r="105" spans="1:31" ht="18.95" customHeight="1">
      <c r="A105" s="312"/>
      <c r="B105" s="279" t="s">
        <v>124</v>
      </c>
      <c r="C105" s="280" t="s">
        <v>123</v>
      </c>
      <c r="D105" s="281" t="s">
        <v>43</v>
      </c>
      <c r="E105" s="282">
        <v>0</v>
      </c>
      <c r="F105" s="283"/>
      <c r="G105" s="282">
        <v>0</v>
      </c>
      <c r="H105" s="283"/>
      <c r="I105" s="284">
        <v>0</v>
      </c>
      <c r="J105" s="285">
        <v>0</v>
      </c>
      <c r="K105" s="285">
        <v>0</v>
      </c>
      <c r="L105" s="285">
        <v>0</v>
      </c>
      <c r="M105" s="285">
        <v>0</v>
      </c>
      <c r="N105" s="285">
        <v>30000</v>
      </c>
      <c r="O105" s="285">
        <v>0</v>
      </c>
      <c r="P105" s="285">
        <v>0</v>
      </c>
      <c r="Q105" s="285">
        <v>0</v>
      </c>
      <c r="R105" s="286">
        <f>SUM(J105:Q105)</f>
        <v>30000</v>
      </c>
      <c r="S105" s="287">
        <f>I105-R105</f>
        <v>-30000</v>
      </c>
      <c r="T105" s="288">
        <f>G105-I105</f>
        <v>0</v>
      </c>
      <c r="U105" s="289">
        <v>0</v>
      </c>
      <c r="V105" s="290" t="e">
        <f t="shared" si="1"/>
        <v>#DIV/0!</v>
      </c>
      <c r="X105" s="329"/>
      <c r="Y105" s="285"/>
      <c r="Z105" s="285"/>
      <c r="AA105" s="285"/>
      <c r="AB105" s="285"/>
      <c r="AC105" s="285"/>
      <c r="AD105" s="285"/>
      <c r="AE105" s="285"/>
    </row>
    <row r="106" spans="1:31" ht="18.95" customHeight="1">
      <c r="A106" s="312"/>
      <c r="B106" s="279" t="s">
        <v>46</v>
      </c>
      <c r="C106" s="280" t="s">
        <v>126</v>
      </c>
      <c r="D106" s="281" t="s">
        <v>127</v>
      </c>
      <c r="E106" s="282">
        <v>3285050</v>
      </c>
      <c r="F106" s="283"/>
      <c r="G106" s="282">
        <v>2000000</v>
      </c>
      <c r="H106" s="283"/>
      <c r="I106" s="284">
        <v>2000000</v>
      </c>
      <c r="J106" s="285">
        <v>0</v>
      </c>
      <c r="K106" s="285">
        <v>0</v>
      </c>
      <c r="L106" s="285">
        <v>0</v>
      </c>
      <c r="M106" s="285">
        <v>0</v>
      </c>
      <c r="N106" s="285">
        <v>0</v>
      </c>
      <c r="O106" s="285">
        <v>0</v>
      </c>
      <c r="P106" s="285">
        <v>0</v>
      </c>
      <c r="Q106" s="285">
        <v>0</v>
      </c>
      <c r="R106" s="286">
        <f>SUM(J106:Q106)</f>
        <v>0</v>
      </c>
      <c r="S106" s="287">
        <f>I106-R106</f>
        <v>2000000</v>
      </c>
      <c r="T106" s="288">
        <f>G106-I106</f>
        <v>0</v>
      </c>
      <c r="U106" s="289">
        <v>0</v>
      </c>
      <c r="V106" s="290" t="e">
        <f t="shared" si="1"/>
        <v>#DIV/0!</v>
      </c>
      <c r="X106" s="329"/>
      <c r="Y106" s="285"/>
      <c r="Z106" s="285"/>
      <c r="AA106" s="285"/>
      <c r="AB106" s="285"/>
      <c r="AC106" s="285"/>
      <c r="AD106" s="285"/>
      <c r="AE106" s="285"/>
    </row>
    <row r="107" spans="1:31" ht="18.95" customHeight="1">
      <c r="A107" s="312"/>
      <c r="B107" s="279" t="s">
        <v>46</v>
      </c>
      <c r="C107" s="280" t="s">
        <v>123</v>
      </c>
      <c r="D107" s="281" t="s">
        <v>43</v>
      </c>
      <c r="E107" s="282">
        <v>0</v>
      </c>
      <c r="F107" s="283"/>
      <c r="G107" s="282">
        <v>0</v>
      </c>
      <c r="H107" s="283"/>
      <c r="I107" s="284">
        <v>0</v>
      </c>
      <c r="J107" s="285">
        <v>0</v>
      </c>
      <c r="K107" s="285">
        <v>0</v>
      </c>
      <c r="L107" s="285">
        <v>0</v>
      </c>
      <c r="M107" s="285">
        <v>108000</v>
      </c>
      <c r="N107" s="285">
        <v>0</v>
      </c>
      <c r="O107" s="285">
        <v>54000</v>
      </c>
      <c r="P107" s="285">
        <v>0</v>
      </c>
      <c r="Q107" s="285">
        <v>0</v>
      </c>
      <c r="R107" s="286">
        <f>SUM(J107:Q107)</f>
        <v>162000</v>
      </c>
      <c r="S107" s="287">
        <f>I107-R107</f>
        <v>-162000</v>
      </c>
      <c r="T107" s="288">
        <f>G107-I107</f>
        <v>0</v>
      </c>
      <c r="U107" s="289">
        <v>2</v>
      </c>
      <c r="V107" s="290">
        <f t="shared" si="1"/>
        <v>81000</v>
      </c>
      <c r="X107" s="329"/>
      <c r="Y107" s="285"/>
      <c r="Z107" s="285"/>
      <c r="AA107" s="285"/>
      <c r="AB107" s="285"/>
      <c r="AC107" s="285"/>
      <c r="AD107" s="285"/>
      <c r="AE107" s="285"/>
    </row>
    <row r="108" spans="1:31" ht="18.95" customHeight="1">
      <c r="A108" s="312"/>
      <c r="B108" s="279" t="s">
        <v>128</v>
      </c>
      <c r="C108" s="280" t="s">
        <v>123</v>
      </c>
      <c r="D108" s="281" t="s">
        <v>43</v>
      </c>
      <c r="E108" s="282">
        <v>0</v>
      </c>
      <c r="F108" s="283"/>
      <c r="G108" s="282">
        <v>0</v>
      </c>
      <c r="H108" s="283"/>
      <c r="I108" s="284">
        <v>0</v>
      </c>
      <c r="J108" s="285">
        <v>0</v>
      </c>
      <c r="K108" s="285">
        <v>0</v>
      </c>
      <c r="L108" s="285">
        <v>155000</v>
      </c>
      <c r="M108" s="285">
        <v>0</v>
      </c>
      <c r="N108" s="285">
        <v>0</v>
      </c>
      <c r="O108" s="285">
        <v>0</v>
      </c>
      <c r="P108" s="285">
        <v>0</v>
      </c>
      <c r="Q108" s="285">
        <v>0</v>
      </c>
      <c r="R108" s="286">
        <f>SUM(J108:Q108)</f>
        <v>155000</v>
      </c>
      <c r="S108" s="287">
        <f>I108-R108</f>
        <v>-155000</v>
      </c>
      <c r="T108" s="288">
        <f>G108-I108</f>
        <v>0</v>
      </c>
      <c r="U108" s="289">
        <v>0</v>
      </c>
      <c r="V108" s="290" t="e">
        <f t="shared" si="1"/>
        <v>#DIV/0!</v>
      </c>
      <c r="X108" s="329"/>
      <c r="Y108" s="285"/>
      <c r="Z108" s="285"/>
      <c r="AA108" s="285"/>
      <c r="AB108" s="285"/>
      <c r="AC108" s="285"/>
      <c r="AD108" s="285"/>
      <c r="AE108" s="285"/>
    </row>
    <row r="109" spans="1:31" ht="18.95" customHeight="1">
      <c r="A109" s="312"/>
      <c r="B109" s="279" t="s">
        <v>129</v>
      </c>
      <c r="C109" s="280" t="s">
        <v>123</v>
      </c>
      <c r="D109" s="281" t="s">
        <v>43</v>
      </c>
      <c r="E109" s="282">
        <v>0</v>
      </c>
      <c r="F109" s="283"/>
      <c r="G109" s="282">
        <v>0</v>
      </c>
      <c r="H109" s="283"/>
      <c r="I109" s="284">
        <v>90000</v>
      </c>
      <c r="J109" s="285">
        <v>0</v>
      </c>
      <c r="K109" s="285">
        <v>0</v>
      </c>
      <c r="L109" s="285">
        <v>0</v>
      </c>
      <c r="M109" s="285">
        <v>90000</v>
      </c>
      <c r="N109" s="285">
        <v>0</v>
      </c>
      <c r="O109" s="285">
        <v>0</v>
      </c>
      <c r="P109" s="285">
        <v>0</v>
      </c>
      <c r="Q109" s="285">
        <v>0</v>
      </c>
      <c r="R109" s="286">
        <f>SUM(J109:Q109)</f>
        <v>90000</v>
      </c>
      <c r="S109" s="287">
        <f>I109-R109</f>
        <v>0</v>
      </c>
      <c r="T109" s="288">
        <f>G109-I109</f>
        <v>-90000</v>
      </c>
      <c r="U109" s="289">
        <v>4</v>
      </c>
      <c r="V109" s="290">
        <f t="shared" si="1"/>
        <v>22500</v>
      </c>
      <c r="X109" s="329"/>
      <c r="Y109" s="285"/>
      <c r="Z109" s="285"/>
      <c r="AA109" s="285"/>
      <c r="AB109" s="285"/>
      <c r="AC109" s="285"/>
      <c r="AD109" s="285"/>
      <c r="AE109" s="285"/>
    </row>
    <row r="110" spans="1:31" ht="18.95" customHeight="1">
      <c r="A110" s="312"/>
      <c r="B110" s="279" t="s">
        <v>99</v>
      </c>
      <c r="C110" s="280" t="s">
        <v>123</v>
      </c>
      <c r="D110" s="281" t="s">
        <v>43</v>
      </c>
      <c r="E110" s="282">
        <v>0</v>
      </c>
      <c r="F110" s="283"/>
      <c r="G110" s="282">
        <v>0</v>
      </c>
      <c r="H110" s="283"/>
      <c r="I110" s="284">
        <v>75000</v>
      </c>
      <c r="J110" s="285">
        <v>0</v>
      </c>
      <c r="K110" s="285">
        <v>0</v>
      </c>
      <c r="L110" s="285">
        <v>0</v>
      </c>
      <c r="M110" s="285">
        <v>25000</v>
      </c>
      <c r="N110" s="285">
        <v>0</v>
      </c>
      <c r="O110" s="285">
        <v>0</v>
      </c>
      <c r="P110" s="285">
        <v>0</v>
      </c>
      <c r="Q110" s="285">
        <v>0</v>
      </c>
      <c r="R110" s="286">
        <f>SUM(J110:Q110)</f>
        <v>25000</v>
      </c>
      <c r="S110" s="287">
        <f>I110-R110</f>
        <v>50000</v>
      </c>
      <c r="T110" s="288">
        <f>G110-I110</f>
        <v>-75000</v>
      </c>
      <c r="U110" s="289">
        <v>1</v>
      </c>
      <c r="V110" s="290">
        <f t="shared" si="1"/>
        <v>25000</v>
      </c>
      <c r="X110" s="329"/>
      <c r="Y110" s="285"/>
      <c r="Z110" s="285"/>
      <c r="AA110" s="285"/>
      <c r="AB110" s="285"/>
      <c r="AC110" s="285"/>
      <c r="AD110" s="285"/>
      <c r="AE110" s="285"/>
    </row>
    <row r="111" spans="1:31" ht="18.95" customHeight="1">
      <c r="A111" s="312"/>
      <c r="B111" s="279"/>
      <c r="C111" s="280" t="s">
        <v>126</v>
      </c>
      <c r="D111" s="281" t="s">
        <v>43</v>
      </c>
      <c r="E111" s="282">
        <v>100000</v>
      </c>
      <c r="F111" s="283"/>
      <c r="G111" s="282">
        <v>0</v>
      </c>
      <c r="H111" s="283"/>
      <c r="I111" s="284">
        <v>0</v>
      </c>
      <c r="J111" s="285">
        <v>0</v>
      </c>
      <c r="K111" s="285">
        <v>0</v>
      </c>
      <c r="L111" s="285">
        <v>0</v>
      </c>
      <c r="M111" s="285">
        <v>0</v>
      </c>
      <c r="N111" s="285">
        <v>0</v>
      </c>
      <c r="O111" s="285">
        <v>0</v>
      </c>
      <c r="P111" s="285">
        <v>0</v>
      </c>
      <c r="Q111" s="285">
        <v>0</v>
      </c>
      <c r="R111" s="286">
        <f>SUM(J111:Q111)</f>
        <v>0</v>
      </c>
      <c r="S111" s="287">
        <f>I111-R111</f>
        <v>0</v>
      </c>
      <c r="T111" s="288">
        <f>G111-I111</f>
        <v>0</v>
      </c>
      <c r="U111" s="289">
        <v>0</v>
      </c>
      <c r="V111" s="290" t="e">
        <f t="shared" si="1"/>
        <v>#DIV/0!</v>
      </c>
      <c r="X111" s="329"/>
      <c r="Y111" s="285"/>
      <c r="Z111" s="285"/>
      <c r="AA111" s="285"/>
      <c r="AB111" s="285"/>
      <c r="AC111" s="285"/>
      <c r="AD111" s="285"/>
      <c r="AE111" s="285"/>
    </row>
    <row r="112" spans="1:31" ht="18.95" customHeight="1">
      <c r="A112" s="312"/>
      <c r="B112" s="279"/>
      <c r="C112" s="280" t="s">
        <v>130</v>
      </c>
      <c r="D112" s="281" t="s">
        <v>43</v>
      </c>
      <c r="E112" s="282">
        <v>0</v>
      </c>
      <c r="F112" s="283"/>
      <c r="G112" s="282">
        <v>0</v>
      </c>
      <c r="H112" s="283"/>
      <c r="I112" s="284">
        <v>0</v>
      </c>
      <c r="J112" s="285">
        <v>0</v>
      </c>
      <c r="K112" s="285">
        <v>0</v>
      </c>
      <c r="L112" s="285">
        <v>0</v>
      </c>
      <c r="M112" s="285">
        <v>0</v>
      </c>
      <c r="N112" s="285">
        <v>0</v>
      </c>
      <c r="O112" s="285">
        <v>0</v>
      </c>
      <c r="P112" s="285">
        <v>0</v>
      </c>
      <c r="Q112" s="285">
        <v>0</v>
      </c>
      <c r="R112" s="286">
        <f>SUM(J112:Q112)</f>
        <v>0</v>
      </c>
      <c r="S112" s="287">
        <f>I112-R112</f>
        <v>0</v>
      </c>
      <c r="T112" s="288">
        <f>G112-I112</f>
        <v>0</v>
      </c>
      <c r="U112" s="289">
        <v>0</v>
      </c>
      <c r="V112" s="290" t="e">
        <f t="shared" si="1"/>
        <v>#DIV/0!</v>
      </c>
      <c r="X112" s="329"/>
      <c r="Y112" s="285"/>
      <c r="Z112" s="285"/>
      <c r="AA112" s="285"/>
      <c r="AB112" s="285"/>
      <c r="AC112" s="285"/>
      <c r="AD112" s="285"/>
      <c r="AE112" s="285"/>
    </row>
    <row r="113" spans="1:31" ht="18.95" customHeight="1">
      <c r="A113" s="312"/>
      <c r="B113" s="279"/>
      <c r="C113" s="280" t="s">
        <v>123</v>
      </c>
      <c r="D113" s="281" t="s">
        <v>43</v>
      </c>
      <c r="E113" s="282">
        <v>300000</v>
      </c>
      <c r="F113" s="283"/>
      <c r="G113" s="282">
        <v>200000</v>
      </c>
      <c r="H113" s="283"/>
      <c r="I113" s="284">
        <v>425000</v>
      </c>
      <c r="J113" s="285">
        <v>0</v>
      </c>
      <c r="K113" s="285">
        <v>0</v>
      </c>
      <c r="L113" s="285">
        <v>0</v>
      </c>
      <c r="M113" s="285">
        <v>0</v>
      </c>
      <c r="N113" s="285">
        <v>0</v>
      </c>
      <c r="O113" s="285">
        <v>0</v>
      </c>
      <c r="P113" s="285">
        <v>0</v>
      </c>
      <c r="Q113" s="285">
        <v>0</v>
      </c>
      <c r="R113" s="286">
        <f>SUM(J113:Q113)</f>
        <v>0</v>
      </c>
      <c r="S113" s="287">
        <f>I113-R113</f>
        <v>425000</v>
      </c>
      <c r="T113" s="288">
        <f>G113-I113</f>
        <v>-225000</v>
      </c>
      <c r="U113" s="289">
        <v>0</v>
      </c>
      <c r="V113" s="290" t="e">
        <f t="shared" si="1"/>
        <v>#DIV/0!</v>
      </c>
      <c r="X113" s="329"/>
      <c r="Y113" s="285"/>
      <c r="Z113" s="285"/>
      <c r="AA113" s="285"/>
      <c r="AB113" s="285"/>
      <c r="AC113" s="285"/>
      <c r="AD113" s="285"/>
      <c r="AE113" s="285"/>
    </row>
    <row r="114" spans="1:31" ht="18.95" customHeight="1">
      <c r="A114" s="313"/>
      <c r="B114" s="279"/>
      <c r="C114" s="280" t="s">
        <v>131</v>
      </c>
      <c r="D114" s="281" t="s">
        <v>43</v>
      </c>
      <c r="E114" s="282">
        <v>0</v>
      </c>
      <c r="F114" s="283"/>
      <c r="G114" s="282">
        <v>0</v>
      </c>
      <c r="H114" s="283"/>
      <c r="I114" s="284">
        <v>0</v>
      </c>
      <c r="J114" s="285">
        <v>0</v>
      </c>
      <c r="K114" s="285">
        <v>0</v>
      </c>
      <c r="L114" s="285">
        <v>0</v>
      </c>
      <c r="M114" s="285">
        <v>0</v>
      </c>
      <c r="N114" s="285">
        <v>0</v>
      </c>
      <c r="O114" s="285">
        <v>0</v>
      </c>
      <c r="P114" s="285">
        <v>0</v>
      </c>
      <c r="Q114" s="285">
        <v>0</v>
      </c>
      <c r="R114" s="286">
        <f>SUM(J114:Q114)</f>
        <v>0</v>
      </c>
      <c r="S114" s="287">
        <f>I114-R114</f>
        <v>0</v>
      </c>
      <c r="T114" s="288">
        <f>G114-I114</f>
        <v>0</v>
      </c>
      <c r="U114" s="289">
        <v>0</v>
      </c>
      <c r="V114" s="290" t="e">
        <f t="shared" si="1"/>
        <v>#DIV/0!</v>
      </c>
      <c r="X114" s="329"/>
      <c r="Y114" s="285"/>
      <c r="Z114" s="285"/>
      <c r="AA114" s="285"/>
      <c r="AB114" s="285"/>
      <c r="AC114" s="285"/>
      <c r="AD114" s="285"/>
      <c r="AE114" s="285"/>
    </row>
    <row r="115" spans="1:31" ht="18.95" customHeight="1">
      <c r="A115" s="314" t="s">
        <v>132</v>
      </c>
      <c r="B115" s="291" t="s">
        <v>38</v>
      </c>
      <c r="C115" s="292" t="s">
        <v>133</v>
      </c>
      <c r="D115" s="293" t="s">
        <v>40</v>
      </c>
      <c r="E115" s="294">
        <v>607100</v>
      </c>
      <c r="F115" s="295"/>
      <c r="G115" s="294">
        <v>477250</v>
      </c>
      <c r="H115" s="295"/>
      <c r="I115" s="296">
        <v>477250</v>
      </c>
      <c r="J115" s="273">
        <v>0</v>
      </c>
      <c r="K115" s="273">
        <v>0</v>
      </c>
      <c r="L115" s="273">
        <v>0</v>
      </c>
      <c r="M115" s="273">
        <v>0</v>
      </c>
      <c r="N115" s="273">
        <v>0</v>
      </c>
      <c r="O115" s="273">
        <v>0</v>
      </c>
      <c r="P115" s="273">
        <v>0</v>
      </c>
      <c r="Q115" s="273">
        <v>0</v>
      </c>
      <c r="R115" s="274">
        <f>SUM(J115:Q115)</f>
        <v>0</v>
      </c>
      <c r="S115" s="275">
        <f>I115-R115</f>
        <v>477250</v>
      </c>
      <c r="T115" s="276">
        <f>G115-I115</f>
        <v>0</v>
      </c>
      <c r="U115" s="297">
        <v>0</v>
      </c>
      <c r="V115" s="278" t="e">
        <f t="shared" si="1"/>
        <v>#DIV/0!</v>
      </c>
      <c r="X115" s="328"/>
      <c r="Y115" s="273"/>
      <c r="Z115" s="273"/>
      <c r="AA115" s="273"/>
      <c r="AB115" s="273"/>
      <c r="AC115" s="273"/>
      <c r="AD115" s="273"/>
      <c r="AE115" s="273"/>
    </row>
    <row r="116" spans="1:31" ht="18.95" customHeight="1">
      <c r="A116" s="312"/>
      <c r="B116" s="279"/>
      <c r="C116" s="280" t="s">
        <v>133</v>
      </c>
      <c r="D116" s="281" t="s">
        <v>43</v>
      </c>
      <c r="E116" s="282">
        <v>150000</v>
      </c>
      <c r="F116" s="283"/>
      <c r="G116" s="282">
        <v>0</v>
      </c>
      <c r="H116" s="283"/>
      <c r="I116" s="284">
        <v>0</v>
      </c>
      <c r="J116" s="285">
        <v>0</v>
      </c>
      <c r="K116" s="285">
        <v>0</v>
      </c>
      <c r="L116" s="285">
        <v>0</v>
      </c>
      <c r="M116" s="285">
        <v>0</v>
      </c>
      <c r="N116" s="285">
        <v>0</v>
      </c>
      <c r="O116" s="285">
        <v>0</v>
      </c>
      <c r="P116" s="285">
        <v>0</v>
      </c>
      <c r="Q116" s="285">
        <v>0</v>
      </c>
      <c r="R116" s="286">
        <f>SUM(J116:Q116)</f>
        <v>0</v>
      </c>
      <c r="S116" s="287">
        <f>I116-R116</f>
        <v>0</v>
      </c>
      <c r="T116" s="288">
        <f>G116-I116</f>
        <v>0</v>
      </c>
      <c r="U116" s="289">
        <v>0</v>
      </c>
      <c r="V116" s="290" t="e">
        <f t="shared" si="1"/>
        <v>#DIV/0!</v>
      </c>
      <c r="X116" s="329"/>
      <c r="Y116" s="285"/>
      <c r="Z116" s="285"/>
      <c r="AA116" s="285"/>
      <c r="AB116" s="285"/>
      <c r="AC116" s="285"/>
      <c r="AD116" s="285"/>
      <c r="AE116" s="285"/>
    </row>
    <row r="117" spans="1:31" ht="18.95" customHeight="1" thickBot="1">
      <c r="A117" s="315"/>
      <c r="B117" s="299"/>
      <c r="C117" s="300" t="s">
        <v>134</v>
      </c>
      <c r="D117" s="301" t="s">
        <v>43</v>
      </c>
      <c r="E117" s="302">
        <v>0</v>
      </c>
      <c r="F117" s="303"/>
      <c r="G117" s="302">
        <v>0</v>
      </c>
      <c r="H117" s="303"/>
      <c r="I117" s="304">
        <v>0</v>
      </c>
      <c r="J117" s="305">
        <v>0</v>
      </c>
      <c r="K117" s="305">
        <v>0</v>
      </c>
      <c r="L117" s="305">
        <v>0</v>
      </c>
      <c r="M117" s="305">
        <v>0</v>
      </c>
      <c r="N117" s="305">
        <v>0</v>
      </c>
      <c r="O117" s="305">
        <v>0</v>
      </c>
      <c r="P117" s="305">
        <v>0</v>
      </c>
      <c r="Q117" s="305">
        <v>0</v>
      </c>
      <c r="R117" s="306">
        <f>SUM(J117:Q117)</f>
        <v>0</v>
      </c>
      <c r="S117" s="307">
        <f>I117-R117</f>
        <v>0</v>
      </c>
      <c r="T117" s="308">
        <f>G117-I117</f>
        <v>0</v>
      </c>
      <c r="U117" s="309">
        <v>0</v>
      </c>
      <c r="V117" s="310" t="e">
        <f t="shared" si="1"/>
        <v>#DIV/0!</v>
      </c>
      <c r="X117" s="330"/>
      <c r="Y117" s="305"/>
      <c r="Z117" s="305"/>
      <c r="AA117" s="305"/>
      <c r="AB117" s="305"/>
      <c r="AC117" s="305"/>
      <c r="AD117" s="305"/>
      <c r="AE117" s="305"/>
    </row>
    <row r="118" spans="1:31" ht="18.95" customHeight="1" thickTop="1" thickBot="1">
      <c r="A118" s="27"/>
      <c r="B118" s="28" t="s">
        <v>12</v>
      </c>
      <c r="C118" s="29"/>
      <c r="D118" s="29"/>
      <c r="E118" s="187">
        <f>SUM(E7:F117)</f>
        <v>68199585</v>
      </c>
      <c r="F118" s="188"/>
      <c r="G118" s="187">
        <f>SUM(G7:H117)</f>
        <v>66523590</v>
      </c>
      <c r="H118" s="188"/>
      <c r="I118" s="87">
        <f>SUM(I7:I117)</f>
        <v>73978400</v>
      </c>
      <c r="J118" s="30"/>
      <c r="K118" s="30"/>
      <c r="L118" s="30"/>
      <c r="M118" s="30"/>
      <c r="N118" s="30"/>
      <c r="O118" s="30"/>
      <c r="P118" s="30"/>
      <c r="Q118" s="30"/>
      <c r="R118" s="32">
        <f>SUM(R7:R117)</f>
        <v>52413802</v>
      </c>
      <c r="S118" s="32">
        <f>SUM(S7:S117)</f>
        <v>21564598</v>
      </c>
      <c r="T118" s="33">
        <f>SUM(T7:T117)</f>
        <v>-7454810</v>
      </c>
      <c r="U118" s="298">
        <f>SUM(U7:U117)</f>
        <v>478</v>
      </c>
      <c r="V118" s="34"/>
    </row>
    <row r="119" spans="1:31" ht="15" customHeight="1" thickTop="1">
      <c r="A119" s="189"/>
      <c r="B119" s="190"/>
      <c r="C119" s="190"/>
      <c r="D119" s="190"/>
      <c r="E119" s="191"/>
      <c r="F119" s="191"/>
      <c r="G119" s="191"/>
      <c r="H119" s="191"/>
      <c r="I119" s="191"/>
      <c r="J119" s="190"/>
      <c r="K119" s="190"/>
      <c r="L119" s="190"/>
      <c r="M119" s="190"/>
      <c r="N119" s="190"/>
      <c r="O119" s="190"/>
      <c r="P119" s="190"/>
      <c r="Q119" s="190"/>
      <c r="R119" s="190"/>
      <c r="S119" s="190"/>
      <c r="T119" s="190"/>
      <c r="U119" s="191"/>
      <c r="V119" s="192"/>
    </row>
    <row r="120" spans="1:31" ht="18.95" customHeight="1">
      <c r="A120" s="97"/>
      <c r="B120" s="98" t="s">
        <v>13</v>
      </c>
      <c r="C120" s="98"/>
      <c r="D120" s="99"/>
      <c r="E120" s="193" t="s">
        <v>32</v>
      </c>
      <c r="F120" s="194"/>
      <c r="G120" s="193" t="s">
        <v>14</v>
      </c>
      <c r="H120" s="194"/>
      <c r="I120" s="100" t="s">
        <v>15</v>
      </c>
      <c r="J120" s="101"/>
      <c r="K120" s="101"/>
      <c r="L120" s="101"/>
      <c r="M120" s="101"/>
      <c r="N120" s="101"/>
      <c r="O120" s="101"/>
      <c r="P120" s="101"/>
      <c r="Q120" s="101"/>
      <c r="R120" s="101"/>
      <c r="S120" s="102"/>
      <c r="T120" s="103"/>
      <c r="U120" s="103"/>
      <c r="V120" s="104"/>
    </row>
    <row r="121" spans="1:31" ht="18.95" customHeight="1">
      <c r="A121" s="105"/>
      <c r="B121" s="107"/>
      <c r="C121" s="80"/>
      <c r="D121" s="158"/>
      <c r="E121" s="183"/>
      <c r="F121" s="184"/>
      <c r="G121" s="183"/>
      <c r="H121" s="184"/>
      <c r="I121" s="108"/>
      <c r="J121" s="20"/>
      <c r="K121" s="20"/>
      <c r="L121" s="20"/>
      <c r="M121" s="20"/>
      <c r="N121" s="20"/>
      <c r="O121" s="20"/>
      <c r="P121" s="20"/>
      <c r="Q121" s="20"/>
      <c r="R121" s="81">
        <f>SUM(J121:Q121)</f>
        <v>0</v>
      </c>
      <c r="S121" s="23">
        <f>I121-R121</f>
        <v>0</v>
      </c>
      <c r="T121" s="24">
        <f>G121-I121</f>
        <v>0</v>
      </c>
      <c r="U121" s="68"/>
      <c r="V121" s="88" t="e">
        <f>R121/U121</f>
        <v>#DIV/0!</v>
      </c>
    </row>
    <row r="122" spans="1:31" ht="18.95" customHeight="1">
      <c r="A122" s="106"/>
      <c r="B122" s="109"/>
      <c r="C122" s="71"/>
      <c r="D122" s="157"/>
      <c r="E122" s="185"/>
      <c r="F122" s="186"/>
      <c r="G122" s="185"/>
      <c r="H122" s="186"/>
      <c r="I122" s="110"/>
      <c r="J122" s="111"/>
      <c r="K122" s="111"/>
      <c r="L122" s="111"/>
      <c r="M122" s="111"/>
      <c r="N122" s="111"/>
      <c r="O122" s="111"/>
      <c r="P122" s="111"/>
      <c r="Q122" s="111"/>
      <c r="R122" s="81">
        <f>SUM(J122:Q122)</f>
        <v>0</v>
      </c>
      <c r="S122" s="23">
        <f>I122-R122</f>
        <v>0</v>
      </c>
      <c r="T122" s="24">
        <f>G122-I122</f>
        <v>0</v>
      </c>
      <c r="U122" s="69"/>
      <c r="V122" s="160" t="e">
        <f>R122/U122</f>
        <v>#DIV/0!</v>
      </c>
    </row>
    <row r="123" spans="1:31" ht="18.95" customHeight="1" thickBot="1">
      <c r="A123" s="89"/>
      <c r="B123" s="35" t="s">
        <v>16</v>
      </c>
      <c r="C123" s="35"/>
      <c r="D123" s="36"/>
      <c r="E123" s="168">
        <f>SUM(E121:E122)</f>
        <v>0</v>
      </c>
      <c r="F123" s="169"/>
      <c r="G123" s="168">
        <f>SUM(G121:G122)</f>
        <v>0</v>
      </c>
      <c r="H123" s="169"/>
      <c r="I123" s="37">
        <f>SUM(I121:I122)</f>
        <v>0</v>
      </c>
      <c r="J123" s="38"/>
      <c r="K123" s="38"/>
      <c r="L123" s="38"/>
      <c r="M123" s="38"/>
      <c r="N123" s="38"/>
      <c r="O123" s="38"/>
      <c r="P123" s="38"/>
      <c r="Q123" s="38"/>
      <c r="R123" s="39">
        <f>SUM(R121:R122)</f>
        <v>0</v>
      </c>
      <c r="S123" s="40">
        <f>SUM(S121:S122)</f>
        <v>0</v>
      </c>
      <c r="T123" s="41">
        <f>SUM(T121:T122)</f>
        <v>0</v>
      </c>
      <c r="U123" s="42">
        <f>SUM(U121:U122)</f>
        <v>0</v>
      </c>
      <c r="V123" s="159"/>
    </row>
    <row r="124" spans="1:31" ht="2.25" customHeight="1" thickTop="1" thickBot="1">
      <c r="A124" s="90"/>
      <c r="B124" s="43"/>
      <c r="C124" s="43"/>
      <c r="D124" s="43"/>
      <c r="E124" s="43"/>
      <c r="F124" s="44"/>
      <c r="G124" s="43"/>
      <c r="H124" s="44"/>
      <c r="I124" s="45"/>
      <c r="J124" s="44"/>
      <c r="K124" s="44"/>
      <c r="L124" s="44"/>
      <c r="M124" s="44"/>
      <c r="N124" s="44"/>
      <c r="O124" s="44"/>
      <c r="P124" s="44"/>
      <c r="Q124" s="44"/>
      <c r="R124" s="44"/>
      <c r="S124" s="46"/>
      <c r="T124" s="47"/>
      <c r="U124" s="48"/>
      <c r="V124" s="91"/>
    </row>
    <row r="125" spans="1:31" ht="26.25" customHeight="1" thickTop="1" thickBot="1">
      <c r="A125" s="92"/>
      <c r="B125" s="93" t="s">
        <v>17</v>
      </c>
      <c r="C125" s="93"/>
      <c r="D125" s="93"/>
      <c r="E125" s="170"/>
      <c r="F125" s="171"/>
      <c r="G125" s="170"/>
      <c r="H125" s="171"/>
      <c r="I125" s="49"/>
      <c r="J125" s="49"/>
      <c r="K125" s="49"/>
      <c r="L125" s="49"/>
      <c r="M125" s="49"/>
      <c r="N125" s="49"/>
      <c r="O125" s="49"/>
      <c r="P125" s="49"/>
      <c r="Q125" s="49"/>
      <c r="R125" s="50">
        <f>SUM(R123,R118)</f>
        <v>52413802</v>
      </c>
      <c r="S125" s="51">
        <f>SUM(S123,S118)</f>
        <v>21564598</v>
      </c>
      <c r="T125" s="94">
        <f>T118+T123</f>
        <v>-7454810</v>
      </c>
      <c r="U125" s="95">
        <f>SUM(U123,U118)</f>
        <v>478</v>
      </c>
      <c r="V125" s="96"/>
    </row>
    <row r="126" spans="1:31" ht="2.25" customHeight="1" thickTop="1">
      <c r="A126" s="137"/>
      <c r="B126" s="138"/>
      <c r="C126" s="138"/>
      <c r="D126" s="138"/>
      <c r="E126" s="138"/>
      <c r="F126" s="139"/>
      <c r="G126" s="138"/>
      <c r="H126" s="139"/>
      <c r="I126" s="140"/>
      <c r="J126" s="139"/>
      <c r="K126" s="139"/>
      <c r="L126" s="139"/>
      <c r="M126" s="139"/>
      <c r="N126" s="139"/>
      <c r="O126" s="139"/>
      <c r="P126" s="139"/>
      <c r="Q126" s="139"/>
      <c r="R126" s="139"/>
      <c r="S126" s="141"/>
      <c r="T126" s="142"/>
      <c r="U126" s="143"/>
      <c r="V126" s="144"/>
    </row>
    <row r="127" spans="1:31" ht="18.2" customHeight="1">
      <c r="A127" s="145"/>
      <c r="B127" s="146"/>
      <c r="C127" s="146"/>
      <c r="D127" s="146"/>
      <c r="E127" s="146"/>
      <c r="F127" s="128"/>
      <c r="G127" s="146"/>
      <c r="H127" s="128"/>
      <c r="I127" s="147"/>
      <c r="J127" s="128"/>
      <c r="K127" s="128"/>
      <c r="L127" s="128"/>
      <c r="M127" s="128"/>
      <c r="N127" s="128"/>
      <c r="O127" s="128"/>
      <c r="P127" s="128"/>
      <c r="Q127" s="128"/>
      <c r="R127" s="128"/>
      <c r="S127" s="148"/>
      <c r="T127" s="149"/>
      <c r="U127" s="150"/>
      <c r="V127" s="149"/>
    </row>
    <row r="128" spans="1:31" ht="18.2" customHeight="1">
      <c r="A128" s="258" t="s">
        <v>135</v>
      </c>
      <c r="B128" s="114" t="s">
        <v>38</v>
      </c>
      <c r="C128" s="115"/>
      <c r="D128" s="116"/>
      <c r="E128" s="172">
        <v>0</v>
      </c>
      <c r="F128" s="173"/>
      <c r="G128" s="174">
        <v>4000000</v>
      </c>
      <c r="H128" s="175"/>
      <c r="I128" s="117">
        <v>8000000</v>
      </c>
      <c r="J128" s="261">
        <v>1</v>
      </c>
      <c r="K128" s="261">
        <v>2</v>
      </c>
      <c r="L128" s="261">
        <v>600003</v>
      </c>
      <c r="M128" s="261">
        <v>660004</v>
      </c>
      <c r="N128" s="261">
        <v>540005</v>
      </c>
      <c r="O128" s="261">
        <v>540006</v>
      </c>
      <c r="P128" s="261">
        <v>7</v>
      </c>
      <c r="Q128" s="261">
        <v>8</v>
      </c>
      <c r="R128" s="119">
        <f>SUM(J128:Q128)</f>
        <v>2340036</v>
      </c>
      <c r="S128" s="120">
        <f>I128-R128</f>
        <v>5659964</v>
      </c>
      <c r="T128" s="121">
        <f>G128-I128</f>
        <v>-4000000</v>
      </c>
      <c r="U128" s="122">
        <v>0</v>
      </c>
      <c r="V128" s="123" t="e">
        <f>R128/U128</f>
        <v>#DIV/0!</v>
      </c>
      <c r="X128" s="261"/>
      <c r="Y128" s="261"/>
      <c r="Z128" s="261"/>
      <c r="AA128" s="261"/>
      <c r="AB128" s="261"/>
      <c r="AC128" s="261"/>
      <c r="AD128" s="261"/>
      <c r="AE128" s="261"/>
    </row>
    <row r="129" spans="1:31" ht="18.2" customHeight="1">
      <c r="A129" s="259"/>
      <c r="B129" s="114" t="s">
        <v>144</v>
      </c>
      <c r="C129" s="115"/>
      <c r="D129" s="116"/>
      <c r="E129" s="172">
        <v>0</v>
      </c>
      <c r="F129" s="173"/>
      <c r="G129" s="174">
        <v>0</v>
      </c>
      <c r="H129" s="175"/>
      <c r="I129" s="117">
        <v>0</v>
      </c>
      <c r="J129" s="261">
        <v>0</v>
      </c>
      <c r="K129" s="261">
        <v>1304</v>
      </c>
      <c r="L129" s="261">
        <v>0</v>
      </c>
      <c r="M129" s="261">
        <v>655</v>
      </c>
      <c r="N129" s="261">
        <v>0</v>
      </c>
      <c r="O129" s="261">
        <v>0</v>
      </c>
      <c r="P129" s="261">
        <v>0</v>
      </c>
      <c r="Q129" s="261">
        <v>0</v>
      </c>
      <c r="R129" s="119">
        <f>SUM(J129:Q129)</f>
        <v>1959</v>
      </c>
      <c r="S129" s="120">
        <f>I129-R129</f>
        <v>-1959</v>
      </c>
      <c r="T129" s="121">
        <f>G129-I129</f>
        <v>0</v>
      </c>
      <c r="U129" s="122">
        <v>0</v>
      </c>
      <c r="V129" s="123" t="e">
        <f t="shared" ref="V129:V135" si="2">R129/U129</f>
        <v>#DIV/0!</v>
      </c>
      <c r="X129" s="261"/>
      <c r="Y129" s="261"/>
      <c r="Z129" s="261"/>
      <c r="AA129" s="261"/>
      <c r="AB129" s="261"/>
      <c r="AC129" s="261"/>
      <c r="AD129" s="261"/>
      <c r="AE129" s="261"/>
    </row>
    <row r="130" spans="1:31" ht="18.2" customHeight="1">
      <c r="A130" s="259"/>
      <c r="B130" s="114" t="s">
        <v>145</v>
      </c>
      <c r="C130" s="115"/>
      <c r="D130" s="116"/>
      <c r="E130" s="172">
        <v>0</v>
      </c>
      <c r="F130" s="173"/>
      <c r="G130" s="174">
        <v>0</v>
      </c>
      <c r="H130" s="175"/>
      <c r="I130" s="117">
        <v>0</v>
      </c>
      <c r="J130" s="261">
        <v>0</v>
      </c>
      <c r="K130" s="261">
        <v>0</v>
      </c>
      <c r="L130" s="261">
        <v>1926</v>
      </c>
      <c r="M130" s="261">
        <v>0</v>
      </c>
      <c r="N130" s="261">
        <v>0</v>
      </c>
      <c r="O130" s="261">
        <v>0</v>
      </c>
      <c r="P130" s="261">
        <v>0</v>
      </c>
      <c r="Q130" s="261">
        <v>0</v>
      </c>
      <c r="R130" s="119">
        <f>SUM(J130:Q130)</f>
        <v>1926</v>
      </c>
      <c r="S130" s="120">
        <f>I130-R130</f>
        <v>-1926</v>
      </c>
      <c r="T130" s="121">
        <f>G130-I130</f>
        <v>0</v>
      </c>
      <c r="U130" s="122">
        <v>0</v>
      </c>
      <c r="V130" s="123" t="e">
        <f t="shared" si="2"/>
        <v>#DIV/0!</v>
      </c>
      <c r="X130" s="261"/>
      <c r="Y130" s="261"/>
      <c r="Z130" s="261"/>
      <c r="AA130" s="261"/>
      <c r="AB130" s="261"/>
      <c r="AC130" s="261"/>
      <c r="AD130" s="261"/>
      <c r="AE130" s="261"/>
    </row>
    <row r="131" spans="1:31" ht="18.2" customHeight="1">
      <c r="A131" s="259"/>
      <c r="B131" s="114" t="s">
        <v>146</v>
      </c>
      <c r="C131" s="115"/>
      <c r="D131" s="116"/>
      <c r="E131" s="172">
        <v>0</v>
      </c>
      <c r="F131" s="173"/>
      <c r="G131" s="174">
        <v>0</v>
      </c>
      <c r="H131" s="175"/>
      <c r="I131" s="117">
        <v>0</v>
      </c>
      <c r="J131" s="261">
        <v>0</v>
      </c>
      <c r="K131" s="261">
        <v>0</v>
      </c>
      <c r="L131" s="261">
        <v>13130</v>
      </c>
      <c r="M131" s="261">
        <v>122228</v>
      </c>
      <c r="N131" s="261">
        <v>210960</v>
      </c>
      <c r="O131" s="261">
        <v>169189</v>
      </c>
      <c r="P131" s="261">
        <v>36141</v>
      </c>
      <c r="Q131" s="261">
        <v>0</v>
      </c>
      <c r="R131" s="119">
        <f>SUM(J131:Q131)</f>
        <v>551648</v>
      </c>
      <c r="S131" s="120">
        <f>I131-R131</f>
        <v>-551648</v>
      </c>
      <c r="T131" s="121">
        <f>G131-I131</f>
        <v>0</v>
      </c>
      <c r="U131" s="122">
        <v>0</v>
      </c>
      <c r="V131" s="123" t="e">
        <f t="shared" si="2"/>
        <v>#DIV/0!</v>
      </c>
      <c r="X131" s="261"/>
      <c r="Y131" s="261"/>
      <c r="Z131" s="261"/>
      <c r="AA131" s="261"/>
      <c r="AB131" s="261"/>
      <c r="AC131" s="261"/>
      <c r="AD131" s="261"/>
      <c r="AE131" s="261"/>
    </row>
    <row r="132" spans="1:31" ht="18.2" customHeight="1">
      <c r="A132" s="259"/>
      <c r="B132" s="114" t="s">
        <v>147</v>
      </c>
      <c r="C132" s="115"/>
      <c r="D132" s="116"/>
      <c r="E132" s="172">
        <v>0</v>
      </c>
      <c r="F132" s="173"/>
      <c r="G132" s="174">
        <v>0</v>
      </c>
      <c r="H132" s="175"/>
      <c r="I132" s="117">
        <v>0</v>
      </c>
      <c r="J132" s="261">
        <v>13000</v>
      </c>
      <c r="K132" s="261">
        <v>38490</v>
      </c>
      <c r="L132" s="261">
        <v>13341</v>
      </c>
      <c r="M132" s="261">
        <v>3000</v>
      </c>
      <c r="N132" s="261">
        <v>750</v>
      </c>
      <c r="O132" s="261">
        <v>300</v>
      </c>
      <c r="P132" s="261">
        <v>750</v>
      </c>
      <c r="Q132" s="261">
        <v>0</v>
      </c>
      <c r="R132" s="119">
        <f>SUM(J132:Q132)</f>
        <v>69631</v>
      </c>
      <c r="S132" s="120">
        <f>I132-R132</f>
        <v>-69631</v>
      </c>
      <c r="T132" s="121">
        <f>G132-I132</f>
        <v>0</v>
      </c>
      <c r="U132" s="122">
        <v>0</v>
      </c>
      <c r="V132" s="123" t="e">
        <f t="shared" si="2"/>
        <v>#DIV/0!</v>
      </c>
      <c r="X132" s="261"/>
      <c r="Y132" s="261"/>
      <c r="Z132" s="261"/>
      <c r="AA132" s="261"/>
      <c r="AB132" s="261"/>
      <c r="AC132" s="261"/>
      <c r="AD132" s="261"/>
      <c r="AE132" s="261"/>
    </row>
    <row r="133" spans="1:31" ht="18.2" customHeight="1">
      <c r="A133" s="259"/>
      <c r="B133" s="114" t="s">
        <v>63</v>
      </c>
      <c r="C133" s="115"/>
      <c r="D133" s="116"/>
      <c r="E133" s="172">
        <v>0</v>
      </c>
      <c r="F133" s="173"/>
      <c r="G133" s="174">
        <v>0</v>
      </c>
      <c r="H133" s="175"/>
      <c r="I133" s="117">
        <v>0</v>
      </c>
      <c r="J133" s="261">
        <v>0</v>
      </c>
      <c r="K133" s="261">
        <v>1670884</v>
      </c>
      <c r="L133" s="261">
        <v>92273</v>
      </c>
      <c r="M133" s="261">
        <v>368121</v>
      </c>
      <c r="N133" s="261">
        <v>10821</v>
      </c>
      <c r="O133" s="261">
        <v>24039</v>
      </c>
      <c r="P133" s="261">
        <v>18928</v>
      </c>
      <c r="Q133" s="261">
        <v>0</v>
      </c>
      <c r="R133" s="119">
        <f>SUM(J133:Q133)</f>
        <v>2185066</v>
      </c>
      <c r="S133" s="120">
        <f>I133-R133</f>
        <v>-2185066</v>
      </c>
      <c r="T133" s="121">
        <f>G133-I133</f>
        <v>0</v>
      </c>
      <c r="U133" s="122">
        <v>0</v>
      </c>
      <c r="V133" s="123" t="e">
        <f t="shared" si="2"/>
        <v>#DIV/0!</v>
      </c>
      <c r="X133" s="261"/>
      <c r="Y133" s="261"/>
      <c r="Z133" s="261"/>
      <c r="AA133" s="261"/>
      <c r="AB133" s="261"/>
      <c r="AC133" s="261"/>
      <c r="AD133" s="261"/>
      <c r="AE133" s="261"/>
    </row>
    <row r="134" spans="1:31" ht="18.2" customHeight="1">
      <c r="A134" s="259"/>
      <c r="B134" s="114" t="s">
        <v>148</v>
      </c>
      <c r="C134" s="115"/>
      <c r="D134" s="116"/>
      <c r="E134" s="172">
        <v>0</v>
      </c>
      <c r="F134" s="173"/>
      <c r="G134" s="174">
        <v>0</v>
      </c>
      <c r="H134" s="175"/>
      <c r="I134" s="117">
        <v>0</v>
      </c>
      <c r="J134" s="261">
        <v>0</v>
      </c>
      <c r="K134" s="261">
        <v>4983</v>
      </c>
      <c r="L134" s="261">
        <v>1391</v>
      </c>
      <c r="M134" s="261">
        <v>0</v>
      </c>
      <c r="N134" s="261">
        <v>364</v>
      </c>
      <c r="O134" s="261">
        <v>182</v>
      </c>
      <c r="P134" s="261">
        <v>1182</v>
      </c>
      <c r="Q134" s="261">
        <v>0</v>
      </c>
      <c r="R134" s="119">
        <f>SUM(J134:Q134)</f>
        <v>8102</v>
      </c>
      <c r="S134" s="120">
        <f>I134-R134</f>
        <v>-8102</v>
      </c>
      <c r="T134" s="121">
        <f>G134-I134</f>
        <v>0</v>
      </c>
      <c r="U134" s="122">
        <v>0</v>
      </c>
      <c r="V134" s="123" t="e">
        <f t="shared" si="2"/>
        <v>#DIV/0!</v>
      </c>
      <c r="X134" s="261"/>
      <c r="Y134" s="261"/>
      <c r="Z134" s="261"/>
      <c r="AA134" s="261"/>
      <c r="AB134" s="261"/>
      <c r="AC134" s="261"/>
      <c r="AD134" s="261"/>
      <c r="AE134" s="261"/>
    </row>
    <row r="135" spans="1:31" ht="18.2" customHeight="1">
      <c r="A135" s="259"/>
      <c r="B135" s="114"/>
      <c r="C135" s="115"/>
      <c r="D135" s="116"/>
      <c r="E135" s="172">
        <v>24160000</v>
      </c>
      <c r="F135" s="173"/>
      <c r="G135" s="174">
        <v>4427000</v>
      </c>
      <c r="H135" s="175"/>
      <c r="I135" s="117">
        <v>3996920</v>
      </c>
      <c r="J135" s="261">
        <v>0</v>
      </c>
      <c r="K135" s="261">
        <v>0</v>
      </c>
      <c r="L135" s="261">
        <v>0</v>
      </c>
      <c r="M135" s="261">
        <v>0</v>
      </c>
      <c r="N135" s="261">
        <v>0</v>
      </c>
      <c r="O135" s="261">
        <v>0</v>
      </c>
      <c r="P135" s="261">
        <v>0</v>
      </c>
      <c r="Q135" s="261">
        <v>0</v>
      </c>
      <c r="R135" s="119">
        <f>SUM(J135:Q135)</f>
        <v>0</v>
      </c>
      <c r="S135" s="120">
        <f>I135-R135</f>
        <v>3996920</v>
      </c>
      <c r="T135" s="121">
        <f>G135-I135</f>
        <v>430080</v>
      </c>
      <c r="U135" s="122">
        <v>0</v>
      </c>
      <c r="V135" s="123" t="e">
        <f t="shared" si="2"/>
        <v>#DIV/0!</v>
      </c>
      <c r="X135" s="261"/>
      <c r="Y135" s="261"/>
      <c r="Z135" s="261"/>
      <c r="AA135" s="261"/>
      <c r="AB135" s="261"/>
      <c r="AC135" s="261"/>
      <c r="AD135" s="261"/>
      <c r="AE135" s="261"/>
    </row>
    <row r="136" spans="1:31" ht="18.95" customHeight="1" thickBot="1">
      <c r="A136" s="113"/>
      <c r="B136" s="78" t="s">
        <v>34</v>
      </c>
      <c r="C136" s="79"/>
      <c r="D136" s="151"/>
      <c r="E136" s="180">
        <f>SUM(E128:F135)</f>
        <v>24160000</v>
      </c>
      <c r="F136" s="181"/>
      <c r="G136" s="182">
        <f>SUM(G128:H135)</f>
        <v>8427000</v>
      </c>
      <c r="H136" s="181"/>
      <c r="I136" s="135">
        <f>SUM(I128:I135)</f>
        <v>11996920</v>
      </c>
      <c r="J136" s="30"/>
      <c r="K136" s="30"/>
      <c r="L136" s="30"/>
      <c r="M136" s="30"/>
      <c r="N136" s="30"/>
      <c r="O136" s="30"/>
      <c r="P136" s="30"/>
      <c r="Q136" s="30"/>
      <c r="R136" s="32">
        <f>SUM(R128:R135)</f>
        <v>5158368</v>
      </c>
      <c r="S136" s="32">
        <f>SUM(S128:S135)</f>
        <v>6838552</v>
      </c>
      <c r="T136" s="33">
        <f>SUM(T128:T135)</f>
        <v>-3569920</v>
      </c>
      <c r="U136" s="136">
        <f>SUM(U128:U135)</f>
        <v>0</v>
      </c>
      <c r="V136" s="34"/>
      <c r="X136" s="30"/>
      <c r="Y136" s="30"/>
      <c r="Z136" s="30"/>
      <c r="AA136" s="30"/>
      <c r="AB136" s="30"/>
      <c r="AC136" s="30"/>
      <c r="AD136" s="30"/>
      <c r="AE136" s="30"/>
    </row>
    <row r="137" spans="1:31" ht="18.2" customHeight="1" thickTop="1">
      <c r="A137" s="52"/>
      <c r="B137" s="176" t="s">
        <v>18</v>
      </c>
      <c r="C137" s="177"/>
      <c r="D137" s="134"/>
      <c r="E137" s="178">
        <f>SUM(E118,E123,E136)</f>
        <v>92359585</v>
      </c>
      <c r="F137" s="179"/>
      <c r="G137" s="178">
        <f>SUM(G118,G123,G136)</f>
        <v>74950590</v>
      </c>
      <c r="H137" s="179"/>
      <c r="I137" s="53">
        <f>SUM(I136,I123,I118)</f>
        <v>85975320</v>
      </c>
      <c r="J137" s="54">
        <f>SUM(J7:J135)</f>
        <v>212001</v>
      </c>
      <c r="K137" s="54">
        <f>SUM(K7:K135)</f>
        <v>1742063</v>
      </c>
      <c r="L137" s="54">
        <f>SUM(L7:L135)</f>
        <v>13420619</v>
      </c>
      <c r="M137" s="54">
        <f>SUM(M7:M135)</f>
        <v>14617240</v>
      </c>
      <c r="N137" s="54">
        <f>SUM(N7:N135)</f>
        <v>13149149</v>
      </c>
      <c r="O137" s="54">
        <f>SUM(O7:O135)</f>
        <v>15175622</v>
      </c>
      <c r="P137" s="54">
        <f>SUM(P7:P135)</f>
        <v>-744532</v>
      </c>
      <c r="Q137" s="54">
        <f>SUM(Q7:Q135)</f>
        <v>8</v>
      </c>
      <c r="R137" s="54">
        <f>SUM(J137:Q137)</f>
        <v>57572170</v>
      </c>
      <c r="S137" s="55">
        <f>I137-R137</f>
        <v>28403150</v>
      </c>
      <c r="T137" s="56">
        <f>SUM(T136,T125)</f>
        <v>-11024730</v>
      </c>
      <c r="U137" s="57">
        <f>SUM(U136,U125)</f>
        <v>478</v>
      </c>
      <c r="V137" s="58"/>
      <c r="X137" s="54"/>
      <c r="Y137" s="54"/>
      <c r="Z137" s="54"/>
      <c r="AA137" s="54"/>
      <c r="AB137" s="54"/>
      <c r="AC137" s="54"/>
      <c r="AD137" s="54"/>
      <c r="AE137" s="54"/>
    </row>
    <row r="138" spans="1:31" ht="25.5" customHeight="1">
      <c r="A138" s="59"/>
      <c r="B138" s="59"/>
      <c r="C138" s="59"/>
      <c r="D138" s="59"/>
      <c r="E138" s="59"/>
      <c r="F138" s="60"/>
      <c r="G138" s="59"/>
      <c r="H138" s="60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2"/>
      <c r="T138" s="59"/>
      <c r="U138" s="59"/>
      <c r="X138" s="61"/>
      <c r="Y138" s="61"/>
      <c r="Z138" s="61"/>
      <c r="AA138" s="61"/>
      <c r="AB138" s="61"/>
      <c r="AC138" s="61"/>
      <c r="AD138" s="61"/>
      <c r="AE138" s="61"/>
    </row>
    <row r="139" spans="1:31" ht="6" customHeight="1">
      <c r="X139" s="64"/>
      <c r="Y139" s="64"/>
      <c r="Z139" s="64"/>
      <c r="AA139" s="64"/>
      <c r="AB139" s="64"/>
      <c r="AC139" s="64"/>
      <c r="AD139" s="64"/>
      <c r="AE139" s="64"/>
    </row>
    <row r="140" spans="1:31" ht="18" customHeight="1">
      <c r="A140" s="13" t="s">
        <v>19</v>
      </c>
      <c r="X140" s="64"/>
      <c r="Y140" s="64"/>
      <c r="Z140" s="64"/>
      <c r="AA140" s="64"/>
      <c r="AB140" s="64"/>
      <c r="AC140" s="64"/>
      <c r="AD140" s="64"/>
      <c r="AE140" s="64"/>
    </row>
    <row r="141" spans="1:31" ht="18" customHeight="1">
      <c r="A141" s="167" t="s">
        <v>20</v>
      </c>
      <c r="B141" s="167"/>
      <c r="C141" s="167"/>
      <c r="D141" s="167"/>
      <c r="E141" s="167"/>
      <c r="F141" s="167"/>
      <c r="G141" s="167"/>
      <c r="H141" s="167"/>
      <c r="I141" s="167"/>
      <c r="J141" s="167"/>
      <c r="K141" s="167"/>
      <c r="L141" s="167"/>
      <c r="M141" s="167"/>
      <c r="N141" s="167"/>
      <c r="O141" s="167"/>
      <c r="P141" s="167"/>
      <c r="Q141" s="167"/>
    </row>
    <row r="142" spans="1:31" ht="18" customHeight="1">
      <c r="A142" s="167" t="s">
        <v>21</v>
      </c>
      <c r="B142" s="167"/>
      <c r="C142" s="167"/>
      <c r="D142" s="167"/>
      <c r="E142" s="167"/>
      <c r="F142" s="167"/>
    </row>
    <row r="143" spans="1:31" ht="18" customHeight="1">
      <c r="A143" s="167" t="s">
        <v>22</v>
      </c>
      <c r="B143" s="167"/>
      <c r="C143" s="167"/>
      <c r="D143" s="167"/>
      <c r="E143" s="167"/>
      <c r="F143" s="167"/>
    </row>
    <row r="144" spans="1:31" ht="18" customHeight="1">
      <c r="E144" s="13">
        <v>24160000</v>
      </c>
      <c r="G144" s="13">
        <v>4427000</v>
      </c>
      <c r="I144" s="64">
        <v>3996920</v>
      </c>
    </row>
  </sheetData>
  <mergeCells count="300">
    <mergeCell ref="A115:A117"/>
    <mergeCell ref="A71:A81"/>
    <mergeCell ref="A82:A84"/>
    <mergeCell ref="A85:A93"/>
    <mergeCell ref="A94:A99"/>
    <mergeCell ref="A100:A102"/>
    <mergeCell ref="A103:A114"/>
    <mergeCell ref="E135:F135"/>
    <mergeCell ref="G135:H135"/>
    <mergeCell ref="A7:A30"/>
    <mergeCell ref="A31:A37"/>
    <mergeCell ref="A38:A42"/>
    <mergeCell ref="A43:A58"/>
    <mergeCell ref="A59:A63"/>
    <mergeCell ref="A64:A70"/>
    <mergeCell ref="E133:F133"/>
    <mergeCell ref="G133:H133"/>
    <mergeCell ref="E134:F134"/>
    <mergeCell ref="G134:H134"/>
    <mergeCell ref="G129:H129"/>
    <mergeCell ref="E130:F130"/>
    <mergeCell ref="G130:H130"/>
    <mergeCell ref="E131:F131"/>
    <mergeCell ref="G131:H131"/>
    <mergeCell ref="E132:F132"/>
    <mergeCell ref="G132:H132"/>
    <mergeCell ref="E117:F117"/>
    <mergeCell ref="G117:H117"/>
    <mergeCell ref="J1:N1"/>
    <mergeCell ref="J2:N2"/>
    <mergeCell ref="J3:N3"/>
    <mergeCell ref="E114:F114"/>
    <mergeCell ref="G114:H114"/>
    <mergeCell ref="E115:F115"/>
    <mergeCell ref="G115:H115"/>
    <mergeCell ref="E116:F116"/>
    <mergeCell ref="G116:H116"/>
    <mergeCell ref="E111:F111"/>
    <mergeCell ref="G111:H111"/>
    <mergeCell ref="E112:F112"/>
    <mergeCell ref="G112:H112"/>
    <mergeCell ref="E113:F113"/>
    <mergeCell ref="G113:H113"/>
    <mergeCell ref="E108:F108"/>
    <mergeCell ref="G108:H108"/>
    <mergeCell ref="E109:F109"/>
    <mergeCell ref="G109:H109"/>
    <mergeCell ref="E110:F110"/>
    <mergeCell ref="G110:H110"/>
    <mergeCell ref="E105:F105"/>
    <mergeCell ref="G105:H105"/>
    <mergeCell ref="E106:F106"/>
    <mergeCell ref="G106:H106"/>
    <mergeCell ref="E107:F107"/>
    <mergeCell ref="G107:H107"/>
    <mergeCell ref="E102:F102"/>
    <mergeCell ref="G102:H102"/>
    <mergeCell ref="E103:F103"/>
    <mergeCell ref="G103:H103"/>
    <mergeCell ref="E104:F104"/>
    <mergeCell ref="G104:H104"/>
    <mergeCell ref="E99:F99"/>
    <mergeCell ref="G99:H99"/>
    <mergeCell ref="E100:F100"/>
    <mergeCell ref="G100:H100"/>
    <mergeCell ref="E101:F101"/>
    <mergeCell ref="G101:H101"/>
    <mergeCell ref="E96:F96"/>
    <mergeCell ref="G96:H96"/>
    <mergeCell ref="E97:F97"/>
    <mergeCell ref="G97:H97"/>
    <mergeCell ref="E98:F98"/>
    <mergeCell ref="G98:H98"/>
    <mergeCell ref="E93:F93"/>
    <mergeCell ref="G93:H93"/>
    <mergeCell ref="E94:F94"/>
    <mergeCell ref="G94:H94"/>
    <mergeCell ref="E95:F95"/>
    <mergeCell ref="G95:H95"/>
    <mergeCell ref="E90:F90"/>
    <mergeCell ref="G90:H90"/>
    <mergeCell ref="E91:F91"/>
    <mergeCell ref="G91:H91"/>
    <mergeCell ref="E92:F92"/>
    <mergeCell ref="G92:H92"/>
    <mergeCell ref="E87:F87"/>
    <mergeCell ref="G87:H87"/>
    <mergeCell ref="E88:F88"/>
    <mergeCell ref="G88:H88"/>
    <mergeCell ref="E89:F89"/>
    <mergeCell ref="G89:H89"/>
    <mergeCell ref="E84:F84"/>
    <mergeCell ref="G84:H84"/>
    <mergeCell ref="E85:F85"/>
    <mergeCell ref="G85:H85"/>
    <mergeCell ref="E86:F86"/>
    <mergeCell ref="G86:H86"/>
    <mergeCell ref="E81:F81"/>
    <mergeCell ref="G81:H81"/>
    <mergeCell ref="E82:F82"/>
    <mergeCell ref="G82:H82"/>
    <mergeCell ref="E83:F83"/>
    <mergeCell ref="G83:H83"/>
    <mergeCell ref="E78:F78"/>
    <mergeCell ref="G78:H78"/>
    <mergeCell ref="E79:F79"/>
    <mergeCell ref="G79:H79"/>
    <mergeCell ref="E80:F80"/>
    <mergeCell ref="G80:H80"/>
    <mergeCell ref="E75:F75"/>
    <mergeCell ref="G75:H75"/>
    <mergeCell ref="E76:F76"/>
    <mergeCell ref="G76:H76"/>
    <mergeCell ref="E77:F77"/>
    <mergeCell ref="G77:H77"/>
    <mergeCell ref="E72:F72"/>
    <mergeCell ref="G72:H72"/>
    <mergeCell ref="E73:F73"/>
    <mergeCell ref="G73:H73"/>
    <mergeCell ref="E74:F74"/>
    <mergeCell ref="G74:H74"/>
    <mergeCell ref="E69:F69"/>
    <mergeCell ref="G69:H69"/>
    <mergeCell ref="E70:F70"/>
    <mergeCell ref="G70:H70"/>
    <mergeCell ref="E71:F71"/>
    <mergeCell ref="G71:H71"/>
    <mergeCell ref="E66:F66"/>
    <mergeCell ref="G66:H66"/>
    <mergeCell ref="E67:F67"/>
    <mergeCell ref="G67:H67"/>
    <mergeCell ref="E68:F68"/>
    <mergeCell ref="G68:H68"/>
    <mergeCell ref="E63:F63"/>
    <mergeCell ref="G63:H63"/>
    <mergeCell ref="E64:F64"/>
    <mergeCell ref="G64:H64"/>
    <mergeCell ref="E65:F65"/>
    <mergeCell ref="G65:H65"/>
    <mergeCell ref="E60:F60"/>
    <mergeCell ref="G60:H60"/>
    <mergeCell ref="E61:F61"/>
    <mergeCell ref="G61:H61"/>
    <mergeCell ref="E62:F62"/>
    <mergeCell ref="G62:H62"/>
    <mergeCell ref="E57:F57"/>
    <mergeCell ref="G57:H57"/>
    <mergeCell ref="E58:F58"/>
    <mergeCell ref="G58:H58"/>
    <mergeCell ref="E59:F59"/>
    <mergeCell ref="G59:H59"/>
    <mergeCell ref="E54:F54"/>
    <mergeCell ref="G54:H54"/>
    <mergeCell ref="E55:F55"/>
    <mergeCell ref="G55:H55"/>
    <mergeCell ref="E56:F56"/>
    <mergeCell ref="G56:H56"/>
    <mergeCell ref="E51:F51"/>
    <mergeCell ref="G51:H51"/>
    <mergeCell ref="E52:F52"/>
    <mergeCell ref="G52:H52"/>
    <mergeCell ref="E53:F53"/>
    <mergeCell ref="G53:H53"/>
    <mergeCell ref="E48:F48"/>
    <mergeCell ref="G48:H48"/>
    <mergeCell ref="E49:F49"/>
    <mergeCell ref="G49:H49"/>
    <mergeCell ref="E50:F50"/>
    <mergeCell ref="G50:H50"/>
    <mergeCell ref="E45:F45"/>
    <mergeCell ref="G45:H45"/>
    <mergeCell ref="E46:F46"/>
    <mergeCell ref="G46:H46"/>
    <mergeCell ref="E47:F47"/>
    <mergeCell ref="G47:H47"/>
    <mergeCell ref="E42:F42"/>
    <mergeCell ref="G42:H42"/>
    <mergeCell ref="E43:F43"/>
    <mergeCell ref="G43:H43"/>
    <mergeCell ref="E44:F44"/>
    <mergeCell ref="G44:H44"/>
    <mergeCell ref="E39:F39"/>
    <mergeCell ref="G39:H39"/>
    <mergeCell ref="E40:F40"/>
    <mergeCell ref="G40:H40"/>
    <mergeCell ref="E41:F41"/>
    <mergeCell ref="G41:H41"/>
    <mergeCell ref="E36:F36"/>
    <mergeCell ref="G36:H36"/>
    <mergeCell ref="E37:F37"/>
    <mergeCell ref="G37:H37"/>
    <mergeCell ref="E38:F38"/>
    <mergeCell ref="G38:H38"/>
    <mergeCell ref="E33:F33"/>
    <mergeCell ref="G33:H33"/>
    <mergeCell ref="E34:F34"/>
    <mergeCell ref="G34:H34"/>
    <mergeCell ref="E35:F35"/>
    <mergeCell ref="G35:H35"/>
    <mergeCell ref="E30:F30"/>
    <mergeCell ref="G30:H30"/>
    <mergeCell ref="E31:F31"/>
    <mergeCell ref="G31:H31"/>
    <mergeCell ref="E32:F32"/>
    <mergeCell ref="G32:H32"/>
    <mergeCell ref="E27:F27"/>
    <mergeCell ref="G27:H27"/>
    <mergeCell ref="E28:F28"/>
    <mergeCell ref="G28:H28"/>
    <mergeCell ref="E29:F29"/>
    <mergeCell ref="G29:H29"/>
    <mergeCell ref="E24:F24"/>
    <mergeCell ref="G24:H24"/>
    <mergeCell ref="E25:F25"/>
    <mergeCell ref="G25:H25"/>
    <mergeCell ref="E26:F26"/>
    <mergeCell ref="G26:H26"/>
    <mergeCell ref="E21:F21"/>
    <mergeCell ref="G21:H21"/>
    <mergeCell ref="E22:F22"/>
    <mergeCell ref="G22:H22"/>
    <mergeCell ref="E23:F23"/>
    <mergeCell ref="G23:H23"/>
    <mergeCell ref="E18:F18"/>
    <mergeCell ref="G18:H18"/>
    <mergeCell ref="E19:F19"/>
    <mergeCell ref="G19:H19"/>
    <mergeCell ref="E20:F20"/>
    <mergeCell ref="G20:H20"/>
    <mergeCell ref="E15:F15"/>
    <mergeCell ref="G15:H15"/>
    <mergeCell ref="E16:F16"/>
    <mergeCell ref="G16:H16"/>
    <mergeCell ref="E17:F17"/>
    <mergeCell ref="G17:H17"/>
    <mergeCell ref="E12:F12"/>
    <mergeCell ref="G12:H12"/>
    <mergeCell ref="E13:F13"/>
    <mergeCell ref="G13:H13"/>
    <mergeCell ref="E14:F14"/>
    <mergeCell ref="G14:H14"/>
    <mergeCell ref="A142:F142"/>
    <mergeCell ref="A143:F143"/>
    <mergeCell ref="E8:F8"/>
    <mergeCell ref="G8:H8"/>
    <mergeCell ref="E9:F9"/>
    <mergeCell ref="G9:H9"/>
    <mergeCell ref="E10:F10"/>
    <mergeCell ref="G10:H10"/>
    <mergeCell ref="E11:F11"/>
    <mergeCell ref="G11:H11"/>
    <mergeCell ref="E136:F136"/>
    <mergeCell ref="G136:H136"/>
    <mergeCell ref="B137:C137"/>
    <mergeCell ref="E137:F137"/>
    <mergeCell ref="G137:H137"/>
    <mergeCell ref="A141:Q141"/>
    <mergeCell ref="E125:F125"/>
    <mergeCell ref="G125:H125"/>
    <mergeCell ref="A128:A135"/>
    <mergeCell ref="E128:F128"/>
    <mergeCell ref="G128:H128"/>
    <mergeCell ref="E129:F129"/>
    <mergeCell ref="E121:F121"/>
    <mergeCell ref="G121:H121"/>
    <mergeCell ref="E122:F122"/>
    <mergeCell ref="G122:H122"/>
    <mergeCell ref="E123:F123"/>
    <mergeCell ref="G123:H123"/>
    <mergeCell ref="E118:F118"/>
    <mergeCell ref="G118:H118"/>
    <mergeCell ref="A119:V119"/>
    <mergeCell ref="E120:F120"/>
    <mergeCell ref="G120:H120"/>
    <mergeCell ref="R5:R6"/>
    <mergeCell ref="S5:S6"/>
    <mergeCell ref="T5:T6"/>
    <mergeCell ref="U5:U6"/>
    <mergeCell ref="V5:V6"/>
    <mergeCell ref="E7:F7"/>
    <mergeCell ref="G7:H7"/>
    <mergeCell ref="A5:B6"/>
    <mergeCell ref="C5:C6"/>
    <mergeCell ref="D5:D6"/>
    <mergeCell ref="E5:F6"/>
    <mergeCell ref="G5:H6"/>
    <mergeCell ref="I5:I6"/>
    <mergeCell ref="A3:B3"/>
    <mergeCell ref="C3:H3"/>
    <mergeCell ref="A4:B4"/>
    <mergeCell ref="C4:F4"/>
    <mergeCell ref="G4:H4"/>
    <mergeCell ref="J4:Q4"/>
    <mergeCell ref="A1:B1"/>
    <mergeCell ref="C1:H1"/>
    <mergeCell ref="R1:S4"/>
    <mergeCell ref="T1:V1"/>
    <mergeCell ref="A2:B2"/>
    <mergeCell ref="C2:H2"/>
    <mergeCell ref="T2:V4"/>
  </mergeCells>
  <phoneticPr fontId="2"/>
  <pageMargins left="0.7" right="0.7" top="0.75" bottom="0.75" header="0.3" footer="0.3"/>
  <pageSetup paperSize="9" scale="43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1D9AA-D0A0-42F4-BF09-A4E42DF00BE0}">
  <sheetPr codeName="Sheet14"/>
  <dimension ref="A1:AE137"/>
  <sheetViews>
    <sheetView view="pageBreakPreview" zoomScaleNormal="100" zoomScaleSheetLayoutView="100" workbookViewId="0">
      <pane xSplit="2" ySplit="6" topLeftCell="C111" activePane="bottomRight" state="frozen"/>
      <selection pane="topRight" activeCell="C1" sqref="C1"/>
      <selection pane="bottomLeft" activeCell="A9" sqref="A9"/>
      <selection pane="bottomRight" sqref="A1:B1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63" customWidth="1"/>
    <col min="7" max="7" width="7.625" style="13" customWidth="1"/>
    <col min="8" max="8" width="7.625" style="63" customWidth="1"/>
    <col min="9" max="9" width="15.375" style="64" customWidth="1"/>
    <col min="10" max="18" width="8.625" style="64" customWidth="1"/>
    <col min="19" max="19" width="8.625" style="65" customWidth="1"/>
    <col min="20" max="20" width="11.125" style="13" customWidth="1"/>
    <col min="21" max="21" width="8.625" style="13" customWidth="1"/>
    <col min="22" max="22" width="8.625" style="7" customWidth="1"/>
    <col min="23" max="260" width="9" style="7"/>
    <col min="261" max="261" width="8.625" style="7" customWidth="1"/>
    <col min="262" max="262" width="19.625" style="7" customWidth="1"/>
    <col min="263" max="263" width="8.625" style="7" customWidth="1"/>
    <col min="264" max="265" width="7.625" style="7" customWidth="1"/>
    <col min="266" max="266" width="11.125" style="7" customWidth="1"/>
    <col min="267" max="275" width="8.625" style="7" customWidth="1"/>
    <col min="276" max="276" width="11.125" style="7" customWidth="1"/>
    <col min="277" max="278" width="8.625" style="7" customWidth="1"/>
    <col min="279" max="516" width="9" style="7"/>
    <col min="517" max="517" width="8.625" style="7" customWidth="1"/>
    <col min="518" max="518" width="19.625" style="7" customWidth="1"/>
    <col min="519" max="519" width="8.625" style="7" customWidth="1"/>
    <col min="520" max="521" width="7.625" style="7" customWidth="1"/>
    <col min="522" max="522" width="11.125" style="7" customWidth="1"/>
    <col min="523" max="531" width="8.625" style="7" customWidth="1"/>
    <col min="532" max="532" width="11.125" style="7" customWidth="1"/>
    <col min="533" max="534" width="8.625" style="7" customWidth="1"/>
    <col min="535" max="772" width="9" style="7"/>
    <col min="773" max="773" width="8.625" style="7" customWidth="1"/>
    <col min="774" max="774" width="19.625" style="7" customWidth="1"/>
    <col min="775" max="775" width="8.625" style="7" customWidth="1"/>
    <col min="776" max="777" width="7.625" style="7" customWidth="1"/>
    <col min="778" max="778" width="11.125" style="7" customWidth="1"/>
    <col min="779" max="787" width="8.625" style="7" customWidth="1"/>
    <col min="788" max="788" width="11.125" style="7" customWidth="1"/>
    <col min="789" max="790" width="8.625" style="7" customWidth="1"/>
    <col min="791" max="1028" width="9" style="7"/>
    <col min="1029" max="1029" width="8.625" style="7" customWidth="1"/>
    <col min="1030" max="1030" width="19.625" style="7" customWidth="1"/>
    <col min="1031" max="1031" width="8.625" style="7" customWidth="1"/>
    <col min="1032" max="1033" width="7.625" style="7" customWidth="1"/>
    <col min="1034" max="1034" width="11.125" style="7" customWidth="1"/>
    <col min="1035" max="1043" width="8.625" style="7" customWidth="1"/>
    <col min="1044" max="1044" width="11.125" style="7" customWidth="1"/>
    <col min="1045" max="1046" width="8.625" style="7" customWidth="1"/>
    <col min="1047" max="1284" width="9" style="7"/>
    <col min="1285" max="1285" width="8.625" style="7" customWidth="1"/>
    <col min="1286" max="1286" width="19.625" style="7" customWidth="1"/>
    <col min="1287" max="1287" width="8.625" style="7" customWidth="1"/>
    <col min="1288" max="1289" width="7.625" style="7" customWidth="1"/>
    <col min="1290" max="1290" width="11.125" style="7" customWidth="1"/>
    <col min="1291" max="1299" width="8.625" style="7" customWidth="1"/>
    <col min="1300" max="1300" width="11.125" style="7" customWidth="1"/>
    <col min="1301" max="1302" width="8.625" style="7" customWidth="1"/>
    <col min="1303" max="1540" width="9" style="7"/>
    <col min="1541" max="1541" width="8.625" style="7" customWidth="1"/>
    <col min="1542" max="1542" width="19.625" style="7" customWidth="1"/>
    <col min="1543" max="1543" width="8.625" style="7" customWidth="1"/>
    <col min="1544" max="1545" width="7.625" style="7" customWidth="1"/>
    <col min="1546" max="1546" width="11.125" style="7" customWidth="1"/>
    <col min="1547" max="1555" width="8.625" style="7" customWidth="1"/>
    <col min="1556" max="1556" width="11.125" style="7" customWidth="1"/>
    <col min="1557" max="1558" width="8.625" style="7" customWidth="1"/>
    <col min="1559" max="1796" width="9" style="7"/>
    <col min="1797" max="1797" width="8.625" style="7" customWidth="1"/>
    <col min="1798" max="1798" width="19.625" style="7" customWidth="1"/>
    <col min="1799" max="1799" width="8.625" style="7" customWidth="1"/>
    <col min="1800" max="1801" width="7.625" style="7" customWidth="1"/>
    <col min="1802" max="1802" width="11.125" style="7" customWidth="1"/>
    <col min="1803" max="1811" width="8.625" style="7" customWidth="1"/>
    <col min="1812" max="1812" width="11.125" style="7" customWidth="1"/>
    <col min="1813" max="1814" width="8.625" style="7" customWidth="1"/>
    <col min="1815" max="2052" width="9" style="7"/>
    <col min="2053" max="2053" width="8.625" style="7" customWidth="1"/>
    <col min="2054" max="2054" width="19.625" style="7" customWidth="1"/>
    <col min="2055" max="2055" width="8.625" style="7" customWidth="1"/>
    <col min="2056" max="2057" width="7.625" style="7" customWidth="1"/>
    <col min="2058" max="2058" width="11.125" style="7" customWidth="1"/>
    <col min="2059" max="2067" width="8.625" style="7" customWidth="1"/>
    <col min="2068" max="2068" width="11.125" style="7" customWidth="1"/>
    <col min="2069" max="2070" width="8.625" style="7" customWidth="1"/>
    <col min="2071" max="2308" width="9" style="7"/>
    <col min="2309" max="2309" width="8.625" style="7" customWidth="1"/>
    <col min="2310" max="2310" width="19.625" style="7" customWidth="1"/>
    <col min="2311" max="2311" width="8.625" style="7" customWidth="1"/>
    <col min="2312" max="2313" width="7.625" style="7" customWidth="1"/>
    <col min="2314" max="2314" width="11.125" style="7" customWidth="1"/>
    <col min="2315" max="2323" width="8.625" style="7" customWidth="1"/>
    <col min="2324" max="2324" width="11.125" style="7" customWidth="1"/>
    <col min="2325" max="2326" width="8.625" style="7" customWidth="1"/>
    <col min="2327" max="2564" width="9" style="7"/>
    <col min="2565" max="2565" width="8.625" style="7" customWidth="1"/>
    <col min="2566" max="2566" width="19.625" style="7" customWidth="1"/>
    <col min="2567" max="2567" width="8.625" style="7" customWidth="1"/>
    <col min="2568" max="2569" width="7.625" style="7" customWidth="1"/>
    <col min="2570" max="2570" width="11.125" style="7" customWidth="1"/>
    <col min="2571" max="2579" width="8.625" style="7" customWidth="1"/>
    <col min="2580" max="2580" width="11.125" style="7" customWidth="1"/>
    <col min="2581" max="2582" width="8.625" style="7" customWidth="1"/>
    <col min="2583" max="2820" width="9" style="7"/>
    <col min="2821" max="2821" width="8.625" style="7" customWidth="1"/>
    <col min="2822" max="2822" width="19.625" style="7" customWidth="1"/>
    <col min="2823" max="2823" width="8.625" style="7" customWidth="1"/>
    <col min="2824" max="2825" width="7.625" style="7" customWidth="1"/>
    <col min="2826" max="2826" width="11.125" style="7" customWidth="1"/>
    <col min="2827" max="2835" width="8.625" style="7" customWidth="1"/>
    <col min="2836" max="2836" width="11.125" style="7" customWidth="1"/>
    <col min="2837" max="2838" width="8.625" style="7" customWidth="1"/>
    <col min="2839" max="3076" width="9" style="7"/>
    <col min="3077" max="3077" width="8.625" style="7" customWidth="1"/>
    <col min="3078" max="3078" width="19.625" style="7" customWidth="1"/>
    <col min="3079" max="3079" width="8.625" style="7" customWidth="1"/>
    <col min="3080" max="3081" width="7.625" style="7" customWidth="1"/>
    <col min="3082" max="3082" width="11.125" style="7" customWidth="1"/>
    <col min="3083" max="3091" width="8.625" style="7" customWidth="1"/>
    <col min="3092" max="3092" width="11.125" style="7" customWidth="1"/>
    <col min="3093" max="3094" width="8.625" style="7" customWidth="1"/>
    <col min="3095" max="3332" width="9" style="7"/>
    <col min="3333" max="3333" width="8.625" style="7" customWidth="1"/>
    <col min="3334" max="3334" width="19.625" style="7" customWidth="1"/>
    <col min="3335" max="3335" width="8.625" style="7" customWidth="1"/>
    <col min="3336" max="3337" width="7.625" style="7" customWidth="1"/>
    <col min="3338" max="3338" width="11.125" style="7" customWidth="1"/>
    <col min="3339" max="3347" width="8.625" style="7" customWidth="1"/>
    <col min="3348" max="3348" width="11.125" style="7" customWidth="1"/>
    <col min="3349" max="3350" width="8.625" style="7" customWidth="1"/>
    <col min="3351" max="3588" width="9" style="7"/>
    <col min="3589" max="3589" width="8.625" style="7" customWidth="1"/>
    <col min="3590" max="3590" width="19.625" style="7" customWidth="1"/>
    <col min="3591" max="3591" width="8.625" style="7" customWidth="1"/>
    <col min="3592" max="3593" width="7.625" style="7" customWidth="1"/>
    <col min="3594" max="3594" width="11.125" style="7" customWidth="1"/>
    <col min="3595" max="3603" width="8.625" style="7" customWidth="1"/>
    <col min="3604" max="3604" width="11.125" style="7" customWidth="1"/>
    <col min="3605" max="3606" width="8.625" style="7" customWidth="1"/>
    <col min="3607" max="3844" width="9" style="7"/>
    <col min="3845" max="3845" width="8.625" style="7" customWidth="1"/>
    <col min="3846" max="3846" width="19.625" style="7" customWidth="1"/>
    <col min="3847" max="3847" width="8.625" style="7" customWidth="1"/>
    <col min="3848" max="3849" width="7.625" style="7" customWidth="1"/>
    <col min="3850" max="3850" width="11.125" style="7" customWidth="1"/>
    <col min="3851" max="3859" width="8.625" style="7" customWidth="1"/>
    <col min="3860" max="3860" width="11.125" style="7" customWidth="1"/>
    <col min="3861" max="3862" width="8.625" style="7" customWidth="1"/>
    <col min="3863" max="4100" width="9" style="7"/>
    <col min="4101" max="4101" width="8.625" style="7" customWidth="1"/>
    <col min="4102" max="4102" width="19.625" style="7" customWidth="1"/>
    <col min="4103" max="4103" width="8.625" style="7" customWidth="1"/>
    <col min="4104" max="4105" width="7.625" style="7" customWidth="1"/>
    <col min="4106" max="4106" width="11.125" style="7" customWidth="1"/>
    <col min="4107" max="4115" width="8.625" style="7" customWidth="1"/>
    <col min="4116" max="4116" width="11.125" style="7" customWidth="1"/>
    <col min="4117" max="4118" width="8.625" style="7" customWidth="1"/>
    <col min="4119" max="4356" width="9" style="7"/>
    <col min="4357" max="4357" width="8.625" style="7" customWidth="1"/>
    <col min="4358" max="4358" width="19.625" style="7" customWidth="1"/>
    <col min="4359" max="4359" width="8.625" style="7" customWidth="1"/>
    <col min="4360" max="4361" width="7.625" style="7" customWidth="1"/>
    <col min="4362" max="4362" width="11.125" style="7" customWidth="1"/>
    <col min="4363" max="4371" width="8.625" style="7" customWidth="1"/>
    <col min="4372" max="4372" width="11.125" style="7" customWidth="1"/>
    <col min="4373" max="4374" width="8.625" style="7" customWidth="1"/>
    <col min="4375" max="4612" width="9" style="7"/>
    <col min="4613" max="4613" width="8.625" style="7" customWidth="1"/>
    <col min="4614" max="4614" width="19.625" style="7" customWidth="1"/>
    <col min="4615" max="4615" width="8.625" style="7" customWidth="1"/>
    <col min="4616" max="4617" width="7.625" style="7" customWidth="1"/>
    <col min="4618" max="4618" width="11.125" style="7" customWidth="1"/>
    <col min="4619" max="4627" width="8.625" style="7" customWidth="1"/>
    <col min="4628" max="4628" width="11.125" style="7" customWidth="1"/>
    <col min="4629" max="4630" width="8.625" style="7" customWidth="1"/>
    <col min="4631" max="4868" width="9" style="7"/>
    <col min="4869" max="4869" width="8.625" style="7" customWidth="1"/>
    <col min="4870" max="4870" width="19.625" style="7" customWidth="1"/>
    <col min="4871" max="4871" width="8.625" style="7" customWidth="1"/>
    <col min="4872" max="4873" width="7.625" style="7" customWidth="1"/>
    <col min="4874" max="4874" width="11.125" style="7" customWidth="1"/>
    <col min="4875" max="4883" width="8.625" style="7" customWidth="1"/>
    <col min="4884" max="4884" width="11.125" style="7" customWidth="1"/>
    <col min="4885" max="4886" width="8.625" style="7" customWidth="1"/>
    <col min="4887" max="5124" width="9" style="7"/>
    <col min="5125" max="5125" width="8.625" style="7" customWidth="1"/>
    <col min="5126" max="5126" width="19.625" style="7" customWidth="1"/>
    <col min="5127" max="5127" width="8.625" style="7" customWidth="1"/>
    <col min="5128" max="5129" width="7.625" style="7" customWidth="1"/>
    <col min="5130" max="5130" width="11.125" style="7" customWidth="1"/>
    <col min="5131" max="5139" width="8.625" style="7" customWidth="1"/>
    <col min="5140" max="5140" width="11.125" style="7" customWidth="1"/>
    <col min="5141" max="5142" width="8.625" style="7" customWidth="1"/>
    <col min="5143" max="5380" width="9" style="7"/>
    <col min="5381" max="5381" width="8.625" style="7" customWidth="1"/>
    <col min="5382" max="5382" width="19.625" style="7" customWidth="1"/>
    <col min="5383" max="5383" width="8.625" style="7" customWidth="1"/>
    <col min="5384" max="5385" width="7.625" style="7" customWidth="1"/>
    <col min="5386" max="5386" width="11.125" style="7" customWidth="1"/>
    <col min="5387" max="5395" width="8.625" style="7" customWidth="1"/>
    <col min="5396" max="5396" width="11.125" style="7" customWidth="1"/>
    <col min="5397" max="5398" width="8.625" style="7" customWidth="1"/>
    <col min="5399" max="5636" width="9" style="7"/>
    <col min="5637" max="5637" width="8.625" style="7" customWidth="1"/>
    <col min="5638" max="5638" width="19.625" style="7" customWidth="1"/>
    <col min="5639" max="5639" width="8.625" style="7" customWidth="1"/>
    <col min="5640" max="5641" width="7.625" style="7" customWidth="1"/>
    <col min="5642" max="5642" width="11.125" style="7" customWidth="1"/>
    <col min="5643" max="5651" width="8.625" style="7" customWidth="1"/>
    <col min="5652" max="5652" width="11.125" style="7" customWidth="1"/>
    <col min="5653" max="5654" width="8.625" style="7" customWidth="1"/>
    <col min="5655" max="5892" width="9" style="7"/>
    <col min="5893" max="5893" width="8.625" style="7" customWidth="1"/>
    <col min="5894" max="5894" width="19.625" style="7" customWidth="1"/>
    <col min="5895" max="5895" width="8.625" style="7" customWidth="1"/>
    <col min="5896" max="5897" width="7.625" style="7" customWidth="1"/>
    <col min="5898" max="5898" width="11.125" style="7" customWidth="1"/>
    <col min="5899" max="5907" width="8.625" style="7" customWidth="1"/>
    <col min="5908" max="5908" width="11.125" style="7" customWidth="1"/>
    <col min="5909" max="5910" width="8.625" style="7" customWidth="1"/>
    <col min="5911" max="6148" width="9" style="7"/>
    <col min="6149" max="6149" width="8.625" style="7" customWidth="1"/>
    <col min="6150" max="6150" width="19.625" style="7" customWidth="1"/>
    <col min="6151" max="6151" width="8.625" style="7" customWidth="1"/>
    <col min="6152" max="6153" width="7.625" style="7" customWidth="1"/>
    <col min="6154" max="6154" width="11.125" style="7" customWidth="1"/>
    <col min="6155" max="6163" width="8.625" style="7" customWidth="1"/>
    <col min="6164" max="6164" width="11.125" style="7" customWidth="1"/>
    <col min="6165" max="6166" width="8.625" style="7" customWidth="1"/>
    <col min="6167" max="6404" width="9" style="7"/>
    <col min="6405" max="6405" width="8.625" style="7" customWidth="1"/>
    <col min="6406" max="6406" width="19.625" style="7" customWidth="1"/>
    <col min="6407" max="6407" width="8.625" style="7" customWidth="1"/>
    <col min="6408" max="6409" width="7.625" style="7" customWidth="1"/>
    <col min="6410" max="6410" width="11.125" style="7" customWidth="1"/>
    <col min="6411" max="6419" width="8.625" style="7" customWidth="1"/>
    <col min="6420" max="6420" width="11.125" style="7" customWidth="1"/>
    <col min="6421" max="6422" width="8.625" style="7" customWidth="1"/>
    <col min="6423" max="6660" width="9" style="7"/>
    <col min="6661" max="6661" width="8.625" style="7" customWidth="1"/>
    <col min="6662" max="6662" width="19.625" style="7" customWidth="1"/>
    <col min="6663" max="6663" width="8.625" style="7" customWidth="1"/>
    <col min="6664" max="6665" width="7.625" style="7" customWidth="1"/>
    <col min="6666" max="6666" width="11.125" style="7" customWidth="1"/>
    <col min="6667" max="6675" width="8.625" style="7" customWidth="1"/>
    <col min="6676" max="6676" width="11.125" style="7" customWidth="1"/>
    <col min="6677" max="6678" width="8.625" style="7" customWidth="1"/>
    <col min="6679" max="6916" width="9" style="7"/>
    <col min="6917" max="6917" width="8.625" style="7" customWidth="1"/>
    <col min="6918" max="6918" width="19.625" style="7" customWidth="1"/>
    <col min="6919" max="6919" width="8.625" style="7" customWidth="1"/>
    <col min="6920" max="6921" width="7.625" style="7" customWidth="1"/>
    <col min="6922" max="6922" width="11.125" style="7" customWidth="1"/>
    <col min="6923" max="6931" width="8.625" style="7" customWidth="1"/>
    <col min="6932" max="6932" width="11.125" style="7" customWidth="1"/>
    <col min="6933" max="6934" width="8.625" style="7" customWidth="1"/>
    <col min="6935" max="7172" width="9" style="7"/>
    <col min="7173" max="7173" width="8.625" style="7" customWidth="1"/>
    <col min="7174" max="7174" width="19.625" style="7" customWidth="1"/>
    <col min="7175" max="7175" width="8.625" style="7" customWidth="1"/>
    <col min="7176" max="7177" width="7.625" style="7" customWidth="1"/>
    <col min="7178" max="7178" width="11.125" style="7" customWidth="1"/>
    <col min="7179" max="7187" width="8.625" style="7" customWidth="1"/>
    <col min="7188" max="7188" width="11.125" style="7" customWidth="1"/>
    <col min="7189" max="7190" width="8.625" style="7" customWidth="1"/>
    <col min="7191" max="7428" width="9" style="7"/>
    <col min="7429" max="7429" width="8.625" style="7" customWidth="1"/>
    <col min="7430" max="7430" width="19.625" style="7" customWidth="1"/>
    <col min="7431" max="7431" width="8.625" style="7" customWidth="1"/>
    <col min="7432" max="7433" width="7.625" style="7" customWidth="1"/>
    <col min="7434" max="7434" width="11.125" style="7" customWidth="1"/>
    <col min="7435" max="7443" width="8.625" style="7" customWidth="1"/>
    <col min="7444" max="7444" width="11.125" style="7" customWidth="1"/>
    <col min="7445" max="7446" width="8.625" style="7" customWidth="1"/>
    <col min="7447" max="7684" width="9" style="7"/>
    <col min="7685" max="7685" width="8.625" style="7" customWidth="1"/>
    <col min="7686" max="7686" width="19.625" style="7" customWidth="1"/>
    <col min="7687" max="7687" width="8.625" style="7" customWidth="1"/>
    <col min="7688" max="7689" width="7.625" style="7" customWidth="1"/>
    <col min="7690" max="7690" width="11.125" style="7" customWidth="1"/>
    <col min="7691" max="7699" width="8.625" style="7" customWidth="1"/>
    <col min="7700" max="7700" width="11.125" style="7" customWidth="1"/>
    <col min="7701" max="7702" width="8.625" style="7" customWidth="1"/>
    <col min="7703" max="7940" width="9" style="7"/>
    <col min="7941" max="7941" width="8.625" style="7" customWidth="1"/>
    <col min="7942" max="7942" width="19.625" style="7" customWidth="1"/>
    <col min="7943" max="7943" width="8.625" style="7" customWidth="1"/>
    <col min="7944" max="7945" width="7.625" style="7" customWidth="1"/>
    <col min="7946" max="7946" width="11.125" style="7" customWidth="1"/>
    <col min="7947" max="7955" width="8.625" style="7" customWidth="1"/>
    <col min="7956" max="7956" width="11.125" style="7" customWidth="1"/>
    <col min="7957" max="7958" width="8.625" style="7" customWidth="1"/>
    <col min="7959" max="8196" width="9" style="7"/>
    <col min="8197" max="8197" width="8.625" style="7" customWidth="1"/>
    <col min="8198" max="8198" width="19.625" style="7" customWidth="1"/>
    <col min="8199" max="8199" width="8.625" style="7" customWidth="1"/>
    <col min="8200" max="8201" width="7.625" style="7" customWidth="1"/>
    <col min="8202" max="8202" width="11.125" style="7" customWidth="1"/>
    <col min="8203" max="8211" width="8.625" style="7" customWidth="1"/>
    <col min="8212" max="8212" width="11.125" style="7" customWidth="1"/>
    <col min="8213" max="8214" width="8.625" style="7" customWidth="1"/>
    <col min="8215" max="8452" width="9" style="7"/>
    <col min="8453" max="8453" width="8.625" style="7" customWidth="1"/>
    <col min="8454" max="8454" width="19.625" style="7" customWidth="1"/>
    <col min="8455" max="8455" width="8.625" style="7" customWidth="1"/>
    <col min="8456" max="8457" width="7.625" style="7" customWidth="1"/>
    <col min="8458" max="8458" width="11.125" style="7" customWidth="1"/>
    <col min="8459" max="8467" width="8.625" style="7" customWidth="1"/>
    <col min="8468" max="8468" width="11.125" style="7" customWidth="1"/>
    <col min="8469" max="8470" width="8.625" style="7" customWidth="1"/>
    <col min="8471" max="8708" width="9" style="7"/>
    <col min="8709" max="8709" width="8.625" style="7" customWidth="1"/>
    <col min="8710" max="8710" width="19.625" style="7" customWidth="1"/>
    <col min="8711" max="8711" width="8.625" style="7" customWidth="1"/>
    <col min="8712" max="8713" width="7.625" style="7" customWidth="1"/>
    <col min="8714" max="8714" width="11.125" style="7" customWidth="1"/>
    <col min="8715" max="8723" width="8.625" style="7" customWidth="1"/>
    <col min="8724" max="8724" width="11.125" style="7" customWidth="1"/>
    <col min="8725" max="8726" width="8.625" style="7" customWidth="1"/>
    <col min="8727" max="8964" width="9" style="7"/>
    <col min="8965" max="8965" width="8.625" style="7" customWidth="1"/>
    <col min="8966" max="8966" width="19.625" style="7" customWidth="1"/>
    <col min="8967" max="8967" width="8.625" style="7" customWidth="1"/>
    <col min="8968" max="8969" width="7.625" style="7" customWidth="1"/>
    <col min="8970" max="8970" width="11.125" style="7" customWidth="1"/>
    <col min="8971" max="8979" width="8.625" style="7" customWidth="1"/>
    <col min="8980" max="8980" width="11.125" style="7" customWidth="1"/>
    <col min="8981" max="8982" width="8.625" style="7" customWidth="1"/>
    <col min="8983" max="9220" width="9" style="7"/>
    <col min="9221" max="9221" width="8.625" style="7" customWidth="1"/>
    <col min="9222" max="9222" width="19.625" style="7" customWidth="1"/>
    <col min="9223" max="9223" width="8.625" style="7" customWidth="1"/>
    <col min="9224" max="9225" width="7.625" style="7" customWidth="1"/>
    <col min="9226" max="9226" width="11.125" style="7" customWidth="1"/>
    <col min="9227" max="9235" width="8.625" style="7" customWidth="1"/>
    <col min="9236" max="9236" width="11.125" style="7" customWidth="1"/>
    <col min="9237" max="9238" width="8.625" style="7" customWidth="1"/>
    <col min="9239" max="9476" width="9" style="7"/>
    <col min="9477" max="9477" width="8.625" style="7" customWidth="1"/>
    <col min="9478" max="9478" width="19.625" style="7" customWidth="1"/>
    <col min="9479" max="9479" width="8.625" style="7" customWidth="1"/>
    <col min="9480" max="9481" width="7.625" style="7" customWidth="1"/>
    <col min="9482" max="9482" width="11.125" style="7" customWidth="1"/>
    <col min="9483" max="9491" width="8.625" style="7" customWidth="1"/>
    <col min="9492" max="9492" width="11.125" style="7" customWidth="1"/>
    <col min="9493" max="9494" width="8.625" style="7" customWidth="1"/>
    <col min="9495" max="9732" width="9" style="7"/>
    <col min="9733" max="9733" width="8.625" style="7" customWidth="1"/>
    <col min="9734" max="9734" width="19.625" style="7" customWidth="1"/>
    <col min="9735" max="9735" width="8.625" style="7" customWidth="1"/>
    <col min="9736" max="9737" width="7.625" style="7" customWidth="1"/>
    <col min="9738" max="9738" width="11.125" style="7" customWidth="1"/>
    <col min="9739" max="9747" width="8.625" style="7" customWidth="1"/>
    <col min="9748" max="9748" width="11.125" style="7" customWidth="1"/>
    <col min="9749" max="9750" width="8.625" style="7" customWidth="1"/>
    <col min="9751" max="9988" width="9" style="7"/>
    <col min="9989" max="9989" width="8.625" style="7" customWidth="1"/>
    <col min="9990" max="9990" width="19.625" style="7" customWidth="1"/>
    <col min="9991" max="9991" width="8.625" style="7" customWidth="1"/>
    <col min="9992" max="9993" width="7.625" style="7" customWidth="1"/>
    <col min="9994" max="9994" width="11.125" style="7" customWidth="1"/>
    <col min="9995" max="10003" width="8.625" style="7" customWidth="1"/>
    <col min="10004" max="10004" width="11.125" style="7" customWidth="1"/>
    <col min="10005" max="10006" width="8.625" style="7" customWidth="1"/>
    <col min="10007" max="10244" width="9" style="7"/>
    <col min="10245" max="10245" width="8.625" style="7" customWidth="1"/>
    <col min="10246" max="10246" width="19.625" style="7" customWidth="1"/>
    <col min="10247" max="10247" width="8.625" style="7" customWidth="1"/>
    <col min="10248" max="10249" width="7.625" style="7" customWidth="1"/>
    <col min="10250" max="10250" width="11.125" style="7" customWidth="1"/>
    <col min="10251" max="10259" width="8.625" style="7" customWidth="1"/>
    <col min="10260" max="10260" width="11.125" style="7" customWidth="1"/>
    <col min="10261" max="10262" width="8.625" style="7" customWidth="1"/>
    <col min="10263" max="10500" width="9" style="7"/>
    <col min="10501" max="10501" width="8.625" style="7" customWidth="1"/>
    <col min="10502" max="10502" width="19.625" style="7" customWidth="1"/>
    <col min="10503" max="10503" width="8.625" style="7" customWidth="1"/>
    <col min="10504" max="10505" width="7.625" style="7" customWidth="1"/>
    <col min="10506" max="10506" width="11.125" style="7" customWidth="1"/>
    <col min="10507" max="10515" width="8.625" style="7" customWidth="1"/>
    <col min="10516" max="10516" width="11.125" style="7" customWidth="1"/>
    <col min="10517" max="10518" width="8.625" style="7" customWidth="1"/>
    <col min="10519" max="10756" width="9" style="7"/>
    <col min="10757" max="10757" width="8.625" style="7" customWidth="1"/>
    <col min="10758" max="10758" width="19.625" style="7" customWidth="1"/>
    <col min="10759" max="10759" width="8.625" style="7" customWidth="1"/>
    <col min="10760" max="10761" width="7.625" style="7" customWidth="1"/>
    <col min="10762" max="10762" width="11.125" style="7" customWidth="1"/>
    <col min="10763" max="10771" width="8.625" style="7" customWidth="1"/>
    <col min="10772" max="10772" width="11.125" style="7" customWidth="1"/>
    <col min="10773" max="10774" width="8.625" style="7" customWidth="1"/>
    <col min="10775" max="11012" width="9" style="7"/>
    <col min="11013" max="11013" width="8.625" style="7" customWidth="1"/>
    <col min="11014" max="11014" width="19.625" style="7" customWidth="1"/>
    <col min="11015" max="11015" width="8.625" style="7" customWidth="1"/>
    <col min="11016" max="11017" width="7.625" style="7" customWidth="1"/>
    <col min="11018" max="11018" width="11.125" style="7" customWidth="1"/>
    <col min="11019" max="11027" width="8.625" style="7" customWidth="1"/>
    <col min="11028" max="11028" width="11.125" style="7" customWidth="1"/>
    <col min="11029" max="11030" width="8.625" style="7" customWidth="1"/>
    <col min="11031" max="11268" width="9" style="7"/>
    <col min="11269" max="11269" width="8.625" style="7" customWidth="1"/>
    <col min="11270" max="11270" width="19.625" style="7" customWidth="1"/>
    <col min="11271" max="11271" width="8.625" style="7" customWidth="1"/>
    <col min="11272" max="11273" width="7.625" style="7" customWidth="1"/>
    <col min="11274" max="11274" width="11.125" style="7" customWidth="1"/>
    <col min="11275" max="11283" width="8.625" style="7" customWidth="1"/>
    <col min="11284" max="11284" width="11.125" style="7" customWidth="1"/>
    <col min="11285" max="11286" width="8.625" style="7" customWidth="1"/>
    <col min="11287" max="11524" width="9" style="7"/>
    <col min="11525" max="11525" width="8.625" style="7" customWidth="1"/>
    <col min="11526" max="11526" width="19.625" style="7" customWidth="1"/>
    <col min="11527" max="11527" width="8.625" style="7" customWidth="1"/>
    <col min="11528" max="11529" width="7.625" style="7" customWidth="1"/>
    <col min="11530" max="11530" width="11.125" style="7" customWidth="1"/>
    <col min="11531" max="11539" width="8.625" style="7" customWidth="1"/>
    <col min="11540" max="11540" width="11.125" style="7" customWidth="1"/>
    <col min="11541" max="11542" width="8.625" style="7" customWidth="1"/>
    <col min="11543" max="11780" width="9" style="7"/>
    <col min="11781" max="11781" width="8.625" style="7" customWidth="1"/>
    <col min="11782" max="11782" width="19.625" style="7" customWidth="1"/>
    <col min="11783" max="11783" width="8.625" style="7" customWidth="1"/>
    <col min="11784" max="11785" width="7.625" style="7" customWidth="1"/>
    <col min="11786" max="11786" width="11.125" style="7" customWidth="1"/>
    <col min="11787" max="11795" width="8.625" style="7" customWidth="1"/>
    <col min="11796" max="11796" width="11.125" style="7" customWidth="1"/>
    <col min="11797" max="11798" width="8.625" style="7" customWidth="1"/>
    <col min="11799" max="12036" width="9" style="7"/>
    <col min="12037" max="12037" width="8.625" style="7" customWidth="1"/>
    <col min="12038" max="12038" width="19.625" style="7" customWidth="1"/>
    <col min="12039" max="12039" width="8.625" style="7" customWidth="1"/>
    <col min="12040" max="12041" width="7.625" style="7" customWidth="1"/>
    <col min="12042" max="12042" width="11.125" style="7" customWidth="1"/>
    <col min="12043" max="12051" width="8.625" style="7" customWidth="1"/>
    <col min="12052" max="12052" width="11.125" style="7" customWidth="1"/>
    <col min="12053" max="12054" width="8.625" style="7" customWidth="1"/>
    <col min="12055" max="12292" width="9" style="7"/>
    <col min="12293" max="12293" width="8.625" style="7" customWidth="1"/>
    <col min="12294" max="12294" width="19.625" style="7" customWidth="1"/>
    <col min="12295" max="12295" width="8.625" style="7" customWidth="1"/>
    <col min="12296" max="12297" width="7.625" style="7" customWidth="1"/>
    <col min="12298" max="12298" width="11.125" style="7" customWidth="1"/>
    <col min="12299" max="12307" width="8.625" style="7" customWidth="1"/>
    <col min="12308" max="12308" width="11.125" style="7" customWidth="1"/>
    <col min="12309" max="12310" width="8.625" style="7" customWidth="1"/>
    <col min="12311" max="12548" width="9" style="7"/>
    <col min="12549" max="12549" width="8.625" style="7" customWidth="1"/>
    <col min="12550" max="12550" width="19.625" style="7" customWidth="1"/>
    <col min="12551" max="12551" width="8.625" style="7" customWidth="1"/>
    <col min="12552" max="12553" width="7.625" style="7" customWidth="1"/>
    <col min="12554" max="12554" width="11.125" style="7" customWidth="1"/>
    <col min="12555" max="12563" width="8.625" style="7" customWidth="1"/>
    <col min="12564" max="12564" width="11.125" style="7" customWidth="1"/>
    <col min="12565" max="12566" width="8.625" style="7" customWidth="1"/>
    <col min="12567" max="12804" width="9" style="7"/>
    <col min="12805" max="12805" width="8.625" style="7" customWidth="1"/>
    <col min="12806" max="12806" width="19.625" style="7" customWidth="1"/>
    <col min="12807" max="12807" width="8.625" style="7" customWidth="1"/>
    <col min="12808" max="12809" width="7.625" style="7" customWidth="1"/>
    <col min="12810" max="12810" width="11.125" style="7" customWidth="1"/>
    <col min="12811" max="12819" width="8.625" style="7" customWidth="1"/>
    <col min="12820" max="12820" width="11.125" style="7" customWidth="1"/>
    <col min="12821" max="12822" width="8.625" style="7" customWidth="1"/>
    <col min="12823" max="13060" width="9" style="7"/>
    <col min="13061" max="13061" width="8.625" style="7" customWidth="1"/>
    <col min="13062" max="13062" width="19.625" style="7" customWidth="1"/>
    <col min="13063" max="13063" width="8.625" style="7" customWidth="1"/>
    <col min="13064" max="13065" width="7.625" style="7" customWidth="1"/>
    <col min="13066" max="13066" width="11.125" style="7" customWidth="1"/>
    <col min="13067" max="13075" width="8.625" style="7" customWidth="1"/>
    <col min="13076" max="13076" width="11.125" style="7" customWidth="1"/>
    <col min="13077" max="13078" width="8.625" style="7" customWidth="1"/>
    <col min="13079" max="13316" width="9" style="7"/>
    <col min="13317" max="13317" width="8.625" style="7" customWidth="1"/>
    <col min="13318" max="13318" width="19.625" style="7" customWidth="1"/>
    <col min="13319" max="13319" width="8.625" style="7" customWidth="1"/>
    <col min="13320" max="13321" width="7.625" style="7" customWidth="1"/>
    <col min="13322" max="13322" width="11.125" style="7" customWidth="1"/>
    <col min="13323" max="13331" width="8.625" style="7" customWidth="1"/>
    <col min="13332" max="13332" width="11.125" style="7" customWidth="1"/>
    <col min="13333" max="13334" width="8.625" style="7" customWidth="1"/>
    <col min="13335" max="13572" width="9" style="7"/>
    <col min="13573" max="13573" width="8.625" style="7" customWidth="1"/>
    <col min="13574" max="13574" width="19.625" style="7" customWidth="1"/>
    <col min="13575" max="13575" width="8.625" style="7" customWidth="1"/>
    <col min="13576" max="13577" width="7.625" style="7" customWidth="1"/>
    <col min="13578" max="13578" width="11.125" style="7" customWidth="1"/>
    <col min="13579" max="13587" width="8.625" style="7" customWidth="1"/>
    <col min="13588" max="13588" width="11.125" style="7" customWidth="1"/>
    <col min="13589" max="13590" width="8.625" style="7" customWidth="1"/>
    <col min="13591" max="13828" width="9" style="7"/>
    <col min="13829" max="13829" width="8.625" style="7" customWidth="1"/>
    <col min="13830" max="13830" width="19.625" style="7" customWidth="1"/>
    <col min="13831" max="13831" width="8.625" style="7" customWidth="1"/>
    <col min="13832" max="13833" width="7.625" style="7" customWidth="1"/>
    <col min="13834" max="13834" width="11.125" style="7" customWidth="1"/>
    <col min="13835" max="13843" width="8.625" style="7" customWidth="1"/>
    <col min="13844" max="13844" width="11.125" style="7" customWidth="1"/>
    <col min="13845" max="13846" width="8.625" style="7" customWidth="1"/>
    <col min="13847" max="14084" width="9" style="7"/>
    <col min="14085" max="14085" width="8.625" style="7" customWidth="1"/>
    <col min="14086" max="14086" width="19.625" style="7" customWidth="1"/>
    <col min="14087" max="14087" width="8.625" style="7" customWidth="1"/>
    <col min="14088" max="14089" width="7.625" style="7" customWidth="1"/>
    <col min="14090" max="14090" width="11.125" style="7" customWidth="1"/>
    <col min="14091" max="14099" width="8.625" style="7" customWidth="1"/>
    <col min="14100" max="14100" width="11.125" style="7" customWidth="1"/>
    <col min="14101" max="14102" width="8.625" style="7" customWidth="1"/>
    <col min="14103" max="14340" width="9" style="7"/>
    <col min="14341" max="14341" width="8.625" style="7" customWidth="1"/>
    <col min="14342" max="14342" width="19.625" style="7" customWidth="1"/>
    <col min="14343" max="14343" width="8.625" style="7" customWidth="1"/>
    <col min="14344" max="14345" width="7.625" style="7" customWidth="1"/>
    <col min="14346" max="14346" width="11.125" style="7" customWidth="1"/>
    <col min="14347" max="14355" width="8.625" style="7" customWidth="1"/>
    <col min="14356" max="14356" width="11.125" style="7" customWidth="1"/>
    <col min="14357" max="14358" width="8.625" style="7" customWidth="1"/>
    <col min="14359" max="14596" width="9" style="7"/>
    <col min="14597" max="14597" width="8.625" style="7" customWidth="1"/>
    <col min="14598" max="14598" width="19.625" style="7" customWidth="1"/>
    <col min="14599" max="14599" width="8.625" style="7" customWidth="1"/>
    <col min="14600" max="14601" width="7.625" style="7" customWidth="1"/>
    <col min="14602" max="14602" width="11.125" style="7" customWidth="1"/>
    <col min="14603" max="14611" width="8.625" style="7" customWidth="1"/>
    <col min="14612" max="14612" width="11.125" style="7" customWidth="1"/>
    <col min="14613" max="14614" width="8.625" style="7" customWidth="1"/>
    <col min="14615" max="14852" width="9" style="7"/>
    <col min="14853" max="14853" width="8.625" style="7" customWidth="1"/>
    <col min="14854" max="14854" width="19.625" style="7" customWidth="1"/>
    <col min="14855" max="14855" width="8.625" style="7" customWidth="1"/>
    <col min="14856" max="14857" width="7.625" style="7" customWidth="1"/>
    <col min="14858" max="14858" width="11.125" style="7" customWidth="1"/>
    <col min="14859" max="14867" width="8.625" style="7" customWidth="1"/>
    <col min="14868" max="14868" width="11.125" style="7" customWidth="1"/>
    <col min="14869" max="14870" width="8.625" style="7" customWidth="1"/>
    <col min="14871" max="15108" width="9" style="7"/>
    <col min="15109" max="15109" width="8.625" style="7" customWidth="1"/>
    <col min="15110" max="15110" width="19.625" style="7" customWidth="1"/>
    <col min="15111" max="15111" width="8.625" style="7" customWidth="1"/>
    <col min="15112" max="15113" width="7.625" style="7" customWidth="1"/>
    <col min="15114" max="15114" width="11.125" style="7" customWidth="1"/>
    <col min="15115" max="15123" width="8.625" style="7" customWidth="1"/>
    <col min="15124" max="15124" width="11.125" style="7" customWidth="1"/>
    <col min="15125" max="15126" width="8.625" style="7" customWidth="1"/>
    <col min="15127" max="15364" width="9" style="7"/>
    <col min="15365" max="15365" width="8.625" style="7" customWidth="1"/>
    <col min="15366" max="15366" width="19.625" style="7" customWidth="1"/>
    <col min="15367" max="15367" width="8.625" style="7" customWidth="1"/>
    <col min="15368" max="15369" width="7.625" style="7" customWidth="1"/>
    <col min="15370" max="15370" width="11.125" style="7" customWidth="1"/>
    <col min="15371" max="15379" width="8.625" style="7" customWidth="1"/>
    <col min="15380" max="15380" width="11.125" style="7" customWidth="1"/>
    <col min="15381" max="15382" width="8.625" style="7" customWidth="1"/>
    <col min="15383" max="15620" width="9" style="7"/>
    <col min="15621" max="15621" width="8.625" style="7" customWidth="1"/>
    <col min="15622" max="15622" width="19.625" style="7" customWidth="1"/>
    <col min="15623" max="15623" width="8.625" style="7" customWidth="1"/>
    <col min="15624" max="15625" width="7.625" style="7" customWidth="1"/>
    <col min="15626" max="15626" width="11.125" style="7" customWidth="1"/>
    <col min="15627" max="15635" width="8.625" style="7" customWidth="1"/>
    <col min="15636" max="15636" width="11.125" style="7" customWidth="1"/>
    <col min="15637" max="15638" width="8.625" style="7" customWidth="1"/>
    <col min="15639" max="15876" width="9" style="7"/>
    <col min="15877" max="15877" width="8.625" style="7" customWidth="1"/>
    <col min="15878" max="15878" width="19.625" style="7" customWidth="1"/>
    <col min="15879" max="15879" width="8.625" style="7" customWidth="1"/>
    <col min="15880" max="15881" width="7.625" style="7" customWidth="1"/>
    <col min="15882" max="15882" width="11.125" style="7" customWidth="1"/>
    <col min="15883" max="15891" width="8.625" style="7" customWidth="1"/>
    <col min="15892" max="15892" width="11.125" style="7" customWidth="1"/>
    <col min="15893" max="15894" width="8.625" style="7" customWidth="1"/>
    <col min="15895" max="16132" width="9" style="7"/>
    <col min="16133" max="16133" width="8.625" style="7" customWidth="1"/>
    <col min="16134" max="16134" width="19.625" style="7" customWidth="1"/>
    <col min="16135" max="16135" width="8.625" style="7" customWidth="1"/>
    <col min="16136" max="16137" width="7.625" style="7" customWidth="1"/>
    <col min="16138" max="16138" width="11.125" style="7" customWidth="1"/>
    <col min="16139" max="16147" width="8.625" style="7" customWidth="1"/>
    <col min="16148" max="16148" width="11.125" style="7" customWidth="1"/>
    <col min="16149" max="16150" width="8.625" style="7" customWidth="1"/>
    <col min="16151" max="16384" width="9" style="7"/>
  </cols>
  <sheetData>
    <row r="1" spans="1:31" s="13" customFormat="1" ht="23.1" customHeight="1">
      <c r="A1" s="219" t="s">
        <v>0</v>
      </c>
      <c r="B1" s="220"/>
      <c r="C1" s="221" t="s">
        <v>35</v>
      </c>
      <c r="D1" s="222"/>
      <c r="E1" s="222"/>
      <c r="F1" s="222"/>
      <c r="G1" s="222"/>
      <c r="H1" s="223"/>
      <c r="I1" s="12" t="s">
        <v>25</v>
      </c>
      <c r="J1" s="224">
        <v>82000000</v>
      </c>
      <c r="K1" s="225"/>
      <c r="L1" s="225"/>
      <c r="M1" s="225"/>
      <c r="N1" s="225"/>
      <c r="O1" s="152"/>
      <c r="P1" s="152"/>
      <c r="Q1" s="321"/>
      <c r="R1" s="226"/>
      <c r="S1" s="227"/>
      <c r="T1" s="231" t="s">
        <v>1</v>
      </c>
      <c r="U1" s="231"/>
      <c r="V1" s="231"/>
    </row>
    <row r="2" spans="1:31" s="13" customFormat="1" ht="23.1" customHeight="1">
      <c r="A2" s="232" t="s">
        <v>26</v>
      </c>
      <c r="B2" s="233"/>
      <c r="C2" s="234" t="s">
        <v>36</v>
      </c>
      <c r="D2" s="235"/>
      <c r="E2" s="235"/>
      <c r="F2" s="235"/>
      <c r="G2" s="235"/>
      <c r="H2" s="236"/>
      <c r="I2" s="14" t="s">
        <v>27</v>
      </c>
      <c r="J2" s="237">
        <v>5634000</v>
      </c>
      <c r="K2" s="238"/>
      <c r="L2" s="238"/>
      <c r="M2" s="238"/>
      <c r="N2" s="238"/>
      <c r="O2" s="153"/>
      <c r="P2" s="153"/>
      <c r="Q2" s="322"/>
      <c r="R2" s="210"/>
      <c r="S2" s="228"/>
      <c r="T2" s="252">
        <v>45903</v>
      </c>
      <c r="U2" s="253"/>
      <c r="V2" s="254"/>
    </row>
    <row r="3" spans="1:31" s="13" customFormat="1" ht="23.1" customHeight="1" thickBot="1">
      <c r="A3" s="241" t="s">
        <v>2</v>
      </c>
      <c r="B3" s="242"/>
      <c r="C3" s="243">
        <f>J1-G131</f>
        <v>7049410</v>
      </c>
      <c r="D3" s="244"/>
      <c r="E3" s="244"/>
      <c r="F3" s="244"/>
      <c r="G3" s="244"/>
      <c r="H3" s="245"/>
      <c r="I3" s="15" t="s">
        <v>3</v>
      </c>
      <c r="J3" s="246">
        <f>SUM(J1:Q2)</f>
        <v>87634000</v>
      </c>
      <c r="K3" s="247"/>
      <c r="L3" s="247"/>
      <c r="M3" s="247"/>
      <c r="N3" s="247"/>
      <c r="O3" s="154"/>
      <c r="P3" s="154"/>
      <c r="Q3" s="323"/>
      <c r="R3" s="210"/>
      <c r="S3" s="228"/>
      <c r="T3" s="255"/>
      <c r="U3" s="256"/>
      <c r="V3" s="257"/>
    </row>
    <row r="4" spans="1:31" s="13" customFormat="1" ht="23.1" customHeight="1" thickBot="1">
      <c r="A4" s="248" t="s">
        <v>4</v>
      </c>
      <c r="B4" s="248"/>
      <c r="C4" s="249">
        <v>8.5999999999999993E-2</v>
      </c>
      <c r="D4" s="249"/>
      <c r="E4" s="250"/>
      <c r="F4" s="250"/>
      <c r="G4" s="250" t="s">
        <v>5</v>
      </c>
      <c r="H4" s="250"/>
      <c r="I4" s="16">
        <f>J3-I131</f>
        <v>1658680</v>
      </c>
      <c r="J4" s="209"/>
      <c r="K4" s="251"/>
      <c r="L4" s="251"/>
      <c r="M4" s="251"/>
      <c r="N4" s="251"/>
      <c r="O4" s="251"/>
      <c r="P4" s="251"/>
      <c r="Q4" s="251"/>
      <c r="R4" s="332"/>
      <c r="S4" s="334"/>
      <c r="T4" s="335"/>
      <c r="U4" s="336"/>
      <c r="V4" s="337"/>
    </row>
    <row r="5" spans="1:31" s="13" customFormat="1" ht="18" customHeight="1" thickBot="1">
      <c r="A5" s="199" t="s">
        <v>6</v>
      </c>
      <c r="B5" s="199"/>
      <c r="C5" s="201" t="s">
        <v>28</v>
      </c>
      <c r="D5" s="203" t="s">
        <v>29</v>
      </c>
      <c r="E5" s="205" t="s">
        <v>23</v>
      </c>
      <c r="F5" s="206"/>
      <c r="G5" s="205" t="s">
        <v>30</v>
      </c>
      <c r="H5" s="206"/>
      <c r="I5" s="216" t="s">
        <v>31</v>
      </c>
      <c r="J5" s="316">
        <v>2025</v>
      </c>
      <c r="K5" s="17"/>
      <c r="L5" s="17"/>
      <c r="M5" s="17"/>
      <c r="N5" s="17"/>
      <c r="O5" s="17"/>
      <c r="P5" s="17"/>
      <c r="Q5" s="318"/>
      <c r="R5" s="331" t="s">
        <v>7</v>
      </c>
      <c r="S5" s="333" t="s">
        <v>8</v>
      </c>
      <c r="T5" s="197" t="s">
        <v>9</v>
      </c>
      <c r="U5" s="212" t="s">
        <v>10</v>
      </c>
      <c r="V5" s="213" t="s">
        <v>11</v>
      </c>
      <c r="X5" s="326">
        <v>2025</v>
      </c>
      <c r="Y5" s="17"/>
      <c r="Z5" s="17"/>
      <c r="AA5" s="17"/>
      <c r="AB5" s="17"/>
      <c r="AC5" s="17"/>
      <c r="AD5" s="17"/>
      <c r="AE5" s="318"/>
    </row>
    <row r="6" spans="1:31" s="13" customFormat="1" ht="44.25" customHeight="1" thickBot="1">
      <c r="A6" s="263"/>
      <c r="B6" s="263"/>
      <c r="C6" s="264"/>
      <c r="D6" s="265"/>
      <c r="E6" s="266"/>
      <c r="F6" s="267"/>
      <c r="G6" s="266"/>
      <c r="H6" s="267"/>
      <c r="I6" s="268"/>
      <c r="J6" s="317" t="s">
        <v>136</v>
      </c>
      <c r="K6" s="317" t="s">
        <v>137</v>
      </c>
      <c r="L6" s="317" t="s">
        <v>138</v>
      </c>
      <c r="M6" s="317" t="s">
        <v>139</v>
      </c>
      <c r="N6" s="317" t="s">
        <v>140</v>
      </c>
      <c r="O6" s="317" t="s">
        <v>141</v>
      </c>
      <c r="P6" s="317" t="s">
        <v>142</v>
      </c>
      <c r="Q6" s="317" t="s">
        <v>143</v>
      </c>
      <c r="R6" s="319"/>
      <c r="S6" s="320"/>
      <c r="T6" s="198"/>
      <c r="U6" s="212"/>
      <c r="V6" s="213"/>
      <c r="X6" s="327" t="s">
        <v>136</v>
      </c>
      <c r="Y6" s="325" t="s">
        <v>137</v>
      </c>
      <c r="Z6" s="317" t="s">
        <v>138</v>
      </c>
      <c r="AA6" s="317" t="s">
        <v>139</v>
      </c>
      <c r="AB6" s="317" t="s">
        <v>140</v>
      </c>
      <c r="AC6" s="317" t="s">
        <v>141</v>
      </c>
      <c r="AD6" s="317" t="s">
        <v>142</v>
      </c>
      <c r="AE6" s="317" t="s">
        <v>143</v>
      </c>
    </row>
    <row r="7" spans="1:31" ht="18.95" customHeight="1" thickTop="1">
      <c r="A7" s="311" t="s">
        <v>37</v>
      </c>
      <c r="B7" s="269" t="s">
        <v>38</v>
      </c>
      <c r="C7" s="155" t="s">
        <v>39</v>
      </c>
      <c r="D7" s="270" t="s">
        <v>40</v>
      </c>
      <c r="E7" s="271">
        <v>450000</v>
      </c>
      <c r="F7" s="192"/>
      <c r="G7" s="271">
        <v>800000</v>
      </c>
      <c r="H7" s="192"/>
      <c r="I7" s="272">
        <v>800000</v>
      </c>
      <c r="J7" s="273">
        <v>0</v>
      </c>
      <c r="K7" s="273">
        <v>0</v>
      </c>
      <c r="L7" s="273">
        <v>300000</v>
      </c>
      <c r="M7" s="273">
        <v>210000</v>
      </c>
      <c r="N7" s="273">
        <v>0</v>
      </c>
      <c r="O7" s="273">
        <v>0</v>
      </c>
      <c r="P7" s="273">
        <v>0</v>
      </c>
      <c r="Q7" s="273">
        <v>0</v>
      </c>
      <c r="R7" s="274">
        <f>SUM(J7:Q7)</f>
        <v>510000</v>
      </c>
      <c r="S7" s="275">
        <f>I7-R7</f>
        <v>290000</v>
      </c>
      <c r="T7" s="276">
        <f>G7-I7</f>
        <v>0</v>
      </c>
      <c r="U7" s="277">
        <v>0</v>
      </c>
      <c r="V7" s="278" t="e">
        <f>R7/U7</f>
        <v>#DIV/0!</v>
      </c>
      <c r="X7" s="328"/>
      <c r="Y7" s="273"/>
      <c r="Z7" s="273"/>
      <c r="AA7" s="273"/>
      <c r="AB7" s="273"/>
      <c r="AC7" s="273"/>
      <c r="AD7" s="273"/>
      <c r="AE7" s="273"/>
    </row>
    <row r="8" spans="1:31" ht="18.95" customHeight="1">
      <c r="A8" s="312"/>
      <c r="B8" s="279" t="s">
        <v>41</v>
      </c>
      <c r="C8" s="280" t="s">
        <v>42</v>
      </c>
      <c r="D8" s="281" t="s">
        <v>43</v>
      </c>
      <c r="E8" s="282">
        <v>0</v>
      </c>
      <c r="F8" s="283"/>
      <c r="G8" s="282">
        <v>1925000</v>
      </c>
      <c r="H8" s="283"/>
      <c r="I8" s="284">
        <v>1137500</v>
      </c>
      <c r="J8" s="285">
        <v>0</v>
      </c>
      <c r="K8" s="285">
        <v>0</v>
      </c>
      <c r="L8" s="285">
        <v>0</v>
      </c>
      <c r="M8" s="285">
        <v>0</v>
      </c>
      <c r="N8" s="285">
        <v>0</v>
      </c>
      <c r="O8" s="285">
        <v>0</v>
      </c>
      <c r="P8" s="285">
        <v>0</v>
      </c>
      <c r="Q8" s="285">
        <v>0</v>
      </c>
      <c r="R8" s="286">
        <f>SUM(J8:Q8)</f>
        <v>0</v>
      </c>
      <c r="S8" s="287">
        <f>I8-R8</f>
        <v>1137500</v>
      </c>
      <c r="T8" s="288">
        <f>G8-I8</f>
        <v>787500</v>
      </c>
      <c r="U8" s="289">
        <v>0</v>
      </c>
      <c r="V8" s="290" t="e">
        <f t="shared" ref="V8:V71" si="0">R8/U8</f>
        <v>#DIV/0!</v>
      </c>
      <c r="X8" s="329"/>
      <c r="Y8" s="285"/>
      <c r="Z8" s="285"/>
      <c r="AA8" s="285"/>
      <c r="AB8" s="285"/>
      <c r="AC8" s="285"/>
      <c r="AD8" s="285"/>
      <c r="AE8" s="285"/>
    </row>
    <row r="9" spans="1:31" ht="18.95" customHeight="1">
      <c r="A9" s="312"/>
      <c r="B9" s="279" t="s">
        <v>44</v>
      </c>
      <c r="C9" s="280" t="s">
        <v>45</v>
      </c>
      <c r="D9" s="281" t="s">
        <v>43</v>
      </c>
      <c r="E9" s="282">
        <v>0</v>
      </c>
      <c r="F9" s="283"/>
      <c r="G9" s="282">
        <v>0</v>
      </c>
      <c r="H9" s="283"/>
      <c r="I9" s="284">
        <v>0</v>
      </c>
      <c r="J9" s="285">
        <v>0</v>
      </c>
      <c r="K9" s="285">
        <v>18400</v>
      </c>
      <c r="L9" s="285">
        <v>0</v>
      </c>
      <c r="M9" s="285">
        <v>0</v>
      </c>
      <c r="N9" s="285">
        <v>0</v>
      </c>
      <c r="O9" s="285">
        <v>0</v>
      </c>
      <c r="P9" s="285">
        <v>0</v>
      </c>
      <c r="Q9" s="285">
        <v>0</v>
      </c>
      <c r="R9" s="286">
        <f>SUM(J9:Q9)</f>
        <v>18400</v>
      </c>
      <c r="S9" s="287">
        <f>I9-R9</f>
        <v>-18400</v>
      </c>
      <c r="T9" s="288">
        <f>G9-I9</f>
        <v>0</v>
      </c>
      <c r="U9" s="289">
        <v>0</v>
      </c>
      <c r="V9" s="290" t="e">
        <f t="shared" si="0"/>
        <v>#DIV/0!</v>
      </c>
      <c r="X9" s="329"/>
      <c r="Y9" s="285"/>
      <c r="Z9" s="285"/>
      <c r="AA9" s="285"/>
      <c r="AB9" s="285"/>
      <c r="AC9" s="285"/>
      <c r="AD9" s="285"/>
      <c r="AE9" s="285"/>
    </row>
    <row r="10" spans="1:31" ht="18.95" customHeight="1">
      <c r="A10" s="312"/>
      <c r="B10" s="279" t="s">
        <v>46</v>
      </c>
      <c r="C10" s="280" t="s">
        <v>47</v>
      </c>
      <c r="D10" s="281" t="s">
        <v>48</v>
      </c>
      <c r="E10" s="282">
        <v>400000</v>
      </c>
      <c r="F10" s="283"/>
      <c r="G10" s="282">
        <v>400000</v>
      </c>
      <c r="H10" s="283"/>
      <c r="I10" s="284">
        <v>400000</v>
      </c>
      <c r="J10" s="285">
        <v>0</v>
      </c>
      <c r="K10" s="285">
        <v>0</v>
      </c>
      <c r="L10" s="285">
        <v>0</v>
      </c>
      <c r="M10" s="285">
        <v>216000</v>
      </c>
      <c r="N10" s="285">
        <v>0</v>
      </c>
      <c r="O10" s="285">
        <v>0</v>
      </c>
      <c r="P10" s="285">
        <v>0</v>
      </c>
      <c r="Q10" s="285">
        <v>0</v>
      </c>
      <c r="R10" s="286">
        <f>SUM(J10:Q10)</f>
        <v>216000</v>
      </c>
      <c r="S10" s="287">
        <f>I10-R10</f>
        <v>184000</v>
      </c>
      <c r="T10" s="288">
        <f>G10-I10</f>
        <v>0</v>
      </c>
      <c r="U10" s="289">
        <v>0</v>
      </c>
      <c r="V10" s="290" t="e">
        <f t="shared" si="0"/>
        <v>#DIV/0!</v>
      </c>
      <c r="X10" s="329"/>
      <c r="Y10" s="285"/>
      <c r="Z10" s="285"/>
      <c r="AA10" s="285"/>
      <c r="AB10" s="285"/>
      <c r="AC10" s="285"/>
      <c r="AD10" s="285"/>
      <c r="AE10" s="285"/>
    </row>
    <row r="11" spans="1:31" ht="18.95" customHeight="1">
      <c r="A11" s="312"/>
      <c r="B11" s="279" t="s">
        <v>49</v>
      </c>
      <c r="C11" s="280" t="s">
        <v>50</v>
      </c>
      <c r="D11" s="281" t="s">
        <v>43</v>
      </c>
      <c r="E11" s="282">
        <v>0</v>
      </c>
      <c r="F11" s="283"/>
      <c r="G11" s="282">
        <v>0</v>
      </c>
      <c r="H11" s="283"/>
      <c r="I11" s="284">
        <v>0</v>
      </c>
      <c r="J11" s="285">
        <v>0</v>
      </c>
      <c r="K11" s="285">
        <v>0</v>
      </c>
      <c r="L11" s="285">
        <v>0</v>
      </c>
      <c r="M11" s="285">
        <v>105000</v>
      </c>
      <c r="N11" s="285">
        <v>174500</v>
      </c>
      <c r="O11" s="285">
        <v>45000</v>
      </c>
      <c r="P11" s="285">
        <v>0</v>
      </c>
      <c r="Q11" s="285">
        <v>0</v>
      </c>
      <c r="R11" s="286">
        <f>SUM(J11:Q11)</f>
        <v>324500</v>
      </c>
      <c r="S11" s="287">
        <f>I11-R11</f>
        <v>-324500</v>
      </c>
      <c r="T11" s="288">
        <f>G11-I11</f>
        <v>0</v>
      </c>
      <c r="U11" s="289">
        <v>0</v>
      </c>
      <c r="V11" s="290" t="e">
        <f t="shared" si="0"/>
        <v>#DIV/0!</v>
      </c>
      <c r="X11" s="329"/>
      <c r="Y11" s="285"/>
      <c r="Z11" s="285"/>
      <c r="AA11" s="285"/>
      <c r="AB11" s="285"/>
      <c r="AC11" s="285"/>
      <c r="AD11" s="285"/>
      <c r="AE11" s="285"/>
    </row>
    <row r="12" spans="1:31" ht="18.95" customHeight="1">
      <c r="A12" s="312"/>
      <c r="B12" s="279" t="s">
        <v>51</v>
      </c>
      <c r="C12" s="280" t="s">
        <v>45</v>
      </c>
      <c r="D12" s="281" t="s">
        <v>43</v>
      </c>
      <c r="E12" s="282">
        <v>0</v>
      </c>
      <c r="F12" s="283"/>
      <c r="G12" s="282">
        <v>0</v>
      </c>
      <c r="H12" s="283"/>
      <c r="I12" s="284">
        <v>0</v>
      </c>
      <c r="J12" s="285">
        <v>0</v>
      </c>
      <c r="K12" s="285">
        <v>0</v>
      </c>
      <c r="L12" s="285">
        <v>29200</v>
      </c>
      <c r="M12" s="285">
        <v>0</v>
      </c>
      <c r="N12" s="285">
        <v>0</v>
      </c>
      <c r="O12" s="285">
        <v>0</v>
      </c>
      <c r="P12" s="285">
        <v>0</v>
      </c>
      <c r="Q12" s="285">
        <v>0</v>
      </c>
      <c r="R12" s="286">
        <f>SUM(J12:Q12)</f>
        <v>29200</v>
      </c>
      <c r="S12" s="287">
        <f>I12-R12</f>
        <v>-29200</v>
      </c>
      <c r="T12" s="288">
        <f>G12-I12</f>
        <v>0</v>
      </c>
      <c r="U12" s="289">
        <v>0</v>
      </c>
      <c r="V12" s="290" t="e">
        <f t="shared" si="0"/>
        <v>#DIV/0!</v>
      </c>
      <c r="X12" s="329"/>
      <c r="Y12" s="285"/>
      <c r="Z12" s="285"/>
      <c r="AA12" s="285"/>
      <c r="AB12" s="285"/>
      <c r="AC12" s="285"/>
      <c r="AD12" s="285"/>
      <c r="AE12" s="285"/>
    </row>
    <row r="13" spans="1:31" ht="18.95" customHeight="1">
      <c r="A13" s="312"/>
      <c r="B13" s="279" t="s">
        <v>52</v>
      </c>
      <c r="C13" s="280" t="s">
        <v>50</v>
      </c>
      <c r="D13" s="281" t="s">
        <v>43</v>
      </c>
      <c r="E13" s="282">
        <v>0</v>
      </c>
      <c r="F13" s="283"/>
      <c r="G13" s="282">
        <v>0</v>
      </c>
      <c r="H13" s="283"/>
      <c r="I13" s="284">
        <v>0</v>
      </c>
      <c r="J13" s="285">
        <v>0</v>
      </c>
      <c r="K13" s="285">
        <v>0</v>
      </c>
      <c r="L13" s="285">
        <v>0</v>
      </c>
      <c r="M13" s="285">
        <v>0</v>
      </c>
      <c r="N13" s="285">
        <v>1325</v>
      </c>
      <c r="O13" s="285">
        <v>0</v>
      </c>
      <c r="P13" s="285">
        <v>0</v>
      </c>
      <c r="Q13" s="285">
        <v>0</v>
      </c>
      <c r="R13" s="286">
        <f>SUM(J13:Q13)</f>
        <v>1325</v>
      </c>
      <c r="S13" s="287">
        <f>I13-R13</f>
        <v>-1325</v>
      </c>
      <c r="T13" s="288">
        <f>G13-I13</f>
        <v>0</v>
      </c>
      <c r="U13" s="289">
        <v>0</v>
      </c>
      <c r="V13" s="290" t="e">
        <f t="shared" si="0"/>
        <v>#DIV/0!</v>
      </c>
      <c r="X13" s="329"/>
      <c r="Y13" s="285"/>
      <c r="Z13" s="285"/>
      <c r="AA13" s="285"/>
      <c r="AB13" s="285"/>
      <c r="AC13" s="285"/>
      <c r="AD13" s="285"/>
      <c r="AE13" s="285"/>
    </row>
    <row r="14" spans="1:31" ht="18.95" customHeight="1">
      <c r="A14" s="312"/>
      <c r="B14" s="279" t="s">
        <v>53</v>
      </c>
      <c r="C14" s="280" t="s">
        <v>45</v>
      </c>
      <c r="D14" s="281" t="s">
        <v>43</v>
      </c>
      <c r="E14" s="282">
        <v>0</v>
      </c>
      <c r="F14" s="283"/>
      <c r="G14" s="282">
        <v>0</v>
      </c>
      <c r="H14" s="283"/>
      <c r="I14" s="284">
        <v>0</v>
      </c>
      <c r="J14" s="285">
        <v>0</v>
      </c>
      <c r="K14" s="285">
        <v>0</v>
      </c>
      <c r="L14" s="285">
        <v>32465</v>
      </c>
      <c r="M14" s="285">
        <v>0</v>
      </c>
      <c r="N14" s="285">
        <v>0</v>
      </c>
      <c r="O14" s="285">
        <v>0</v>
      </c>
      <c r="P14" s="285">
        <v>0</v>
      </c>
      <c r="Q14" s="285">
        <v>0</v>
      </c>
      <c r="R14" s="286">
        <f>SUM(J14:Q14)</f>
        <v>32465</v>
      </c>
      <c r="S14" s="287">
        <f>I14-R14</f>
        <v>-32465</v>
      </c>
      <c r="T14" s="288">
        <f>G14-I14</f>
        <v>0</v>
      </c>
      <c r="U14" s="289">
        <v>0</v>
      </c>
      <c r="V14" s="290" t="e">
        <f t="shared" si="0"/>
        <v>#DIV/0!</v>
      </c>
      <c r="X14" s="329"/>
      <c r="Y14" s="285"/>
      <c r="Z14" s="285"/>
      <c r="AA14" s="285"/>
      <c r="AB14" s="285"/>
      <c r="AC14" s="285"/>
      <c r="AD14" s="285"/>
      <c r="AE14" s="285"/>
    </row>
    <row r="15" spans="1:31" ht="18.95" customHeight="1">
      <c r="A15" s="312"/>
      <c r="B15" s="279" t="s">
        <v>54</v>
      </c>
      <c r="C15" s="280" t="s">
        <v>42</v>
      </c>
      <c r="D15" s="281" t="s">
        <v>43</v>
      </c>
      <c r="E15" s="282">
        <v>250000</v>
      </c>
      <c r="F15" s="283"/>
      <c r="G15" s="282">
        <v>250000</v>
      </c>
      <c r="H15" s="283"/>
      <c r="I15" s="284">
        <v>250000</v>
      </c>
      <c r="J15" s="285">
        <v>0</v>
      </c>
      <c r="K15" s="285">
        <v>0</v>
      </c>
      <c r="L15" s="285">
        <v>143000</v>
      </c>
      <c r="M15" s="285">
        <v>0</v>
      </c>
      <c r="N15" s="285">
        <v>0</v>
      </c>
      <c r="O15" s="285">
        <v>0</v>
      </c>
      <c r="P15" s="285">
        <v>0</v>
      </c>
      <c r="Q15" s="285">
        <v>0</v>
      </c>
      <c r="R15" s="286">
        <f>SUM(J15:Q15)</f>
        <v>143000</v>
      </c>
      <c r="S15" s="287">
        <f>I15-R15</f>
        <v>107000</v>
      </c>
      <c r="T15" s="288">
        <f>G15-I15</f>
        <v>0</v>
      </c>
      <c r="U15" s="289">
        <v>0</v>
      </c>
      <c r="V15" s="290" t="e">
        <f t="shared" si="0"/>
        <v>#DIV/0!</v>
      </c>
      <c r="X15" s="329"/>
      <c r="Y15" s="285"/>
      <c r="Z15" s="285"/>
      <c r="AA15" s="285"/>
      <c r="AB15" s="285"/>
      <c r="AC15" s="285"/>
      <c r="AD15" s="285"/>
      <c r="AE15" s="285"/>
    </row>
    <row r="16" spans="1:31" ht="18.95" customHeight="1">
      <c r="A16" s="312"/>
      <c r="B16" s="279" t="s">
        <v>55</v>
      </c>
      <c r="C16" s="280" t="s">
        <v>45</v>
      </c>
      <c r="D16" s="281" t="s">
        <v>43</v>
      </c>
      <c r="E16" s="282">
        <v>0</v>
      </c>
      <c r="F16" s="283"/>
      <c r="G16" s="282">
        <v>0</v>
      </c>
      <c r="H16" s="283"/>
      <c r="I16" s="284">
        <v>0</v>
      </c>
      <c r="J16" s="285">
        <v>0</v>
      </c>
      <c r="K16" s="285">
        <v>0</v>
      </c>
      <c r="L16" s="285">
        <v>37200</v>
      </c>
      <c r="M16" s="285">
        <v>58270</v>
      </c>
      <c r="N16" s="285">
        <v>0</v>
      </c>
      <c r="O16" s="285">
        <v>0</v>
      </c>
      <c r="P16" s="285">
        <v>0</v>
      </c>
      <c r="Q16" s="285">
        <v>0</v>
      </c>
      <c r="R16" s="286">
        <f>SUM(J16:Q16)</f>
        <v>95470</v>
      </c>
      <c r="S16" s="287">
        <f>I16-R16</f>
        <v>-95470</v>
      </c>
      <c r="T16" s="288">
        <f>G16-I16</f>
        <v>0</v>
      </c>
      <c r="U16" s="289">
        <v>0</v>
      </c>
      <c r="V16" s="290" t="e">
        <f t="shared" si="0"/>
        <v>#DIV/0!</v>
      </c>
      <c r="X16" s="329"/>
      <c r="Y16" s="285"/>
      <c r="Z16" s="285"/>
      <c r="AA16" s="285"/>
      <c r="AB16" s="285"/>
      <c r="AC16" s="285"/>
      <c r="AD16" s="285"/>
      <c r="AE16" s="285"/>
    </row>
    <row r="17" spans="1:31" ht="18.95" customHeight="1">
      <c r="A17" s="312"/>
      <c r="B17" s="279" t="s">
        <v>56</v>
      </c>
      <c r="C17" s="280" t="s">
        <v>57</v>
      </c>
      <c r="D17" s="281" t="s">
        <v>43</v>
      </c>
      <c r="E17" s="282">
        <v>0</v>
      </c>
      <c r="F17" s="283"/>
      <c r="G17" s="282">
        <v>0</v>
      </c>
      <c r="H17" s="283"/>
      <c r="I17" s="284">
        <v>0</v>
      </c>
      <c r="J17" s="285">
        <v>199000</v>
      </c>
      <c r="K17" s="285">
        <v>8000</v>
      </c>
      <c r="L17" s="285">
        <v>0</v>
      </c>
      <c r="M17" s="285">
        <v>0</v>
      </c>
      <c r="N17" s="285">
        <v>0</v>
      </c>
      <c r="O17" s="285">
        <v>0</v>
      </c>
      <c r="P17" s="285">
        <v>0</v>
      </c>
      <c r="Q17" s="285">
        <v>0</v>
      </c>
      <c r="R17" s="286">
        <f>SUM(J17:Q17)</f>
        <v>207000</v>
      </c>
      <c r="S17" s="287">
        <f>I17-R17</f>
        <v>-207000</v>
      </c>
      <c r="T17" s="288">
        <f>G17-I17</f>
        <v>0</v>
      </c>
      <c r="U17" s="289">
        <v>0</v>
      </c>
      <c r="V17" s="290" t="e">
        <f t="shared" si="0"/>
        <v>#DIV/0!</v>
      </c>
      <c r="X17" s="329"/>
      <c r="Y17" s="285"/>
      <c r="Z17" s="285"/>
      <c r="AA17" s="285"/>
      <c r="AB17" s="285"/>
      <c r="AC17" s="285"/>
      <c r="AD17" s="285"/>
      <c r="AE17" s="285"/>
    </row>
    <row r="18" spans="1:31" ht="18.95" customHeight="1">
      <c r="A18" s="312"/>
      <c r="B18" s="279" t="s">
        <v>58</v>
      </c>
      <c r="C18" s="280" t="s">
        <v>57</v>
      </c>
      <c r="D18" s="281" t="s">
        <v>43</v>
      </c>
      <c r="E18" s="282">
        <v>0</v>
      </c>
      <c r="F18" s="283"/>
      <c r="G18" s="282">
        <v>100000</v>
      </c>
      <c r="H18" s="283"/>
      <c r="I18" s="284">
        <v>195800</v>
      </c>
      <c r="J18" s="285">
        <v>0</v>
      </c>
      <c r="K18" s="285">
        <v>0</v>
      </c>
      <c r="L18" s="285">
        <v>103800</v>
      </c>
      <c r="M18" s="285">
        <v>32000</v>
      </c>
      <c r="N18" s="285">
        <v>20000</v>
      </c>
      <c r="O18" s="285">
        <v>20000</v>
      </c>
      <c r="P18" s="285">
        <v>0</v>
      </c>
      <c r="Q18" s="285">
        <v>0</v>
      </c>
      <c r="R18" s="286">
        <f>SUM(J18:Q18)</f>
        <v>175800</v>
      </c>
      <c r="S18" s="287">
        <f>I18-R18</f>
        <v>20000</v>
      </c>
      <c r="T18" s="288">
        <f>G18-I18</f>
        <v>-95800</v>
      </c>
      <c r="U18" s="289">
        <v>0</v>
      </c>
      <c r="V18" s="290" t="e">
        <f t="shared" si="0"/>
        <v>#DIV/0!</v>
      </c>
      <c r="X18" s="329"/>
      <c r="Y18" s="285"/>
      <c r="Z18" s="285"/>
      <c r="AA18" s="285"/>
      <c r="AB18" s="285"/>
      <c r="AC18" s="285"/>
      <c r="AD18" s="285"/>
      <c r="AE18" s="285"/>
    </row>
    <row r="19" spans="1:31" ht="18.95" customHeight="1">
      <c r="A19" s="312"/>
      <c r="B19" s="279" t="s">
        <v>59</v>
      </c>
      <c r="C19" s="280" t="s">
        <v>42</v>
      </c>
      <c r="D19" s="281" t="s">
        <v>43</v>
      </c>
      <c r="E19" s="282">
        <v>0</v>
      </c>
      <c r="F19" s="283"/>
      <c r="G19" s="282">
        <v>0</v>
      </c>
      <c r="H19" s="283"/>
      <c r="I19" s="284">
        <v>0</v>
      </c>
      <c r="J19" s="285">
        <v>0</v>
      </c>
      <c r="K19" s="285">
        <v>0</v>
      </c>
      <c r="L19" s="285">
        <v>558700</v>
      </c>
      <c r="M19" s="285">
        <v>409250</v>
      </c>
      <c r="N19" s="285">
        <v>130200</v>
      </c>
      <c r="O19" s="285">
        <v>105000</v>
      </c>
      <c r="P19" s="285">
        <v>0</v>
      </c>
      <c r="Q19" s="285">
        <v>0</v>
      </c>
      <c r="R19" s="286">
        <f>SUM(J19:Q19)</f>
        <v>1203150</v>
      </c>
      <c r="S19" s="287">
        <f>I19-R19</f>
        <v>-1203150</v>
      </c>
      <c r="T19" s="288">
        <f>G19-I19</f>
        <v>0</v>
      </c>
      <c r="U19" s="289">
        <v>0</v>
      </c>
      <c r="V19" s="290" t="e">
        <f t="shared" si="0"/>
        <v>#DIV/0!</v>
      </c>
      <c r="X19" s="329"/>
      <c r="Y19" s="285"/>
      <c r="Z19" s="285"/>
      <c r="AA19" s="285"/>
      <c r="AB19" s="285"/>
      <c r="AC19" s="285"/>
      <c r="AD19" s="285"/>
      <c r="AE19" s="285"/>
    </row>
    <row r="20" spans="1:31" ht="18.95" customHeight="1">
      <c r="A20" s="312"/>
      <c r="B20" s="279" t="s">
        <v>60</v>
      </c>
      <c r="C20" s="280" t="s">
        <v>39</v>
      </c>
      <c r="D20" s="281" t="s">
        <v>43</v>
      </c>
      <c r="E20" s="282">
        <v>0</v>
      </c>
      <c r="F20" s="283"/>
      <c r="G20" s="282">
        <v>0</v>
      </c>
      <c r="H20" s="283"/>
      <c r="I20" s="284">
        <v>0</v>
      </c>
      <c r="J20" s="285">
        <v>0</v>
      </c>
      <c r="K20" s="285">
        <v>0</v>
      </c>
      <c r="L20" s="285">
        <v>22000</v>
      </c>
      <c r="M20" s="285">
        <v>0</v>
      </c>
      <c r="N20" s="285">
        <v>0</v>
      </c>
      <c r="O20" s="285">
        <v>0</v>
      </c>
      <c r="P20" s="285">
        <v>0</v>
      </c>
      <c r="Q20" s="285">
        <v>0</v>
      </c>
      <c r="R20" s="286">
        <f>SUM(J20:Q20)</f>
        <v>22000</v>
      </c>
      <c r="S20" s="287">
        <f>I20-R20</f>
        <v>-22000</v>
      </c>
      <c r="T20" s="288">
        <f>G20-I20</f>
        <v>0</v>
      </c>
      <c r="U20" s="289">
        <v>0</v>
      </c>
      <c r="V20" s="290" t="e">
        <f t="shared" si="0"/>
        <v>#DIV/0!</v>
      </c>
      <c r="X20" s="329"/>
      <c r="Y20" s="285"/>
      <c r="Z20" s="285"/>
      <c r="AA20" s="285"/>
      <c r="AB20" s="285"/>
      <c r="AC20" s="285"/>
      <c r="AD20" s="285"/>
      <c r="AE20" s="285"/>
    </row>
    <row r="21" spans="1:31" ht="18.95" customHeight="1">
      <c r="A21" s="312"/>
      <c r="B21" s="279" t="s">
        <v>61</v>
      </c>
      <c r="C21" s="280" t="s">
        <v>57</v>
      </c>
      <c r="D21" s="281" t="s">
        <v>62</v>
      </c>
      <c r="E21" s="282">
        <v>530000</v>
      </c>
      <c r="F21" s="283"/>
      <c r="G21" s="282">
        <v>650000</v>
      </c>
      <c r="H21" s="283"/>
      <c r="I21" s="284">
        <v>650000</v>
      </c>
      <c r="J21" s="285">
        <v>0</v>
      </c>
      <c r="K21" s="285">
        <v>0</v>
      </c>
      <c r="L21" s="285">
        <v>351000</v>
      </c>
      <c r="M21" s="285">
        <v>0</v>
      </c>
      <c r="N21" s="285">
        <v>0</v>
      </c>
      <c r="O21" s="285">
        <v>0</v>
      </c>
      <c r="P21" s="285">
        <v>0</v>
      </c>
      <c r="Q21" s="285">
        <v>0</v>
      </c>
      <c r="R21" s="286">
        <f>SUM(J21:Q21)</f>
        <v>351000</v>
      </c>
      <c r="S21" s="287">
        <f>I21-R21</f>
        <v>299000</v>
      </c>
      <c r="T21" s="288">
        <f>G21-I21</f>
        <v>0</v>
      </c>
      <c r="U21" s="289">
        <v>1</v>
      </c>
      <c r="V21" s="290">
        <f t="shared" si="0"/>
        <v>351000</v>
      </c>
      <c r="X21" s="329"/>
      <c r="Y21" s="285"/>
      <c r="Z21" s="285"/>
      <c r="AA21" s="285"/>
      <c r="AB21" s="285"/>
      <c r="AC21" s="285"/>
      <c r="AD21" s="285"/>
      <c r="AE21" s="285"/>
    </row>
    <row r="22" spans="1:31" ht="18.95" customHeight="1">
      <c r="A22" s="312"/>
      <c r="B22" s="279" t="s">
        <v>61</v>
      </c>
      <c r="C22" s="280" t="s">
        <v>57</v>
      </c>
      <c r="D22" s="281" t="s">
        <v>43</v>
      </c>
      <c r="E22" s="282">
        <v>0</v>
      </c>
      <c r="F22" s="283"/>
      <c r="G22" s="282">
        <v>0</v>
      </c>
      <c r="H22" s="283"/>
      <c r="I22" s="284">
        <v>0</v>
      </c>
      <c r="J22" s="285">
        <v>0</v>
      </c>
      <c r="K22" s="285">
        <v>0</v>
      </c>
      <c r="L22" s="285">
        <v>0</v>
      </c>
      <c r="M22" s="285">
        <v>78392</v>
      </c>
      <c r="N22" s="285">
        <v>33674</v>
      </c>
      <c r="O22" s="285">
        <v>54816</v>
      </c>
      <c r="P22" s="285">
        <v>0</v>
      </c>
      <c r="Q22" s="285">
        <v>0</v>
      </c>
      <c r="R22" s="286">
        <f>SUM(J22:Q22)</f>
        <v>166882</v>
      </c>
      <c r="S22" s="287">
        <f>I22-R22</f>
        <v>-166882</v>
      </c>
      <c r="T22" s="288">
        <f>G22-I22</f>
        <v>0</v>
      </c>
      <c r="U22" s="289">
        <v>0</v>
      </c>
      <c r="V22" s="290" t="e">
        <f t="shared" si="0"/>
        <v>#DIV/0!</v>
      </c>
      <c r="X22" s="329"/>
      <c r="Y22" s="285"/>
      <c r="Z22" s="285"/>
      <c r="AA22" s="285"/>
      <c r="AB22" s="285"/>
      <c r="AC22" s="285"/>
      <c r="AD22" s="285"/>
      <c r="AE22" s="285"/>
    </row>
    <row r="23" spans="1:31" ht="18.95" customHeight="1">
      <c r="A23" s="312"/>
      <c r="B23" s="279" t="s">
        <v>63</v>
      </c>
      <c r="C23" s="280" t="s">
        <v>57</v>
      </c>
      <c r="D23" s="281" t="s">
        <v>43</v>
      </c>
      <c r="E23" s="282">
        <v>0</v>
      </c>
      <c r="F23" s="283"/>
      <c r="G23" s="282">
        <v>0</v>
      </c>
      <c r="H23" s="283"/>
      <c r="I23" s="284">
        <v>0</v>
      </c>
      <c r="J23" s="285">
        <v>0</v>
      </c>
      <c r="K23" s="285">
        <v>0</v>
      </c>
      <c r="L23" s="285">
        <v>128190</v>
      </c>
      <c r="M23" s="285">
        <v>0</v>
      </c>
      <c r="N23" s="285">
        <v>0</v>
      </c>
      <c r="O23" s="285">
        <v>0</v>
      </c>
      <c r="P23" s="285">
        <v>0</v>
      </c>
      <c r="Q23" s="285">
        <v>0</v>
      </c>
      <c r="R23" s="286">
        <f>SUM(J23:Q23)</f>
        <v>128190</v>
      </c>
      <c r="S23" s="287">
        <f>I23-R23</f>
        <v>-128190</v>
      </c>
      <c r="T23" s="288">
        <f>G23-I23</f>
        <v>0</v>
      </c>
      <c r="U23" s="289">
        <v>0</v>
      </c>
      <c r="V23" s="290" t="e">
        <f t="shared" si="0"/>
        <v>#DIV/0!</v>
      </c>
      <c r="X23" s="329"/>
      <c r="Y23" s="285"/>
      <c r="Z23" s="285"/>
      <c r="AA23" s="285"/>
      <c r="AB23" s="285"/>
      <c r="AC23" s="285"/>
      <c r="AD23" s="285"/>
      <c r="AE23" s="285"/>
    </row>
    <row r="24" spans="1:31" ht="18.95" customHeight="1">
      <c r="A24" s="312"/>
      <c r="B24" s="279"/>
      <c r="C24" s="280" t="s">
        <v>57</v>
      </c>
      <c r="D24" s="281" t="s">
        <v>43</v>
      </c>
      <c r="E24" s="282">
        <v>0</v>
      </c>
      <c r="F24" s="283"/>
      <c r="G24" s="282">
        <v>0</v>
      </c>
      <c r="H24" s="283"/>
      <c r="I24" s="284">
        <v>0</v>
      </c>
      <c r="J24" s="285">
        <v>0</v>
      </c>
      <c r="K24" s="285">
        <v>0</v>
      </c>
      <c r="L24" s="285">
        <v>0</v>
      </c>
      <c r="M24" s="285">
        <v>0</v>
      </c>
      <c r="N24" s="285">
        <v>0</v>
      </c>
      <c r="O24" s="285">
        <v>0</v>
      </c>
      <c r="P24" s="285">
        <v>0</v>
      </c>
      <c r="Q24" s="285">
        <v>0</v>
      </c>
      <c r="R24" s="286">
        <f>SUM(J24:Q24)</f>
        <v>0</v>
      </c>
      <c r="S24" s="287">
        <f>I24-R24</f>
        <v>0</v>
      </c>
      <c r="T24" s="288">
        <f>G24-I24</f>
        <v>0</v>
      </c>
      <c r="U24" s="289">
        <v>0</v>
      </c>
      <c r="V24" s="290" t="e">
        <f t="shared" si="0"/>
        <v>#DIV/0!</v>
      </c>
      <c r="X24" s="329"/>
      <c r="Y24" s="285"/>
      <c r="Z24" s="285"/>
      <c r="AA24" s="285"/>
      <c r="AB24" s="285"/>
      <c r="AC24" s="285"/>
      <c r="AD24" s="285"/>
      <c r="AE24" s="285"/>
    </row>
    <row r="25" spans="1:31" ht="18.95" customHeight="1">
      <c r="A25" s="312"/>
      <c r="B25" s="279"/>
      <c r="C25" s="280" t="s">
        <v>47</v>
      </c>
      <c r="D25" s="281" t="s">
        <v>43</v>
      </c>
      <c r="E25" s="282">
        <v>0</v>
      </c>
      <c r="F25" s="283"/>
      <c r="G25" s="282">
        <v>0</v>
      </c>
      <c r="H25" s="283"/>
      <c r="I25" s="284">
        <v>0</v>
      </c>
      <c r="J25" s="285">
        <v>0</v>
      </c>
      <c r="K25" s="285">
        <v>0</v>
      </c>
      <c r="L25" s="285">
        <v>0</v>
      </c>
      <c r="M25" s="285">
        <v>0</v>
      </c>
      <c r="N25" s="285">
        <v>0</v>
      </c>
      <c r="O25" s="285">
        <v>0</v>
      </c>
      <c r="P25" s="285">
        <v>0</v>
      </c>
      <c r="Q25" s="285">
        <v>0</v>
      </c>
      <c r="R25" s="286">
        <f>SUM(J25:Q25)</f>
        <v>0</v>
      </c>
      <c r="S25" s="287">
        <f>I25-R25</f>
        <v>0</v>
      </c>
      <c r="T25" s="288">
        <f>G25-I25</f>
        <v>0</v>
      </c>
      <c r="U25" s="289">
        <v>0</v>
      </c>
      <c r="V25" s="290" t="e">
        <f t="shared" si="0"/>
        <v>#DIV/0!</v>
      </c>
      <c r="X25" s="329"/>
      <c r="Y25" s="285"/>
      <c r="Z25" s="285"/>
      <c r="AA25" s="285"/>
      <c r="AB25" s="285"/>
      <c r="AC25" s="285"/>
      <c r="AD25" s="285"/>
      <c r="AE25" s="285"/>
    </row>
    <row r="26" spans="1:31" ht="18.95" customHeight="1">
      <c r="A26" s="312"/>
      <c r="B26" s="279"/>
      <c r="C26" s="280" t="s">
        <v>39</v>
      </c>
      <c r="D26" s="281" t="s">
        <v>43</v>
      </c>
      <c r="E26" s="282">
        <v>0</v>
      </c>
      <c r="F26" s="283"/>
      <c r="G26" s="282">
        <v>0</v>
      </c>
      <c r="H26" s="283"/>
      <c r="I26" s="284">
        <v>0</v>
      </c>
      <c r="J26" s="285">
        <v>0</v>
      </c>
      <c r="K26" s="285">
        <v>0</v>
      </c>
      <c r="L26" s="285">
        <v>0</v>
      </c>
      <c r="M26" s="285">
        <v>0</v>
      </c>
      <c r="N26" s="285">
        <v>0</v>
      </c>
      <c r="O26" s="285">
        <v>0</v>
      </c>
      <c r="P26" s="285">
        <v>0</v>
      </c>
      <c r="Q26" s="285">
        <v>0</v>
      </c>
      <c r="R26" s="286">
        <f>SUM(J26:Q26)</f>
        <v>0</v>
      </c>
      <c r="S26" s="287">
        <f>I26-R26</f>
        <v>0</v>
      </c>
      <c r="T26" s="288">
        <f>G26-I26</f>
        <v>0</v>
      </c>
      <c r="U26" s="289">
        <v>0</v>
      </c>
      <c r="V26" s="290" t="e">
        <f t="shared" si="0"/>
        <v>#DIV/0!</v>
      </c>
      <c r="X26" s="329"/>
      <c r="Y26" s="285"/>
      <c r="Z26" s="285"/>
      <c r="AA26" s="285"/>
      <c r="AB26" s="285"/>
      <c r="AC26" s="285"/>
      <c r="AD26" s="285"/>
      <c r="AE26" s="285"/>
    </row>
    <row r="27" spans="1:31" ht="18.95" customHeight="1">
      <c r="A27" s="312"/>
      <c r="B27" s="279"/>
      <c r="C27" s="280" t="s">
        <v>45</v>
      </c>
      <c r="D27" s="281" t="s">
        <v>43</v>
      </c>
      <c r="E27" s="282">
        <v>0</v>
      </c>
      <c r="F27" s="283"/>
      <c r="G27" s="282">
        <v>0</v>
      </c>
      <c r="H27" s="283"/>
      <c r="I27" s="284">
        <v>200000</v>
      </c>
      <c r="J27" s="285">
        <v>0</v>
      </c>
      <c r="K27" s="285">
        <v>0</v>
      </c>
      <c r="L27" s="285">
        <v>0</v>
      </c>
      <c r="M27" s="285">
        <v>0</v>
      </c>
      <c r="N27" s="285">
        <v>0</v>
      </c>
      <c r="O27" s="285">
        <v>0</v>
      </c>
      <c r="P27" s="285">
        <v>0</v>
      </c>
      <c r="Q27" s="285">
        <v>0</v>
      </c>
      <c r="R27" s="286">
        <f>SUM(J27:Q27)</f>
        <v>0</v>
      </c>
      <c r="S27" s="287">
        <f>I27-R27</f>
        <v>200000</v>
      </c>
      <c r="T27" s="288">
        <f>G27-I27</f>
        <v>-200000</v>
      </c>
      <c r="U27" s="289">
        <v>0</v>
      </c>
      <c r="V27" s="290" t="e">
        <f t="shared" si="0"/>
        <v>#DIV/0!</v>
      </c>
      <c r="X27" s="329"/>
      <c r="Y27" s="285"/>
      <c r="Z27" s="285"/>
      <c r="AA27" s="285"/>
      <c r="AB27" s="285"/>
      <c r="AC27" s="285"/>
      <c r="AD27" s="285"/>
      <c r="AE27" s="285"/>
    </row>
    <row r="28" spans="1:31" ht="18.95" customHeight="1">
      <c r="A28" s="312"/>
      <c r="B28" s="279"/>
      <c r="C28" s="280" t="s">
        <v>42</v>
      </c>
      <c r="D28" s="281" t="s">
        <v>43</v>
      </c>
      <c r="E28" s="282">
        <v>1609000</v>
      </c>
      <c r="F28" s="283"/>
      <c r="G28" s="282">
        <v>0</v>
      </c>
      <c r="H28" s="283"/>
      <c r="I28" s="284">
        <v>0</v>
      </c>
      <c r="J28" s="285">
        <v>0</v>
      </c>
      <c r="K28" s="285">
        <v>0</v>
      </c>
      <c r="L28" s="285">
        <v>0</v>
      </c>
      <c r="M28" s="285">
        <v>0</v>
      </c>
      <c r="N28" s="285">
        <v>0</v>
      </c>
      <c r="O28" s="285">
        <v>0</v>
      </c>
      <c r="P28" s="285">
        <v>0</v>
      </c>
      <c r="Q28" s="285">
        <v>0</v>
      </c>
      <c r="R28" s="286">
        <f>SUM(J28:Q28)</f>
        <v>0</v>
      </c>
      <c r="S28" s="287">
        <f>I28-R28</f>
        <v>0</v>
      </c>
      <c r="T28" s="288">
        <f>G28-I28</f>
        <v>0</v>
      </c>
      <c r="U28" s="289">
        <v>0</v>
      </c>
      <c r="V28" s="290" t="e">
        <f t="shared" si="0"/>
        <v>#DIV/0!</v>
      </c>
      <c r="X28" s="329"/>
      <c r="Y28" s="285"/>
      <c r="Z28" s="285"/>
      <c r="AA28" s="285"/>
      <c r="AB28" s="285"/>
      <c r="AC28" s="285"/>
      <c r="AD28" s="285"/>
      <c r="AE28" s="285"/>
    </row>
    <row r="29" spans="1:31" ht="18.95" customHeight="1">
      <c r="A29" s="312"/>
      <c r="B29" s="279"/>
      <c r="C29" s="280" t="s">
        <v>64</v>
      </c>
      <c r="D29" s="281" t="s">
        <v>43</v>
      </c>
      <c r="E29" s="282">
        <v>0</v>
      </c>
      <c r="F29" s="283"/>
      <c r="G29" s="282">
        <v>0</v>
      </c>
      <c r="H29" s="283"/>
      <c r="I29" s="284">
        <v>0</v>
      </c>
      <c r="J29" s="285">
        <v>0</v>
      </c>
      <c r="K29" s="285">
        <v>0</v>
      </c>
      <c r="L29" s="285">
        <v>0</v>
      </c>
      <c r="M29" s="285">
        <v>0</v>
      </c>
      <c r="N29" s="285">
        <v>0</v>
      </c>
      <c r="O29" s="285">
        <v>0</v>
      </c>
      <c r="P29" s="285">
        <v>0</v>
      </c>
      <c r="Q29" s="285">
        <v>0</v>
      </c>
      <c r="R29" s="286">
        <f>SUM(J29:Q29)</f>
        <v>0</v>
      </c>
      <c r="S29" s="287">
        <f>I29-R29</f>
        <v>0</v>
      </c>
      <c r="T29" s="288">
        <f>G29-I29</f>
        <v>0</v>
      </c>
      <c r="U29" s="289">
        <v>0</v>
      </c>
      <c r="V29" s="290" t="e">
        <f t="shared" si="0"/>
        <v>#DIV/0!</v>
      </c>
      <c r="X29" s="329"/>
      <c r="Y29" s="285"/>
      <c r="Z29" s="285"/>
      <c r="AA29" s="285"/>
      <c r="AB29" s="285"/>
      <c r="AC29" s="285"/>
      <c r="AD29" s="285"/>
      <c r="AE29" s="285"/>
    </row>
    <row r="30" spans="1:31" ht="18.95" customHeight="1">
      <c r="A30" s="313"/>
      <c r="B30" s="279"/>
      <c r="C30" s="280" t="s">
        <v>50</v>
      </c>
      <c r="D30" s="281" t="s">
        <v>43</v>
      </c>
      <c r="E30" s="282">
        <v>970000</v>
      </c>
      <c r="F30" s="283"/>
      <c r="G30" s="282">
        <v>900000</v>
      </c>
      <c r="H30" s="283"/>
      <c r="I30" s="284">
        <v>700000</v>
      </c>
      <c r="J30" s="285">
        <v>0</v>
      </c>
      <c r="K30" s="285">
        <v>0</v>
      </c>
      <c r="L30" s="285">
        <v>0</v>
      </c>
      <c r="M30" s="285">
        <v>0</v>
      </c>
      <c r="N30" s="285">
        <v>0</v>
      </c>
      <c r="O30" s="285">
        <v>0</v>
      </c>
      <c r="P30" s="285">
        <v>0</v>
      </c>
      <c r="Q30" s="285">
        <v>0</v>
      </c>
      <c r="R30" s="286">
        <f>SUM(J30:Q30)</f>
        <v>0</v>
      </c>
      <c r="S30" s="287">
        <f>I30-R30</f>
        <v>700000</v>
      </c>
      <c r="T30" s="288">
        <f>G30-I30</f>
        <v>200000</v>
      </c>
      <c r="U30" s="289">
        <v>0</v>
      </c>
      <c r="V30" s="290" t="e">
        <f t="shared" si="0"/>
        <v>#DIV/0!</v>
      </c>
      <c r="X30" s="329"/>
      <c r="Y30" s="285"/>
      <c r="Z30" s="285"/>
      <c r="AA30" s="285"/>
      <c r="AB30" s="285"/>
      <c r="AC30" s="285"/>
      <c r="AD30" s="285"/>
      <c r="AE30" s="285"/>
    </row>
    <row r="31" spans="1:31" ht="18.95" customHeight="1">
      <c r="A31" s="314" t="s">
        <v>65</v>
      </c>
      <c r="B31" s="291" t="s">
        <v>66</v>
      </c>
      <c r="C31" s="292" t="s">
        <v>67</v>
      </c>
      <c r="D31" s="293" t="s">
        <v>68</v>
      </c>
      <c r="E31" s="294">
        <v>10752500</v>
      </c>
      <c r="F31" s="295"/>
      <c r="G31" s="294">
        <v>10700000</v>
      </c>
      <c r="H31" s="295"/>
      <c r="I31" s="296">
        <v>10700000</v>
      </c>
      <c r="J31" s="273">
        <v>0</v>
      </c>
      <c r="K31" s="273">
        <v>0</v>
      </c>
      <c r="L31" s="273">
        <v>4333500</v>
      </c>
      <c r="M31" s="273">
        <v>1444500</v>
      </c>
      <c r="N31" s="273">
        <v>0</v>
      </c>
      <c r="O31" s="273">
        <v>0</v>
      </c>
      <c r="P31" s="273">
        <v>0</v>
      </c>
      <c r="Q31" s="273">
        <v>0</v>
      </c>
      <c r="R31" s="274">
        <f>SUM(J31:Q31)</f>
        <v>5778000</v>
      </c>
      <c r="S31" s="275">
        <f>I31-R31</f>
        <v>4922000</v>
      </c>
      <c r="T31" s="276">
        <f>G31-I31</f>
        <v>0</v>
      </c>
      <c r="U31" s="297">
        <v>106</v>
      </c>
      <c r="V31" s="278">
        <f t="shared" si="0"/>
        <v>54509.433962264149</v>
      </c>
      <c r="X31" s="328"/>
      <c r="Y31" s="273"/>
      <c r="Z31" s="273"/>
      <c r="AA31" s="273"/>
      <c r="AB31" s="273"/>
      <c r="AC31" s="273"/>
      <c r="AD31" s="273"/>
      <c r="AE31" s="273"/>
    </row>
    <row r="32" spans="1:31" ht="18.95" customHeight="1">
      <c r="A32" s="312"/>
      <c r="B32" s="279"/>
      <c r="C32" s="280" t="s">
        <v>67</v>
      </c>
      <c r="D32" s="281" t="s">
        <v>43</v>
      </c>
      <c r="E32" s="282">
        <v>0</v>
      </c>
      <c r="F32" s="283"/>
      <c r="G32" s="282">
        <v>0</v>
      </c>
      <c r="H32" s="283"/>
      <c r="I32" s="284">
        <v>0</v>
      </c>
      <c r="J32" s="285">
        <v>0</v>
      </c>
      <c r="K32" s="285">
        <v>0</v>
      </c>
      <c r="L32" s="285">
        <v>0</v>
      </c>
      <c r="M32" s="285">
        <v>0</v>
      </c>
      <c r="N32" s="285">
        <v>0</v>
      </c>
      <c r="O32" s="285">
        <v>0</v>
      </c>
      <c r="P32" s="285">
        <v>0</v>
      </c>
      <c r="Q32" s="285">
        <v>0</v>
      </c>
      <c r="R32" s="286">
        <f>SUM(J32:Q32)</f>
        <v>0</v>
      </c>
      <c r="S32" s="287">
        <f>I32-R32</f>
        <v>0</v>
      </c>
      <c r="T32" s="288">
        <f>G32-I32</f>
        <v>0</v>
      </c>
      <c r="U32" s="289">
        <v>0</v>
      </c>
      <c r="V32" s="290" t="e">
        <f t="shared" si="0"/>
        <v>#DIV/0!</v>
      </c>
      <c r="X32" s="329"/>
      <c r="Y32" s="285"/>
      <c r="Z32" s="285"/>
      <c r="AA32" s="285"/>
      <c r="AB32" s="285"/>
      <c r="AC32" s="285"/>
      <c r="AD32" s="285"/>
      <c r="AE32" s="285"/>
    </row>
    <row r="33" spans="1:31" ht="18.95" customHeight="1">
      <c r="A33" s="312"/>
      <c r="B33" s="279"/>
      <c r="C33" s="280" t="s">
        <v>69</v>
      </c>
      <c r="D33" s="281" t="s">
        <v>43</v>
      </c>
      <c r="E33" s="282">
        <v>0</v>
      </c>
      <c r="F33" s="283"/>
      <c r="G33" s="282">
        <v>0</v>
      </c>
      <c r="H33" s="283"/>
      <c r="I33" s="284">
        <v>0</v>
      </c>
      <c r="J33" s="285">
        <v>0</v>
      </c>
      <c r="K33" s="285">
        <v>0</v>
      </c>
      <c r="L33" s="285">
        <v>0</v>
      </c>
      <c r="M33" s="285">
        <v>0</v>
      </c>
      <c r="N33" s="285">
        <v>0</v>
      </c>
      <c r="O33" s="285">
        <v>0</v>
      </c>
      <c r="P33" s="285">
        <v>0</v>
      </c>
      <c r="Q33" s="285">
        <v>0</v>
      </c>
      <c r="R33" s="286">
        <f>SUM(J33:Q33)</f>
        <v>0</v>
      </c>
      <c r="S33" s="287">
        <f>I33-R33</f>
        <v>0</v>
      </c>
      <c r="T33" s="288">
        <f>G33-I33</f>
        <v>0</v>
      </c>
      <c r="U33" s="289">
        <v>0</v>
      </c>
      <c r="V33" s="290" t="e">
        <f t="shared" si="0"/>
        <v>#DIV/0!</v>
      </c>
      <c r="X33" s="329"/>
      <c r="Y33" s="285"/>
      <c r="Z33" s="285"/>
      <c r="AA33" s="285"/>
      <c r="AB33" s="285"/>
      <c r="AC33" s="285"/>
      <c r="AD33" s="285"/>
      <c r="AE33" s="285"/>
    </row>
    <row r="34" spans="1:31" ht="18.95" customHeight="1">
      <c r="A34" s="312"/>
      <c r="B34" s="279"/>
      <c r="C34" s="280" t="s">
        <v>70</v>
      </c>
      <c r="D34" s="281" t="s">
        <v>43</v>
      </c>
      <c r="E34" s="282">
        <v>126000</v>
      </c>
      <c r="F34" s="283"/>
      <c r="G34" s="282">
        <v>0</v>
      </c>
      <c r="H34" s="283"/>
      <c r="I34" s="284">
        <v>0</v>
      </c>
      <c r="J34" s="285">
        <v>0</v>
      </c>
      <c r="K34" s="285">
        <v>0</v>
      </c>
      <c r="L34" s="285">
        <v>0</v>
      </c>
      <c r="M34" s="285">
        <v>0</v>
      </c>
      <c r="N34" s="285">
        <v>0</v>
      </c>
      <c r="O34" s="285">
        <v>0</v>
      </c>
      <c r="P34" s="285">
        <v>0</v>
      </c>
      <c r="Q34" s="285">
        <v>0</v>
      </c>
      <c r="R34" s="286">
        <f>SUM(J34:Q34)</f>
        <v>0</v>
      </c>
      <c r="S34" s="287">
        <f>I34-R34</f>
        <v>0</v>
      </c>
      <c r="T34" s="288">
        <f>G34-I34</f>
        <v>0</v>
      </c>
      <c r="U34" s="289">
        <v>0</v>
      </c>
      <c r="V34" s="290" t="e">
        <f t="shared" si="0"/>
        <v>#DIV/0!</v>
      </c>
      <c r="X34" s="329"/>
      <c r="Y34" s="285"/>
      <c r="Z34" s="285"/>
      <c r="AA34" s="285"/>
      <c r="AB34" s="285"/>
      <c r="AC34" s="285"/>
      <c r="AD34" s="285"/>
      <c r="AE34" s="285"/>
    </row>
    <row r="35" spans="1:31" ht="18.95" customHeight="1">
      <c r="A35" s="312"/>
      <c r="B35" s="279"/>
      <c r="C35" s="280" t="s">
        <v>71</v>
      </c>
      <c r="D35" s="281" t="s">
        <v>43</v>
      </c>
      <c r="E35" s="282">
        <v>0</v>
      </c>
      <c r="F35" s="283"/>
      <c r="G35" s="282">
        <v>0</v>
      </c>
      <c r="H35" s="283"/>
      <c r="I35" s="284">
        <v>0</v>
      </c>
      <c r="J35" s="285">
        <v>0</v>
      </c>
      <c r="K35" s="285">
        <v>0</v>
      </c>
      <c r="L35" s="285">
        <v>0</v>
      </c>
      <c r="M35" s="285">
        <v>0</v>
      </c>
      <c r="N35" s="285">
        <v>0</v>
      </c>
      <c r="O35" s="285">
        <v>0</v>
      </c>
      <c r="P35" s="285">
        <v>0</v>
      </c>
      <c r="Q35" s="285">
        <v>0</v>
      </c>
      <c r="R35" s="286">
        <f>SUM(J35:Q35)</f>
        <v>0</v>
      </c>
      <c r="S35" s="287">
        <f>I35-R35</f>
        <v>0</v>
      </c>
      <c r="T35" s="288">
        <f>G35-I35</f>
        <v>0</v>
      </c>
      <c r="U35" s="289">
        <v>0</v>
      </c>
      <c r="V35" s="290" t="e">
        <f t="shared" si="0"/>
        <v>#DIV/0!</v>
      </c>
      <c r="X35" s="329"/>
      <c r="Y35" s="285"/>
      <c r="Z35" s="285"/>
      <c r="AA35" s="285"/>
      <c r="AB35" s="285"/>
      <c r="AC35" s="285"/>
      <c r="AD35" s="285"/>
      <c r="AE35" s="285"/>
    </row>
    <row r="36" spans="1:31" ht="18.95" customHeight="1">
      <c r="A36" s="312"/>
      <c r="B36" s="279"/>
      <c r="C36" s="280" t="s">
        <v>72</v>
      </c>
      <c r="D36" s="281" t="s">
        <v>43</v>
      </c>
      <c r="E36" s="282">
        <v>3750000</v>
      </c>
      <c r="F36" s="283"/>
      <c r="G36" s="282">
        <v>625000</v>
      </c>
      <c r="H36" s="283"/>
      <c r="I36" s="284">
        <v>375000</v>
      </c>
      <c r="J36" s="285">
        <v>0</v>
      </c>
      <c r="K36" s="285">
        <v>0</v>
      </c>
      <c r="L36" s="285">
        <v>0</v>
      </c>
      <c r="M36" s="285">
        <v>0</v>
      </c>
      <c r="N36" s="285">
        <v>0</v>
      </c>
      <c r="O36" s="285">
        <v>0</v>
      </c>
      <c r="P36" s="285">
        <v>0</v>
      </c>
      <c r="Q36" s="285">
        <v>0</v>
      </c>
      <c r="R36" s="286">
        <f>SUM(J36:Q36)</f>
        <v>0</v>
      </c>
      <c r="S36" s="287">
        <f>I36-R36</f>
        <v>375000</v>
      </c>
      <c r="T36" s="288">
        <f>G36-I36</f>
        <v>250000</v>
      </c>
      <c r="U36" s="289">
        <v>0</v>
      </c>
      <c r="V36" s="290" t="e">
        <f t="shared" si="0"/>
        <v>#DIV/0!</v>
      </c>
      <c r="X36" s="329"/>
      <c r="Y36" s="285"/>
      <c r="Z36" s="285"/>
      <c r="AA36" s="285"/>
      <c r="AB36" s="285"/>
      <c r="AC36" s="285"/>
      <c r="AD36" s="285"/>
      <c r="AE36" s="285"/>
    </row>
    <row r="37" spans="1:31" ht="18.95" customHeight="1">
      <c r="A37" s="313"/>
      <c r="B37" s="279"/>
      <c r="C37" s="280" t="s">
        <v>73</v>
      </c>
      <c r="D37" s="281" t="s">
        <v>43</v>
      </c>
      <c r="E37" s="282">
        <v>0</v>
      </c>
      <c r="F37" s="283"/>
      <c r="G37" s="282">
        <v>0</v>
      </c>
      <c r="H37" s="283"/>
      <c r="I37" s="284">
        <v>0</v>
      </c>
      <c r="J37" s="285">
        <v>0</v>
      </c>
      <c r="K37" s="285">
        <v>0</v>
      </c>
      <c r="L37" s="285">
        <v>0</v>
      </c>
      <c r="M37" s="285">
        <v>0</v>
      </c>
      <c r="N37" s="285">
        <v>0</v>
      </c>
      <c r="O37" s="285">
        <v>0</v>
      </c>
      <c r="P37" s="285">
        <v>0</v>
      </c>
      <c r="Q37" s="285">
        <v>0</v>
      </c>
      <c r="R37" s="286">
        <f>SUM(J37:Q37)</f>
        <v>0</v>
      </c>
      <c r="S37" s="287">
        <f>I37-R37</f>
        <v>0</v>
      </c>
      <c r="T37" s="288">
        <f>G37-I37</f>
        <v>0</v>
      </c>
      <c r="U37" s="289">
        <v>0</v>
      </c>
      <c r="V37" s="290" t="e">
        <f t="shared" si="0"/>
        <v>#DIV/0!</v>
      </c>
      <c r="X37" s="329"/>
      <c r="Y37" s="285"/>
      <c r="Z37" s="285"/>
      <c r="AA37" s="285"/>
      <c r="AB37" s="285"/>
      <c r="AC37" s="285"/>
      <c r="AD37" s="285"/>
      <c r="AE37" s="285"/>
    </row>
    <row r="38" spans="1:31" ht="18.95" customHeight="1">
      <c r="A38" s="314" t="s">
        <v>74</v>
      </c>
      <c r="B38" s="291" t="s">
        <v>38</v>
      </c>
      <c r="C38" s="292" t="s">
        <v>75</v>
      </c>
      <c r="D38" s="293" t="s">
        <v>40</v>
      </c>
      <c r="E38" s="294">
        <v>8049475</v>
      </c>
      <c r="F38" s="295"/>
      <c r="G38" s="294">
        <v>8583000</v>
      </c>
      <c r="H38" s="295"/>
      <c r="I38" s="296">
        <v>8583000</v>
      </c>
      <c r="J38" s="273">
        <v>0</v>
      </c>
      <c r="K38" s="273">
        <v>0</v>
      </c>
      <c r="L38" s="273">
        <v>1900000</v>
      </c>
      <c r="M38" s="273">
        <v>4270000</v>
      </c>
      <c r="N38" s="273">
        <v>1470000</v>
      </c>
      <c r="O38" s="273">
        <v>0</v>
      </c>
      <c r="P38" s="273">
        <v>0</v>
      </c>
      <c r="Q38" s="273">
        <v>0</v>
      </c>
      <c r="R38" s="274">
        <f>SUM(J38:Q38)</f>
        <v>7640000</v>
      </c>
      <c r="S38" s="275">
        <f>I38-R38</f>
        <v>943000</v>
      </c>
      <c r="T38" s="276">
        <f>G38-I38</f>
        <v>0</v>
      </c>
      <c r="U38" s="297">
        <v>128</v>
      </c>
      <c r="V38" s="278">
        <f t="shared" si="0"/>
        <v>59687.5</v>
      </c>
      <c r="X38" s="328"/>
      <c r="Y38" s="273"/>
      <c r="Z38" s="273"/>
      <c r="AA38" s="273"/>
      <c r="AB38" s="273"/>
      <c r="AC38" s="273"/>
      <c r="AD38" s="273"/>
      <c r="AE38" s="273"/>
    </row>
    <row r="39" spans="1:31" ht="18.95" customHeight="1">
      <c r="A39" s="312"/>
      <c r="B39" s="279" t="s">
        <v>38</v>
      </c>
      <c r="C39" s="280" t="s">
        <v>75</v>
      </c>
      <c r="D39" s="281" t="s">
        <v>43</v>
      </c>
      <c r="E39" s="282">
        <v>0</v>
      </c>
      <c r="F39" s="283"/>
      <c r="G39" s="282">
        <v>0</v>
      </c>
      <c r="H39" s="283"/>
      <c r="I39" s="284">
        <v>0</v>
      </c>
      <c r="J39" s="285">
        <v>0</v>
      </c>
      <c r="K39" s="285">
        <v>0</v>
      </c>
      <c r="L39" s="285">
        <v>0</v>
      </c>
      <c r="M39" s="285">
        <v>-235800</v>
      </c>
      <c r="N39" s="285">
        <v>-527600</v>
      </c>
      <c r="O39" s="285">
        <v>-399200</v>
      </c>
      <c r="P39" s="285">
        <v>0</v>
      </c>
      <c r="Q39" s="285">
        <v>0</v>
      </c>
      <c r="R39" s="286">
        <f>SUM(J39:Q39)</f>
        <v>-1162600</v>
      </c>
      <c r="S39" s="287">
        <f>I39-R39</f>
        <v>1162600</v>
      </c>
      <c r="T39" s="288">
        <f>G39-I39</f>
        <v>0</v>
      </c>
      <c r="U39" s="289">
        <v>0</v>
      </c>
      <c r="V39" s="290" t="e">
        <f t="shared" si="0"/>
        <v>#DIV/0!</v>
      </c>
      <c r="X39" s="329"/>
      <c r="Y39" s="285"/>
      <c r="Z39" s="285"/>
      <c r="AA39" s="285"/>
      <c r="AB39" s="285"/>
      <c r="AC39" s="285"/>
      <c r="AD39" s="285"/>
      <c r="AE39" s="285"/>
    </row>
    <row r="40" spans="1:31" ht="18.95" customHeight="1">
      <c r="A40" s="312"/>
      <c r="B40" s="279" t="s">
        <v>53</v>
      </c>
      <c r="C40" s="280" t="s">
        <v>76</v>
      </c>
      <c r="D40" s="281" t="s">
        <v>43</v>
      </c>
      <c r="E40" s="282">
        <v>0</v>
      </c>
      <c r="F40" s="283"/>
      <c r="G40" s="282">
        <v>0</v>
      </c>
      <c r="H40" s="283"/>
      <c r="I40" s="284">
        <v>0</v>
      </c>
      <c r="J40" s="285">
        <v>0</v>
      </c>
      <c r="K40" s="285">
        <v>0</v>
      </c>
      <c r="L40" s="285">
        <v>221600</v>
      </c>
      <c r="M40" s="285">
        <v>495200</v>
      </c>
      <c r="N40" s="285">
        <v>376200</v>
      </c>
      <c r="O40" s="285">
        <v>0</v>
      </c>
      <c r="P40" s="285">
        <v>0</v>
      </c>
      <c r="Q40" s="285">
        <v>0</v>
      </c>
      <c r="R40" s="286">
        <f>SUM(J40:Q40)</f>
        <v>1093000</v>
      </c>
      <c r="S40" s="287">
        <f>I40-R40</f>
        <v>-1093000</v>
      </c>
      <c r="T40" s="288">
        <f>G40-I40</f>
        <v>0</v>
      </c>
      <c r="U40" s="289">
        <v>0</v>
      </c>
      <c r="V40" s="290" t="e">
        <f t="shared" si="0"/>
        <v>#DIV/0!</v>
      </c>
      <c r="X40" s="329"/>
      <c r="Y40" s="285"/>
      <c r="Z40" s="285"/>
      <c r="AA40" s="285"/>
      <c r="AB40" s="285"/>
      <c r="AC40" s="285"/>
      <c r="AD40" s="285"/>
      <c r="AE40" s="285"/>
    </row>
    <row r="41" spans="1:31" ht="18.95" customHeight="1">
      <c r="A41" s="312"/>
      <c r="B41" s="279"/>
      <c r="C41" s="280" t="s">
        <v>75</v>
      </c>
      <c r="D41" s="281" t="s">
        <v>43</v>
      </c>
      <c r="E41" s="282">
        <v>0</v>
      </c>
      <c r="F41" s="283"/>
      <c r="G41" s="282">
        <v>0</v>
      </c>
      <c r="H41" s="283"/>
      <c r="I41" s="284">
        <v>0</v>
      </c>
      <c r="J41" s="285">
        <v>0</v>
      </c>
      <c r="K41" s="285">
        <v>0</v>
      </c>
      <c r="L41" s="285">
        <v>0</v>
      </c>
      <c r="M41" s="285">
        <v>0</v>
      </c>
      <c r="N41" s="285">
        <v>0</v>
      </c>
      <c r="O41" s="285">
        <v>0</v>
      </c>
      <c r="P41" s="285">
        <v>0</v>
      </c>
      <c r="Q41" s="285">
        <v>0</v>
      </c>
      <c r="R41" s="286">
        <f>SUM(J41:Q41)</f>
        <v>0</v>
      </c>
      <c r="S41" s="287">
        <f>I41-R41</f>
        <v>0</v>
      </c>
      <c r="T41" s="288">
        <f>G41-I41</f>
        <v>0</v>
      </c>
      <c r="U41" s="289">
        <v>0</v>
      </c>
      <c r="V41" s="290" t="e">
        <f t="shared" si="0"/>
        <v>#DIV/0!</v>
      </c>
      <c r="X41" s="329"/>
      <c r="Y41" s="285"/>
      <c r="Z41" s="285"/>
      <c r="AA41" s="285"/>
      <c r="AB41" s="285"/>
      <c r="AC41" s="285"/>
      <c r="AD41" s="285"/>
      <c r="AE41" s="285"/>
    </row>
    <row r="42" spans="1:31" ht="18.95" customHeight="1">
      <c r="A42" s="313"/>
      <c r="B42" s="279"/>
      <c r="C42" s="280" t="s">
        <v>76</v>
      </c>
      <c r="D42" s="281" t="s">
        <v>43</v>
      </c>
      <c r="E42" s="282">
        <v>0</v>
      </c>
      <c r="F42" s="283"/>
      <c r="G42" s="282">
        <v>0</v>
      </c>
      <c r="H42" s="283"/>
      <c r="I42" s="284">
        <v>0</v>
      </c>
      <c r="J42" s="285">
        <v>0</v>
      </c>
      <c r="K42" s="285">
        <v>0</v>
      </c>
      <c r="L42" s="285">
        <v>0</v>
      </c>
      <c r="M42" s="285">
        <v>0</v>
      </c>
      <c r="N42" s="285">
        <v>0</v>
      </c>
      <c r="O42" s="285">
        <v>0</v>
      </c>
      <c r="P42" s="285">
        <v>0</v>
      </c>
      <c r="Q42" s="285">
        <v>0</v>
      </c>
      <c r="R42" s="286">
        <f>SUM(J42:Q42)</f>
        <v>0</v>
      </c>
      <c r="S42" s="287">
        <f>I42-R42</f>
        <v>0</v>
      </c>
      <c r="T42" s="288">
        <f>G42-I42</f>
        <v>0</v>
      </c>
      <c r="U42" s="289">
        <v>0</v>
      </c>
      <c r="V42" s="290" t="e">
        <f t="shared" si="0"/>
        <v>#DIV/0!</v>
      </c>
      <c r="X42" s="329"/>
      <c r="Y42" s="285"/>
      <c r="Z42" s="285"/>
      <c r="AA42" s="285"/>
      <c r="AB42" s="285"/>
      <c r="AC42" s="285"/>
      <c r="AD42" s="285"/>
      <c r="AE42" s="285"/>
    </row>
    <row r="43" spans="1:31" ht="18.95" customHeight="1">
      <c r="A43" s="314" t="s">
        <v>77</v>
      </c>
      <c r="B43" s="291" t="s">
        <v>38</v>
      </c>
      <c r="C43" s="292" t="s">
        <v>78</v>
      </c>
      <c r="D43" s="293" t="s">
        <v>40</v>
      </c>
      <c r="E43" s="294">
        <v>822100</v>
      </c>
      <c r="F43" s="295"/>
      <c r="G43" s="294">
        <v>679200</v>
      </c>
      <c r="H43" s="295"/>
      <c r="I43" s="296">
        <v>679200</v>
      </c>
      <c r="J43" s="273">
        <v>0</v>
      </c>
      <c r="K43" s="273">
        <v>0</v>
      </c>
      <c r="L43" s="273">
        <v>0</v>
      </c>
      <c r="M43" s="273">
        <v>679200</v>
      </c>
      <c r="N43" s="273">
        <v>0</v>
      </c>
      <c r="O43" s="273">
        <v>0</v>
      </c>
      <c r="P43" s="273">
        <v>0</v>
      </c>
      <c r="Q43" s="273">
        <v>0</v>
      </c>
      <c r="R43" s="274">
        <f>SUM(J43:Q43)</f>
        <v>679200</v>
      </c>
      <c r="S43" s="275">
        <f>I43-R43</f>
        <v>0</v>
      </c>
      <c r="T43" s="276">
        <f>G43-I43</f>
        <v>0</v>
      </c>
      <c r="U43" s="297">
        <v>35</v>
      </c>
      <c r="V43" s="278">
        <f t="shared" si="0"/>
        <v>19405.714285714286</v>
      </c>
      <c r="X43" s="328"/>
      <c r="Y43" s="273"/>
      <c r="Z43" s="273"/>
      <c r="AA43" s="273"/>
      <c r="AB43" s="273"/>
      <c r="AC43" s="273"/>
      <c r="AD43" s="273"/>
      <c r="AE43" s="273"/>
    </row>
    <row r="44" spans="1:31" ht="18.95" customHeight="1">
      <c r="A44" s="312"/>
      <c r="B44" s="279" t="s">
        <v>38</v>
      </c>
      <c r="C44" s="280" t="s">
        <v>78</v>
      </c>
      <c r="D44" s="281" t="s">
        <v>43</v>
      </c>
      <c r="E44" s="282">
        <v>0</v>
      </c>
      <c r="F44" s="283"/>
      <c r="G44" s="282">
        <v>0</v>
      </c>
      <c r="H44" s="283"/>
      <c r="I44" s="284">
        <v>0</v>
      </c>
      <c r="J44" s="285">
        <v>0</v>
      </c>
      <c r="K44" s="285">
        <v>0</v>
      </c>
      <c r="L44" s="285">
        <v>325000</v>
      </c>
      <c r="M44" s="285">
        <v>0</v>
      </c>
      <c r="N44" s="285">
        <v>-54300</v>
      </c>
      <c r="O44" s="285">
        <v>0</v>
      </c>
      <c r="P44" s="285">
        <v>0</v>
      </c>
      <c r="Q44" s="285">
        <v>0</v>
      </c>
      <c r="R44" s="286">
        <f>SUM(J44:Q44)</f>
        <v>270700</v>
      </c>
      <c r="S44" s="287">
        <f>I44-R44</f>
        <v>-270700</v>
      </c>
      <c r="T44" s="288">
        <f>G44-I44</f>
        <v>0</v>
      </c>
      <c r="U44" s="289">
        <v>0</v>
      </c>
      <c r="V44" s="290" t="e">
        <f t="shared" si="0"/>
        <v>#DIV/0!</v>
      </c>
      <c r="X44" s="329"/>
      <c r="Y44" s="285"/>
      <c r="Z44" s="285"/>
      <c r="AA44" s="285"/>
      <c r="AB44" s="285"/>
      <c r="AC44" s="285"/>
      <c r="AD44" s="285"/>
      <c r="AE44" s="285"/>
    </row>
    <row r="45" spans="1:31" ht="18.95" customHeight="1">
      <c r="A45" s="312"/>
      <c r="B45" s="279" t="s">
        <v>38</v>
      </c>
      <c r="C45" s="280" t="s">
        <v>79</v>
      </c>
      <c r="D45" s="281" t="s">
        <v>40</v>
      </c>
      <c r="E45" s="282">
        <v>3684600</v>
      </c>
      <c r="F45" s="283"/>
      <c r="G45" s="282">
        <v>3756250</v>
      </c>
      <c r="H45" s="283"/>
      <c r="I45" s="284">
        <v>3756250</v>
      </c>
      <c r="J45" s="285">
        <v>0</v>
      </c>
      <c r="K45" s="285">
        <v>0</v>
      </c>
      <c r="L45" s="285">
        <v>0</v>
      </c>
      <c r="M45" s="285">
        <v>1280800</v>
      </c>
      <c r="N45" s="285">
        <v>1680000</v>
      </c>
      <c r="O45" s="285">
        <v>0</v>
      </c>
      <c r="P45" s="285">
        <v>0</v>
      </c>
      <c r="Q45" s="285">
        <v>0</v>
      </c>
      <c r="R45" s="286">
        <f>SUM(J45:Q45)</f>
        <v>2960800</v>
      </c>
      <c r="S45" s="287">
        <f>I45-R45</f>
        <v>795450</v>
      </c>
      <c r="T45" s="288">
        <f>G45-I45</f>
        <v>0</v>
      </c>
      <c r="U45" s="289">
        <v>30</v>
      </c>
      <c r="V45" s="290">
        <f t="shared" si="0"/>
        <v>98693.333333333328</v>
      </c>
      <c r="X45" s="329"/>
      <c r="Y45" s="285"/>
      <c r="Z45" s="285"/>
      <c r="AA45" s="285"/>
      <c r="AB45" s="285"/>
      <c r="AC45" s="285"/>
      <c r="AD45" s="285"/>
      <c r="AE45" s="285"/>
    </row>
    <row r="46" spans="1:31" ht="18.95" customHeight="1">
      <c r="A46" s="312"/>
      <c r="B46" s="279" t="s">
        <v>38</v>
      </c>
      <c r="C46" s="280" t="s">
        <v>79</v>
      </c>
      <c r="D46" s="281" t="s">
        <v>43</v>
      </c>
      <c r="E46" s="282">
        <v>0</v>
      </c>
      <c r="F46" s="283"/>
      <c r="G46" s="282">
        <v>0</v>
      </c>
      <c r="H46" s="283"/>
      <c r="I46" s="284">
        <v>0</v>
      </c>
      <c r="J46" s="285">
        <v>0</v>
      </c>
      <c r="K46" s="285">
        <v>0</v>
      </c>
      <c r="L46" s="285">
        <v>0</v>
      </c>
      <c r="M46" s="285">
        <v>259400</v>
      </c>
      <c r="N46" s="285">
        <v>0</v>
      </c>
      <c r="O46" s="285">
        <v>0</v>
      </c>
      <c r="P46" s="285">
        <v>0</v>
      </c>
      <c r="Q46" s="285">
        <v>0</v>
      </c>
      <c r="R46" s="286">
        <f>SUM(J46:Q46)</f>
        <v>259400</v>
      </c>
      <c r="S46" s="287">
        <f>I46-R46</f>
        <v>-259400</v>
      </c>
      <c r="T46" s="288">
        <f>G46-I46</f>
        <v>0</v>
      </c>
      <c r="U46" s="289">
        <v>0</v>
      </c>
      <c r="V46" s="290" t="e">
        <f t="shared" si="0"/>
        <v>#DIV/0!</v>
      </c>
      <c r="X46" s="329"/>
      <c r="Y46" s="285"/>
      <c r="Z46" s="285"/>
      <c r="AA46" s="285"/>
      <c r="AB46" s="285"/>
      <c r="AC46" s="285"/>
      <c r="AD46" s="285"/>
      <c r="AE46" s="285"/>
    </row>
    <row r="47" spans="1:31" ht="18.95" customHeight="1">
      <c r="A47" s="312"/>
      <c r="B47" s="279" t="s">
        <v>38</v>
      </c>
      <c r="C47" s="280" t="s">
        <v>80</v>
      </c>
      <c r="D47" s="281" t="s">
        <v>40</v>
      </c>
      <c r="E47" s="282">
        <v>1771450</v>
      </c>
      <c r="F47" s="283"/>
      <c r="G47" s="282">
        <v>1879290</v>
      </c>
      <c r="H47" s="283"/>
      <c r="I47" s="284">
        <v>1879290</v>
      </c>
      <c r="J47" s="285">
        <v>0</v>
      </c>
      <c r="K47" s="285">
        <v>0</v>
      </c>
      <c r="L47" s="285">
        <v>0</v>
      </c>
      <c r="M47" s="285">
        <v>0</v>
      </c>
      <c r="N47" s="285">
        <v>0</v>
      </c>
      <c r="O47" s="285">
        <v>0</v>
      </c>
      <c r="P47" s="285">
        <v>0</v>
      </c>
      <c r="Q47" s="285">
        <v>0</v>
      </c>
      <c r="R47" s="286">
        <f>SUM(J47:Q47)</f>
        <v>0</v>
      </c>
      <c r="S47" s="287">
        <f>I47-R47</f>
        <v>1879290</v>
      </c>
      <c r="T47" s="288">
        <f>G47-I47</f>
        <v>0</v>
      </c>
      <c r="U47" s="289">
        <v>10</v>
      </c>
      <c r="V47" s="290">
        <f t="shared" si="0"/>
        <v>0</v>
      </c>
      <c r="X47" s="329"/>
      <c r="Y47" s="285"/>
      <c r="Z47" s="285"/>
      <c r="AA47" s="285"/>
      <c r="AB47" s="285"/>
      <c r="AC47" s="285"/>
      <c r="AD47" s="285"/>
      <c r="AE47" s="285"/>
    </row>
    <row r="48" spans="1:31" ht="18.95" customHeight="1">
      <c r="A48" s="312"/>
      <c r="B48" s="279" t="s">
        <v>53</v>
      </c>
      <c r="C48" s="280" t="s">
        <v>81</v>
      </c>
      <c r="D48" s="281" t="s">
        <v>43</v>
      </c>
      <c r="E48" s="282">
        <v>0</v>
      </c>
      <c r="F48" s="283"/>
      <c r="G48" s="282">
        <v>0</v>
      </c>
      <c r="H48" s="283"/>
      <c r="I48" s="284">
        <v>0</v>
      </c>
      <c r="J48" s="285">
        <v>0</v>
      </c>
      <c r="K48" s="285">
        <v>0</v>
      </c>
      <c r="L48" s="285">
        <v>0</v>
      </c>
      <c r="M48" s="285">
        <v>48280</v>
      </c>
      <c r="N48" s="285">
        <v>0</v>
      </c>
      <c r="O48" s="285">
        <v>0</v>
      </c>
      <c r="P48" s="285">
        <v>0</v>
      </c>
      <c r="Q48" s="285">
        <v>0</v>
      </c>
      <c r="R48" s="286">
        <f>SUM(J48:Q48)</f>
        <v>48280</v>
      </c>
      <c r="S48" s="287">
        <f>I48-R48</f>
        <v>-48280</v>
      </c>
      <c r="T48" s="288">
        <f>G48-I48</f>
        <v>0</v>
      </c>
      <c r="U48" s="289">
        <v>0</v>
      </c>
      <c r="V48" s="290" t="e">
        <f t="shared" si="0"/>
        <v>#DIV/0!</v>
      </c>
      <c r="X48" s="329"/>
      <c r="Y48" s="285"/>
      <c r="Z48" s="285"/>
      <c r="AA48" s="285"/>
      <c r="AB48" s="285"/>
      <c r="AC48" s="285"/>
      <c r="AD48" s="285"/>
      <c r="AE48" s="285"/>
    </row>
    <row r="49" spans="1:31" ht="18.95" customHeight="1">
      <c r="A49" s="312"/>
      <c r="B49" s="279" t="s">
        <v>53</v>
      </c>
      <c r="C49" s="280" t="s">
        <v>82</v>
      </c>
      <c r="D49" s="281" t="s">
        <v>43</v>
      </c>
      <c r="E49" s="282">
        <v>0</v>
      </c>
      <c r="F49" s="283"/>
      <c r="G49" s="282">
        <v>0</v>
      </c>
      <c r="H49" s="283"/>
      <c r="I49" s="284">
        <v>0</v>
      </c>
      <c r="J49" s="285">
        <v>0</v>
      </c>
      <c r="K49" s="285">
        <v>0</v>
      </c>
      <c r="L49" s="285">
        <v>14700</v>
      </c>
      <c r="M49" s="285">
        <v>33880</v>
      </c>
      <c r="N49" s="285">
        <v>0</v>
      </c>
      <c r="O49" s="285">
        <v>0</v>
      </c>
      <c r="P49" s="285">
        <v>0</v>
      </c>
      <c r="Q49" s="285">
        <v>0</v>
      </c>
      <c r="R49" s="286">
        <f>SUM(J49:Q49)</f>
        <v>48580</v>
      </c>
      <c r="S49" s="287">
        <f>I49-R49</f>
        <v>-48580</v>
      </c>
      <c r="T49" s="288">
        <f>G49-I49</f>
        <v>0</v>
      </c>
      <c r="U49" s="289">
        <v>0</v>
      </c>
      <c r="V49" s="290" t="e">
        <f t="shared" si="0"/>
        <v>#DIV/0!</v>
      </c>
      <c r="X49" s="329"/>
      <c r="Y49" s="285"/>
      <c r="Z49" s="285"/>
      <c r="AA49" s="285"/>
      <c r="AB49" s="285"/>
      <c r="AC49" s="285"/>
      <c r="AD49" s="285"/>
      <c r="AE49" s="285"/>
    </row>
    <row r="50" spans="1:31" ht="18.95" customHeight="1">
      <c r="A50" s="312"/>
      <c r="B50" s="279" t="s">
        <v>83</v>
      </c>
      <c r="C50" s="280" t="s">
        <v>82</v>
      </c>
      <c r="D50" s="281" t="s">
        <v>43</v>
      </c>
      <c r="E50" s="282">
        <v>0</v>
      </c>
      <c r="F50" s="283"/>
      <c r="G50" s="282">
        <v>0</v>
      </c>
      <c r="H50" s="283"/>
      <c r="I50" s="284">
        <v>0</v>
      </c>
      <c r="J50" s="285">
        <v>0</v>
      </c>
      <c r="K50" s="285">
        <v>0</v>
      </c>
      <c r="L50" s="285">
        <v>0</v>
      </c>
      <c r="M50" s="285">
        <v>510900</v>
      </c>
      <c r="N50" s="285">
        <v>0</v>
      </c>
      <c r="O50" s="285">
        <v>0</v>
      </c>
      <c r="P50" s="285">
        <v>0</v>
      </c>
      <c r="Q50" s="285">
        <v>0</v>
      </c>
      <c r="R50" s="286">
        <f>SUM(J50:Q50)</f>
        <v>510900</v>
      </c>
      <c r="S50" s="287">
        <f>I50-R50</f>
        <v>-510900</v>
      </c>
      <c r="T50" s="288">
        <f>G50-I50</f>
        <v>0</v>
      </c>
      <c r="U50" s="289">
        <v>0</v>
      </c>
      <c r="V50" s="290" t="e">
        <f t="shared" si="0"/>
        <v>#DIV/0!</v>
      </c>
      <c r="X50" s="329"/>
      <c r="Y50" s="285"/>
      <c r="Z50" s="285"/>
      <c r="AA50" s="285"/>
      <c r="AB50" s="285"/>
      <c r="AC50" s="285"/>
      <c r="AD50" s="285"/>
      <c r="AE50" s="285"/>
    </row>
    <row r="51" spans="1:31" ht="18.95" customHeight="1">
      <c r="A51" s="312"/>
      <c r="B51" s="279" t="s">
        <v>55</v>
      </c>
      <c r="C51" s="280" t="s">
        <v>82</v>
      </c>
      <c r="D51" s="281" t="s">
        <v>43</v>
      </c>
      <c r="E51" s="282">
        <v>0</v>
      </c>
      <c r="F51" s="283"/>
      <c r="G51" s="282">
        <v>0</v>
      </c>
      <c r="H51" s="283"/>
      <c r="I51" s="284">
        <v>0</v>
      </c>
      <c r="J51" s="285">
        <v>0</v>
      </c>
      <c r="K51" s="285">
        <v>0</v>
      </c>
      <c r="L51" s="285">
        <v>0</v>
      </c>
      <c r="M51" s="285">
        <v>0</v>
      </c>
      <c r="N51" s="285">
        <v>17420</v>
      </c>
      <c r="O51" s="285">
        <v>0</v>
      </c>
      <c r="P51" s="285">
        <v>0</v>
      </c>
      <c r="Q51" s="285">
        <v>0</v>
      </c>
      <c r="R51" s="286">
        <f>SUM(J51:Q51)</f>
        <v>17420</v>
      </c>
      <c r="S51" s="287">
        <f>I51-R51</f>
        <v>-17420</v>
      </c>
      <c r="T51" s="288">
        <f>G51-I51</f>
        <v>0</v>
      </c>
      <c r="U51" s="289">
        <v>0</v>
      </c>
      <c r="V51" s="290" t="e">
        <f t="shared" si="0"/>
        <v>#DIV/0!</v>
      </c>
      <c r="X51" s="329"/>
      <c r="Y51" s="285"/>
      <c r="Z51" s="285"/>
      <c r="AA51" s="285"/>
      <c r="AB51" s="285"/>
      <c r="AC51" s="285"/>
      <c r="AD51" s="285"/>
      <c r="AE51" s="285"/>
    </row>
    <row r="52" spans="1:31" ht="18.95" customHeight="1">
      <c r="A52" s="312"/>
      <c r="B52" s="279" t="s">
        <v>84</v>
      </c>
      <c r="C52" s="280" t="s">
        <v>79</v>
      </c>
      <c r="D52" s="281" t="s">
        <v>43</v>
      </c>
      <c r="E52" s="282">
        <v>0</v>
      </c>
      <c r="F52" s="283"/>
      <c r="G52" s="282">
        <v>0</v>
      </c>
      <c r="H52" s="283"/>
      <c r="I52" s="284">
        <v>220000</v>
      </c>
      <c r="J52" s="285">
        <v>0</v>
      </c>
      <c r="K52" s="285">
        <v>0</v>
      </c>
      <c r="L52" s="285">
        <v>0</v>
      </c>
      <c r="M52" s="285">
        <v>0</v>
      </c>
      <c r="N52" s="285">
        <v>0</v>
      </c>
      <c r="O52" s="285">
        <v>220000</v>
      </c>
      <c r="P52" s="285">
        <v>0</v>
      </c>
      <c r="Q52" s="285">
        <v>0</v>
      </c>
      <c r="R52" s="286">
        <f>SUM(J52:Q52)</f>
        <v>220000</v>
      </c>
      <c r="S52" s="287">
        <f>I52-R52</f>
        <v>0</v>
      </c>
      <c r="T52" s="288">
        <f>G52-I52</f>
        <v>-220000</v>
      </c>
      <c r="U52" s="289">
        <v>0</v>
      </c>
      <c r="V52" s="290" t="e">
        <f t="shared" si="0"/>
        <v>#DIV/0!</v>
      </c>
      <c r="X52" s="329"/>
      <c r="Y52" s="285"/>
      <c r="Z52" s="285"/>
      <c r="AA52" s="285"/>
      <c r="AB52" s="285"/>
      <c r="AC52" s="285"/>
      <c r="AD52" s="285"/>
      <c r="AE52" s="285"/>
    </row>
    <row r="53" spans="1:31" ht="18.95" customHeight="1">
      <c r="A53" s="312"/>
      <c r="B53" s="279"/>
      <c r="C53" s="280" t="s">
        <v>78</v>
      </c>
      <c r="D53" s="281" t="s">
        <v>43</v>
      </c>
      <c r="E53" s="282">
        <v>0</v>
      </c>
      <c r="F53" s="283"/>
      <c r="G53" s="282">
        <v>250000</v>
      </c>
      <c r="H53" s="283"/>
      <c r="I53" s="284">
        <v>325000</v>
      </c>
      <c r="J53" s="285">
        <v>0</v>
      </c>
      <c r="K53" s="285">
        <v>0</v>
      </c>
      <c r="L53" s="285">
        <v>0</v>
      </c>
      <c r="M53" s="285">
        <v>0</v>
      </c>
      <c r="N53" s="285">
        <v>0</v>
      </c>
      <c r="O53" s="285">
        <v>0</v>
      </c>
      <c r="P53" s="285">
        <v>0</v>
      </c>
      <c r="Q53" s="285">
        <v>0</v>
      </c>
      <c r="R53" s="286">
        <f>SUM(J53:Q53)</f>
        <v>0</v>
      </c>
      <c r="S53" s="287">
        <f>I53-R53</f>
        <v>325000</v>
      </c>
      <c r="T53" s="288">
        <f>G53-I53</f>
        <v>-75000</v>
      </c>
      <c r="U53" s="289">
        <v>0</v>
      </c>
      <c r="V53" s="290" t="e">
        <f t="shared" si="0"/>
        <v>#DIV/0!</v>
      </c>
      <c r="X53" s="329"/>
      <c r="Y53" s="285"/>
      <c r="Z53" s="285"/>
      <c r="AA53" s="285"/>
      <c r="AB53" s="285"/>
      <c r="AC53" s="285"/>
      <c r="AD53" s="285"/>
      <c r="AE53" s="285"/>
    </row>
    <row r="54" spans="1:31" ht="18.95" customHeight="1">
      <c r="A54" s="312"/>
      <c r="B54" s="279"/>
      <c r="C54" s="280" t="s">
        <v>81</v>
      </c>
      <c r="D54" s="281" t="s">
        <v>43</v>
      </c>
      <c r="E54" s="282">
        <v>0</v>
      </c>
      <c r="F54" s="283"/>
      <c r="G54" s="282">
        <v>0</v>
      </c>
      <c r="H54" s="283"/>
      <c r="I54" s="284">
        <v>0</v>
      </c>
      <c r="J54" s="285">
        <v>0</v>
      </c>
      <c r="K54" s="285">
        <v>0</v>
      </c>
      <c r="L54" s="285">
        <v>0</v>
      </c>
      <c r="M54" s="285">
        <v>0</v>
      </c>
      <c r="N54" s="285">
        <v>0</v>
      </c>
      <c r="O54" s="285">
        <v>0</v>
      </c>
      <c r="P54" s="285">
        <v>0</v>
      </c>
      <c r="Q54" s="285">
        <v>0</v>
      </c>
      <c r="R54" s="286">
        <f>SUM(J54:Q54)</f>
        <v>0</v>
      </c>
      <c r="S54" s="287">
        <f>I54-R54</f>
        <v>0</v>
      </c>
      <c r="T54" s="288">
        <f>G54-I54</f>
        <v>0</v>
      </c>
      <c r="U54" s="289">
        <v>0</v>
      </c>
      <c r="V54" s="290" t="e">
        <f t="shared" si="0"/>
        <v>#DIV/0!</v>
      </c>
      <c r="X54" s="329"/>
      <c r="Y54" s="285"/>
      <c r="Z54" s="285"/>
      <c r="AA54" s="285"/>
      <c r="AB54" s="285"/>
      <c r="AC54" s="285"/>
      <c r="AD54" s="285"/>
      <c r="AE54" s="285"/>
    </row>
    <row r="55" spans="1:31" ht="18.95" customHeight="1">
      <c r="A55" s="312"/>
      <c r="B55" s="279"/>
      <c r="C55" s="280" t="s">
        <v>79</v>
      </c>
      <c r="D55" s="281" t="s">
        <v>43</v>
      </c>
      <c r="E55" s="282">
        <v>911360</v>
      </c>
      <c r="F55" s="283"/>
      <c r="G55" s="282">
        <v>945000</v>
      </c>
      <c r="H55" s="283"/>
      <c r="I55" s="284">
        <v>945000</v>
      </c>
      <c r="J55" s="285">
        <v>0</v>
      </c>
      <c r="K55" s="285">
        <v>0</v>
      </c>
      <c r="L55" s="285">
        <v>0</v>
      </c>
      <c r="M55" s="285">
        <v>0</v>
      </c>
      <c r="N55" s="285">
        <v>0</v>
      </c>
      <c r="O55" s="285">
        <v>0</v>
      </c>
      <c r="P55" s="285">
        <v>0</v>
      </c>
      <c r="Q55" s="285">
        <v>0</v>
      </c>
      <c r="R55" s="286">
        <f>SUM(J55:Q55)</f>
        <v>0</v>
      </c>
      <c r="S55" s="287">
        <f>I55-R55</f>
        <v>945000</v>
      </c>
      <c r="T55" s="288">
        <f>G55-I55</f>
        <v>0</v>
      </c>
      <c r="U55" s="289">
        <v>0</v>
      </c>
      <c r="V55" s="290" t="e">
        <f t="shared" si="0"/>
        <v>#DIV/0!</v>
      </c>
      <c r="X55" s="329"/>
      <c r="Y55" s="285"/>
      <c r="Z55" s="285"/>
      <c r="AA55" s="285"/>
      <c r="AB55" s="285"/>
      <c r="AC55" s="285"/>
      <c r="AD55" s="285"/>
      <c r="AE55" s="285"/>
    </row>
    <row r="56" spans="1:31" ht="18.95" customHeight="1">
      <c r="A56" s="312"/>
      <c r="B56" s="279"/>
      <c r="C56" s="280" t="s">
        <v>82</v>
      </c>
      <c r="D56" s="281" t="s">
        <v>43</v>
      </c>
      <c r="E56" s="282">
        <v>0</v>
      </c>
      <c r="F56" s="283"/>
      <c r="G56" s="282">
        <v>0</v>
      </c>
      <c r="H56" s="283"/>
      <c r="I56" s="284">
        <v>60000</v>
      </c>
      <c r="J56" s="285">
        <v>0</v>
      </c>
      <c r="K56" s="285">
        <v>0</v>
      </c>
      <c r="L56" s="285">
        <v>0</v>
      </c>
      <c r="M56" s="285">
        <v>0</v>
      </c>
      <c r="N56" s="285">
        <v>0</v>
      </c>
      <c r="O56" s="285">
        <v>0</v>
      </c>
      <c r="P56" s="285">
        <v>0</v>
      </c>
      <c r="Q56" s="285">
        <v>0</v>
      </c>
      <c r="R56" s="286">
        <f>SUM(J56:Q56)</f>
        <v>0</v>
      </c>
      <c r="S56" s="287">
        <f>I56-R56</f>
        <v>60000</v>
      </c>
      <c r="T56" s="288">
        <f>G56-I56</f>
        <v>-60000</v>
      </c>
      <c r="U56" s="289">
        <v>0</v>
      </c>
      <c r="V56" s="290" t="e">
        <f t="shared" si="0"/>
        <v>#DIV/0!</v>
      </c>
      <c r="X56" s="329"/>
      <c r="Y56" s="285"/>
      <c r="Z56" s="285"/>
      <c r="AA56" s="285"/>
      <c r="AB56" s="285"/>
      <c r="AC56" s="285"/>
      <c r="AD56" s="285"/>
      <c r="AE56" s="285"/>
    </row>
    <row r="57" spans="1:31" ht="18.95" customHeight="1">
      <c r="A57" s="312"/>
      <c r="B57" s="279"/>
      <c r="C57" s="280" t="s">
        <v>80</v>
      </c>
      <c r="D57" s="281" t="s">
        <v>43</v>
      </c>
      <c r="E57" s="282">
        <v>0</v>
      </c>
      <c r="F57" s="283"/>
      <c r="G57" s="282">
        <v>0</v>
      </c>
      <c r="H57" s="283"/>
      <c r="I57" s="284">
        <v>0</v>
      </c>
      <c r="J57" s="285">
        <v>0</v>
      </c>
      <c r="K57" s="285">
        <v>0</v>
      </c>
      <c r="L57" s="285">
        <v>0</v>
      </c>
      <c r="M57" s="285">
        <v>0</v>
      </c>
      <c r="N57" s="285">
        <v>0</v>
      </c>
      <c r="O57" s="285">
        <v>0</v>
      </c>
      <c r="P57" s="285">
        <v>0</v>
      </c>
      <c r="Q57" s="285">
        <v>0</v>
      </c>
      <c r="R57" s="286">
        <f>SUM(J57:Q57)</f>
        <v>0</v>
      </c>
      <c r="S57" s="287">
        <f>I57-R57</f>
        <v>0</v>
      </c>
      <c r="T57" s="288">
        <f>G57-I57</f>
        <v>0</v>
      </c>
      <c r="U57" s="289">
        <v>0</v>
      </c>
      <c r="V57" s="290" t="e">
        <f t="shared" si="0"/>
        <v>#DIV/0!</v>
      </c>
      <c r="X57" s="329"/>
      <c r="Y57" s="285"/>
      <c r="Z57" s="285"/>
      <c r="AA57" s="285"/>
      <c r="AB57" s="285"/>
      <c r="AC57" s="285"/>
      <c r="AD57" s="285"/>
      <c r="AE57" s="285"/>
    </row>
    <row r="58" spans="1:31" ht="18.95" customHeight="1">
      <c r="A58" s="313"/>
      <c r="B58" s="279"/>
      <c r="C58" s="280" t="s">
        <v>85</v>
      </c>
      <c r="D58" s="281" t="s">
        <v>43</v>
      </c>
      <c r="E58" s="282">
        <v>0</v>
      </c>
      <c r="F58" s="283"/>
      <c r="G58" s="282">
        <v>0</v>
      </c>
      <c r="H58" s="283"/>
      <c r="I58" s="284">
        <v>0</v>
      </c>
      <c r="J58" s="285">
        <v>0</v>
      </c>
      <c r="K58" s="285">
        <v>0</v>
      </c>
      <c r="L58" s="285">
        <v>0</v>
      </c>
      <c r="M58" s="285">
        <v>0</v>
      </c>
      <c r="N58" s="285">
        <v>0</v>
      </c>
      <c r="O58" s="285">
        <v>0</v>
      </c>
      <c r="P58" s="285">
        <v>0</v>
      </c>
      <c r="Q58" s="285">
        <v>0</v>
      </c>
      <c r="R58" s="286">
        <f>SUM(J58:Q58)</f>
        <v>0</v>
      </c>
      <c r="S58" s="287">
        <f>I58-R58</f>
        <v>0</v>
      </c>
      <c r="T58" s="288">
        <f>G58-I58</f>
        <v>0</v>
      </c>
      <c r="U58" s="289">
        <v>0</v>
      </c>
      <c r="V58" s="290" t="e">
        <f t="shared" si="0"/>
        <v>#DIV/0!</v>
      </c>
      <c r="X58" s="329"/>
      <c r="Y58" s="285"/>
      <c r="Z58" s="285"/>
      <c r="AA58" s="285"/>
      <c r="AB58" s="285"/>
      <c r="AC58" s="285"/>
      <c r="AD58" s="285"/>
      <c r="AE58" s="285"/>
    </row>
    <row r="59" spans="1:31" ht="18.95" customHeight="1">
      <c r="A59" s="314" t="s">
        <v>86</v>
      </c>
      <c r="B59" s="291" t="s">
        <v>38</v>
      </c>
      <c r="C59" s="292" t="s">
        <v>87</v>
      </c>
      <c r="D59" s="293" t="s">
        <v>40</v>
      </c>
      <c r="E59" s="294">
        <v>2752050</v>
      </c>
      <c r="F59" s="295"/>
      <c r="G59" s="294">
        <v>2659000</v>
      </c>
      <c r="H59" s="295"/>
      <c r="I59" s="296">
        <v>2659000</v>
      </c>
      <c r="J59" s="273">
        <v>0</v>
      </c>
      <c r="K59" s="273">
        <v>0</v>
      </c>
      <c r="L59" s="273">
        <v>0</v>
      </c>
      <c r="M59" s="273">
        <v>0</v>
      </c>
      <c r="N59" s="273">
        <v>710000</v>
      </c>
      <c r="O59" s="273">
        <v>1910000</v>
      </c>
      <c r="P59" s="273">
        <v>0</v>
      </c>
      <c r="Q59" s="273">
        <v>0</v>
      </c>
      <c r="R59" s="274">
        <f>SUM(J59:Q59)</f>
        <v>2620000</v>
      </c>
      <c r="S59" s="275">
        <f>I59-R59</f>
        <v>39000</v>
      </c>
      <c r="T59" s="276">
        <f>G59-I59</f>
        <v>0</v>
      </c>
      <c r="U59" s="297">
        <v>0</v>
      </c>
      <c r="V59" s="278" t="e">
        <f t="shared" si="0"/>
        <v>#DIV/0!</v>
      </c>
      <c r="X59" s="328"/>
      <c r="Y59" s="273"/>
      <c r="Z59" s="273"/>
      <c r="AA59" s="273"/>
      <c r="AB59" s="273"/>
      <c r="AC59" s="273"/>
      <c r="AD59" s="273"/>
      <c r="AE59" s="273"/>
    </row>
    <row r="60" spans="1:31" ht="18.95" customHeight="1">
      <c r="A60" s="312"/>
      <c r="B60" s="279" t="s">
        <v>53</v>
      </c>
      <c r="C60" s="280" t="s">
        <v>88</v>
      </c>
      <c r="D60" s="281" t="s">
        <v>43</v>
      </c>
      <c r="E60" s="282">
        <v>0</v>
      </c>
      <c r="F60" s="283"/>
      <c r="G60" s="282">
        <v>0</v>
      </c>
      <c r="H60" s="283"/>
      <c r="I60" s="284">
        <v>0</v>
      </c>
      <c r="J60" s="285">
        <v>0</v>
      </c>
      <c r="K60" s="285">
        <v>0</v>
      </c>
      <c r="L60" s="285">
        <v>0</v>
      </c>
      <c r="M60" s="285">
        <v>0</v>
      </c>
      <c r="N60" s="285">
        <v>0</v>
      </c>
      <c r="O60" s="285">
        <v>1260</v>
      </c>
      <c r="P60" s="285">
        <v>0</v>
      </c>
      <c r="Q60" s="285">
        <v>0</v>
      </c>
      <c r="R60" s="286">
        <f>SUM(J60:Q60)</f>
        <v>1260</v>
      </c>
      <c r="S60" s="287">
        <f>I60-R60</f>
        <v>-1260</v>
      </c>
      <c r="T60" s="288">
        <f>G60-I60</f>
        <v>0</v>
      </c>
      <c r="U60" s="289">
        <v>0</v>
      </c>
      <c r="V60" s="290" t="e">
        <f t="shared" si="0"/>
        <v>#DIV/0!</v>
      </c>
      <c r="X60" s="329"/>
      <c r="Y60" s="285"/>
      <c r="Z60" s="285"/>
      <c r="AA60" s="285"/>
      <c r="AB60" s="285"/>
      <c r="AC60" s="285"/>
      <c r="AD60" s="285"/>
      <c r="AE60" s="285"/>
    </row>
    <row r="61" spans="1:31" ht="18.95" customHeight="1">
      <c r="A61" s="312"/>
      <c r="B61" s="279" t="s">
        <v>89</v>
      </c>
      <c r="C61" s="280" t="s">
        <v>88</v>
      </c>
      <c r="D61" s="281" t="s">
        <v>43</v>
      </c>
      <c r="E61" s="282">
        <v>0</v>
      </c>
      <c r="F61" s="283"/>
      <c r="G61" s="282">
        <v>0</v>
      </c>
      <c r="H61" s="283"/>
      <c r="I61" s="284">
        <v>0</v>
      </c>
      <c r="J61" s="285">
        <v>0</v>
      </c>
      <c r="K61" s="285">
        <v>0</v>
      </c>
      <c r="L61" s="285">
        <v>19900</v>
      </c>
      <c r="M61" s="285">
        <v>0</v>
      </c>
      <c r="N61" s="285">
        <v>474400</v>
      </c>
      <c r="O61" s="285">
        <v>217600</v>
      </c>
      <c r="P61" s="285">
        <v>0</v>
      </c>
      <c r="Q61" s="285">
        <v>0</v>
      </c>
      <c r="R61" s="286">
        <f>SUM(J61:Q61)</f>
        <v>711900</v>
      </c>
      <c r="S61" s="287">
        <f>I61-R61</f>
        <v>-711900</v>
      </c>
      <c r="T61" s="288">
        <f>G61-I61</f>
        <v>0</v>
      </c>
      <c r="U61" s="289">
        <v>0</v>
      </c>
      <c r="V61" s="290" t="e">
        <f t="shared" si="0"/>
        <v>#DIV/0!</v>
      </c>
      <c r="X61" s="329"/>
      <c r="Y61" s="285"/>
      <c r="Z61" s="285"/>
      <c r="AA61" s="285"/>
      <c r="AB61" s="285"/>
      <c r="AC61" s="285"/>
      <c r="AD61" s="285"/>
      <c r="AE61" s="285"/>
    </row>
    <row r="62" spans="1:31" ht="18.95" customHeight="1">
      <c r="A62" s="312"/>
      <c r="B62" s="279"/>
      <c r="C62" s="280" t="s">
        <v>87</v>
      </c>
      <c r="D62" s="281" t="s">
        <v>43</v>
      </c>
      <c r="E62" s="282">
        <v>0</v>
      </c>
      <c r="F62" s="283"/>
      <c r="G62" s="282">
        <v>50000</v>
      </c>
      <c r="H62" s="283"/>
      <c r="I62" s="284">
        <v>50000</v>
      </c>
      <c r="J62" s="285">
        <v>0</v>
      </c>
      <c r="K62" s="285">
        <v>0</v>
      </c>
      <c r="L62" s="285">
        <v>0</v>
      </c>
      <c r="M62" s="285">
        <v>0</v>
      </c>
      <c r="N62" s="285">
        <v>0</v>
      </c>
      <c r="O62" s="285">
        <v>0</v>
      </c>
      <c r="P62" s="285">
        <v>0</v>
      </c>
      <c r="Q62" s="285">
        <v>0</v>
      </c>
      <c r="R62" s="286">
        <f>SUM(J62:Q62)</f>
        <v>0</v>
      </c>
      <c r="S62" s="287">
        <f>I62-R62</f>
        <v>50000</v>
      </c>
      <c r="T62" s="288">
        <f>G62-I62</f>
        <v>0</v>
      </c>
      <c r="U62" s="289">
        <v>0</v>
      </c>
      <c r="V62" s="290" t="e">
        <f t="shared" si="0"/>
        <v>#DIV/0!</v>
      </c>
      <c r="X62" s="329"/>
      <c r="Y62" s="285"/>
      <c r="Z62" s="285"/>
      <c r="AA62" s="285"/>
      <c r="AB62" s="285"/>
      <c r="AC62" s="285"/>
      <c r="AD62" s="285"/>
      <c r="AE62" s="285"/>
    </row>
    <row r="63" spans="1:31" ht="18.95" customHeight="1">
      <c r="A63" s="313"/>
      <c r="B63" s="279"/>
      <c r="C63" s="280" t="s">
        <v>88</v>
      </c>
      <c r="D63" s="281" t="s">
        <v>43</v>
      </c>
      <c r="E63" s="282">
        <v>715800</v>
      </c>
      <c r="F63" s="283"/>
      <c r="G63" s="282">
        <v>715800</v>
      </c>
      <c r="H63" s="283"/>
      <c r="I63" s="284">
        <v>815800</v>
      </c>
      <c r="J63" s="285">
        <v>0</v>
      </c>
      <c r="K63" s="285">
        <v>0</v>
      </c>
      <c r="L63" s="285">
        <v>0</v>
      </c>
      <c r="M63" s="285">
        <v>0</v>
      </c>
      <c r="N63" s="285">
        <v>0</v>
      </c>
      <c r="O63" s="285">
        <v>0</v>
      </c>
      <c r="P63" s="285">
        <v>0</v>
      </c>
      <c r="Q63" s="285">
        <v>0</v>
      </c>
      <c r="R63" s="286">
        <f>SUM(J63:Q63)</f>
        <v>0</v>
      </c>
      <c r="S63" s="287">
        <f>I63-R63</f>
        <v>815800</v>
      </c>
      <c r="T63" s="288">
        <f>G63-I63</f>
        <v>-100000</v>
      </c>
      <c r="U63" s="289">
        <v>0</v>
      </c>
      <c r="V63" s="290" t="e">
        <f t="shared" si="0"/>
        <v>#DIV/0!</v>
      </c>
      <c r="X63" s="329"/>
      <c r="Y63" s="285"/>
      <c r="Z63" s="285"/>
      <c r="AA63" s="285"/>
      <c r="AB63" s="285"/>
      <c r="AC63" s="285"/>
      <c r="AD63" s="285"/>
      <c r="AE63" s="285"/>
    </row>
    <row r="64" spans="1:31" ht="18.95" customHeight="1">
      <c r="A64" s="314" t="s">
        <v>90</v>
      </c>
      <c r="B64" s="291" t="s">
        <v>38</v>
      </c>
      <c r="C64" s="292" t="s">
        <v>91</v>
      </c>
      <c r="D64" s="293" t="s">
        <v>40</v>
      </c>
      <c r="E64" s="294">
        <v>2083500</v>
      </c>
      <c r="F64" s="295"/>
      <c r="G64" s="294">
        <v>2152500</v>
      </c>
      <c r="H64" s="295"/>
      <c r="I64" s="296">
        <v>2152500</v>
      </c>
      <c r="J64" s="273">
        <v>0</v>
      </c>
      <c r="K64" s="273">
        <v>0</v>
      </c>
      <c r="L64" s="273">
        <v>500000</v>
      </c>
      <c r="M64" s="273">
        <v>1080000</v>
      </c>
      <c r="N64" s="273">
        <v>100000</v>
      </c>
      <c r="O64" s="273">
        <v>120000</v>
      </c>
      <c r="P64" s="273">
        <v>0</v>
      </c>
      <c r="Q64" s="273">
        <v>0</v>
      </c>
      <c r="R64" s="274">
        <f>SUM(J64:Q64)</f>
        <v>1800000</v>
      </c>
      <c r="S64" s="275">
        <f>I64-R64</f>
        <v>352500</v>
      </c>
      <c r="T64" s="276">
        <f>G64-I64</f>
        <v>0</v>
      </c>
      <c r="U64" s="297">
        <v>86</v>
      </c>
      <c r="V64" s="278">
        <f t="shared" si="0"/>
        <v>20930.232558139534</v>
      </c>
      <c r="X64" s="328"/>
      <c r="Y64" s="273"/>
      <c r="Z64" s="273"/>
      <c r="AA64" s="273"/>
      <c r="AB64" s="273"/>
      <c r="AC64" s="273"/>
      <c r="AD64" s="273"/>
      <c r="AE64" s="273"/>
    </row>
    <row r="65" spans="1:31" ht="18.95" customHeight="1">
      <c r="A65" s="312"/>
      <c r="B65" s="279" t="s">
        <v>38</v>
      </c>
      <c r="C65" s="280" t="s">
        <v>92</v>
      </c>
      <c r="D65" s="281" t="s">
        <v>40</v>
      </c>
      <c r="E65" s="282">
        <v>60000</v>
      </c>
      <c r="F65" s="283"/>
      <c r="G65" s="282">
        <v>52500</v>
      </c>
      <c r="H65" s="283"/>
      <c r="I65" s="284">
        <v>52500</v>
      </c>
      <c r="J65" s="285">
        <v>0</v>
      </c>
      <c r="K65" s="285">
        <v>0</v>
      </c>
      <c r="L65" s="285">
        <v>0</v>
      </c>
      <c r="M65" s="285">
        <v>0</v>
      </c>
      <c r="N65" s="285">
        <v>0</v>
      </c>
      <c r="O65" s="285">
        <v>0</v>
      </c>
      <c r="P65" s="285">
        <v>0</v>
      </c>
      <c r="Q65" s="285">
        <v>0</v>
      </c>
      <c r="R65" s="286">
        <f>SUM(J65:Q65)</f>
        <v>0</v>
      </c>
      <c r="S65" s="287">
        <f>I65-R65</f>
        <v>52500</v>
      </c>
      <c r="T65" s="288">
        <f>G65-I65</f>
        <v>0</v>
      </c>
      <c r="U65" s="289">
        <v>0</v>
      </c>
      <c r="V65" s="290" t="e">
        <f t="shared" si="0"/>
        <v>#DIV/0!</v>
      </c>
      <c r="X65" s="329"/>
      <c r="Y65" s="285"/>
      <c r="Z65" s="285"/>
      <c r="AA65" s="285"/>
      <c r="AB65" s="285"/>
      <c r="AC65" s="285"/>
      <c r="AD65" s="285"/>
      <c r="AE65" s="285"/>
    </row>
    <row r="66" spans="1:31" ht="18.95" customHeight="1">
      <c r="A66" s="312"/>
      <c r="B66" s="279" t="s">
        <v>89</v>
      </c>
      <c r="C66" s="280" t="s">
        <v>93</v>
      </c>
      <c r="D66" s="281" t="s">
        <v>43</v>
      </c>
      <c r="E66" s="282">
        <v>0</v>
      </c>
      <c r="F66" s="283"/>
      <c r="G66" s="282">
        <v>0</v>
      </c>
      <c r="H66" s="283"/>
      <c r="I66" s="284">
        <v>0</v>
      </c>
      <c r="J66" s="285">
        <v>0</v>
      </c>
      <c r="K66" s="285">
        <v>0</v>
      </c>
      <c r="L66" s="285">
        <v>123300</v>
      </c>
      <c r="M66" s="285">
        <v>185400</v>
      </c>
      <c r="N66" s="285">
        <v>0</v>
      </c>
      <c r="O66" s="285">
        <v>0</v>
      </c>
      <c r="P66" s="285">
        <v>0</v>
      </c>
      <c r="Q66" s="285">
        <v>0</v>
      </c>
      <c r="R66" s="286">
        <f>SUM(J66:Q66)</f>
        <v>308700</v>
      </c>
      <c r="S66" s="287">
        <f>I66-R66</f>
        <v>-308700</v>
      </c>
      <c r="T66" s="288">
        <f>G66-I66</f>
        <v>0</v>
      </c>
      <c r="U66" s="289">
        <v>0</v>
      </c>
      <c r="V66" s="290" t="e">
        <f t="shared" si="0"/>
        <v>#DIV/0!</v>
      </c>
      <c r="X66" s="329"/>
      <c r="Y66" s="285"/>
      <c r="Z66" s="285"/>
      <c r="AA66" s="285"/>
      <c r="AB66" s="285"/>
      <c r="AC66" s="285"/>
      <c r="AD66" s="285"/>
      <c r="AE66" s="285"/>
    </row>
    <row r="67" spans="1:31" ht="18.95" customHeight="1">
      <c r="A67" s="312"/>
      <c r="B67" s="279"/>
      <c r="C67" s="280" t="s">
        <v>91</v>
      </c>
      <c r="D67" s="281" t="s">
        <v>43</v>
      </c>
      <c r="E67" s="282">
        <v>0</v>
      </c>
      <c r="F67" s="283"/>
      <c r="G67" s="282">
        <v>0</v>
      </c>
      <c r="H67" s="283"/>
      <c r="I67" s="284">
        <v>0</v>
      </c>
      <c r="J67" s="285">
        <v>0</v>
      </c>
      <c r="K67" s="285">
        <v>0</v>
      </c>
      <c r="L67" s="285">
        <v>0</v>
      </c>
      <c r="M67" s="285">
        <v>0</v>
      </c>
      <c r="N67" s="285">
        <v>0</v>
      </c>
      <c r="O67" s="285">
        <v>0</v>
      </c>
      <c r="P67" s="285">
        <v>0</v>
      </c>
      <c r="Q67" s="285">
        <v>0</v>
      </c>
      <c r="R67" s="286">
        <f>SUM(J67:Q67)</f>
        <v>0</v>
      </c>
      <c r="S67" s="287">
        <f>I67-R67</f>
        <v>0</v>
      </c>
      <c r="T67" s="288">
        <f>G67-I67</f>
        <v>0</v>
      </c>
      <c r="U67" s="289">
        <v>0</v>
      </c>
      <c r="V67" s="290" t="e">
        <f t="shared" si="0"/>
        <v>#DIV/0!</v>
      </c>
      <c r="X67" s="329"/>
      <c r="Y67" s="285"/>
      <c r="Z67" s="285"/>
      <c r="AA67" s="285"/>
      <c r="AB67" s="285"/>
      <c r="AC67" s="285"/>
      <c r="AD67" s="285"/>
      <c r="AE67" s="285"/>
    </row>
    <row r="68" spans="1:31" ht="18.95" customHeight="1">
      <c r="A68" s="312"/>
      <c r="B68" s="279"/>
      <c r="C68" s="280" t="s">
        <v>93</v>
      </c>
      <c r="D68" s="281" t="s">
        <v>43</v>
      </c>
      <c r="E68" s="282">
        <v>118300</v>
      </c>
      <c r="F68" s="283"/>
      <c r="G68" s="282">
        <v>539300</v>
      </c>
      <c r="H68" s="283"/>
      <c r="I68" s="284">
        <v>439300</v>
      </c>
      <c r="J68" s="285">
        <v>0</v>
      </c>
      <c r="K68" s="285">
        <v>0</v>
      </c>
      <c r="L68" s="285">
        <v>0</v>
      </c>
      <c r="M68" s="285">
        <v>0</v>
      </c>
      <c r="N68" s="285">
        <v>0</v>
      </c>
      <c r="O68" s="285">
        <v>0</v>
      </c>
      <c r="P68" s="285">
        <v>0</v>
      </c>
      <c r="Q68" s="285">
        <v>0</v>
      </c>
      <c r="R68" s="286">
        <f>SUM(J68:Q68)</f>
        <v>0</v>
      </c>
      <c r="S68" s="287">
        <f>I68-R68</f>
        <v>439300</v>
      </c>
      <c r="T68" s="288">
        <f>G68-I68</f>
        <v>100000</v>
      </c>
      <c r="U68" s="289">
        <v>0</v>
      </c>
      <c r="V68" s="290" t="e">
        <f t="shared" si="0"/>
        <v>#DIV/0!</v>
      </c>
      <c r="X68" s="329"/>
      <c r="Y68" s="285"/>
      <c r="Z68" s="285"/>
      <c r="AA68" s="285"/>
      <c r="AB68" s="285"/>
      <c r="AC68" s="285"/>
      <c r="AD68" s="285"/>
      <c r="AE68" s="285"/>
    </row>
    <row r="69" spans="1:31" ht="18.95" customHeight="1">
      <c r="A69" s="312"/>
      <c r="B69" s="279"/>
      <c r="C69" s="280" t="s">
        <v>92</v>
      </c>
      <c r="D69" s="281" t="s">
        <v>43</v>
      </c>
      <c r="E69" s="282">
        <v>0</v>
      </c>
      <c r="F69" s="283"/>
      <c r="G69" s="282">
        <v>0</v>
      </c>
      <c r="H69" s="283"/>
      <c r="I69" s="284">
        <v>0</v>
      </c>
      <c r="J69" s="285">
        <v>0</v>
      </c>
      <c r="K69" s="285">
        <v>0</v>
      </c>
      <c r="L69" s="285">
        <v>0</v>
      </c>
      <c r="M69" s="285">
        <v>0</v>
      </c>
      <c r="N69" s="285">
        <v>0</v>
      </c>
      <c r="O69" s="285">
        <v>0</v>
      </c>
      <c r="P69" s="285">
        <v>0</v>
      </c>
      <c r="Q69" s="285">
        <v>0</v>
      </c>
      <c r="R69" s="286">
        <f>SUM(J69:Q69)</f>
        <v>0</v>
      </c>
      <c r="S69" s="287">
        <f>I69-R69</f>
        <v>0</v>
      </c>
      <c r="T69" s="288">
        <f>G69-I69</f>
        <v>0</v>
      </c>
      <c r="U69" s="289">
        <v>0</v>
      </c>
      <c r="V69" s="290" t="e">
        <f t="shared" si="0"/>
        <v>#DIV/0!</v>
      </c>
      <c r="X69" s="329"/>
      <c r="Y69" s="285"/>
      <c r="Z69" s="285"/>
      <c r="AA69" s="285"/>
      <c r="AB69" s="285"/>
      <c r="AC69" s="285"/>
      <c r="AD69" s="285"/>
      <c r="AE69" s="285"/>
    </row>
    <row r="70" spans="1:31" ht="18.95" customHeight="1">
      <c r="A70" s="313"/>
      <c r="B70" s="279"/>
      <c r="C70" s="280" t="s">
        <v>94</v>
      </c>
      <c r="D70" s="281" t="s">
        <v>43</v>
      </c>
      <c r="E70" s="282">
        <v>0</v>
      </c>
      <c r="F70" s="283"/>
      <c r="G70" s="282">
        <v>0</v>
      </c>
      <c r="H70" s="283"/>
      <c r="I70" s="284">
        <v>0</v>
      </c>
      <c r="J70" s="285">
        <v>0</v>
      </c>
      <c r="K70" s="285">
        <v>0</v>
      </c>
      <c r="L70" s="285">
        <v>0</v>
      </c>
      <c r="M70" s="285">
        <v>0</v>
      </c>
      <c r="N70" s="285">
        <v>0</v>
      </c>
      <c r="O70" s="285">
        <v>0</v>
      </c>
      <c r="P70" s="285">
        <v>0</v>
      </c>
      <c r="Q70" s="285">
        <v>0</v>
      </c>
      <c r="R70" s="286">
        <f>SUM(J70:Q70)</f>
        <v>0</v>
      </c>
      <c r="S70" s="287">
        <f>I70-R70</f>
        <v>0</v>
      </c>
      <c r="T70" s="288">
        <f>G70-I70</f>
        <v>0</v>
      </c>
      <c r="U70" s="289">
        <v>0</v>
      </c>
      <c r="V70" s="290" t="e">
        <f t="shared" si="0"/>
        <v>#DIV/0!</v>
      </c>
      <c r="X70" s="329"/>
      <c r="Y70" s="285"/>
      <c r="Z70" s="285"/>
      <c r="AA70" s="285"/>
      <c r="AB70" s="285"/>
      <c r="AC70" s="285"/>
      <c r="AD70" s="285"/>
      <c r="AE70" s="285"/>
    </row>
    <row r="71" spans="1:31" ht="18.95" customHeight="1">
      <c r="A71" s="314" t="s">
        <v>95</v>
      </c>
      <c r="B71" s="291" t="s">
        <v>38</v>
      </c>
      <c r="C71" s="292" t="s">
        <v>96</v>
      </c>
      <c r="D71" s="293" t="s">
        <v>40</v>
      </c>
      <c r="E71" s="294">
        <v>267800</v>
      </c>
      <c r="F71" s="295"/>
      <c r="G71" s="294">
        <v>282240</v>
      </c>
      <c r="H71" s="295"/>
      <c r="I71" s="296">
        <v>282240</v>
      </c>
      <c r="J71" s="273">
        <v>0</v>
      </c>
      <c r="K71" s="273">
        <v>0</v>
      </c>
      <c r="L71" s="273">
        <v>0</v>
      </c>
      <c r="M71" s="273">
        <v>0</v>
      </c>
      <c r="N71" s="273">
        <v>0</v>
      </c>
      <c r="O71" s="273">
        <v>0</v>
      </c>
      <c r="P71" s="273">
        <v>0</v>
      </c>
      <c r="Q71" s="273">
        <v>0</v>
      </c>
      <c r="R71" s="274">
        <f>SUM(J71:Q71)</f>
        <v>0</v>
      </c>
      <c r="S71" s="275">
        <f>I71-R71</f>
        <v>282240</v>
      </c>
      <c r="T71" s="276">
        <f>G71-I71</f>
        <v>0</v>
      </c>
      <c r="U71" s="297">
        <v>0</v>
      </c>
      <c r="V71" s="278" t="e">
        <f t="shared" si="0"/>
        <v>#DIV/0!</v>
      </c>
      <c r="X71" s="328"/>
      <c r="Y71" s="273"/>
      <c r="Z71" s="273"/>
      <c r="AA71" s="273"/>
      <c r="AB71" s="273"/>
      <c r="AC71" s="273"/>
      <c r="AD71" s="273"/>
      <c r="AE71" s="273"/>
    </row>
    <row r="72" spans="1:31" ht="18.95" customHeight="1">
      <c r="A72" s="312"/>
      <c r="B72" s="279" t="s">
        <v>38</v>
      </c>
      <c r="C72" s="280" t="s">
        <v>97</v>
      </c>
      <c r="D72" s="281" t="s">
        <v>40</v>
      </c>
      <c r="E72" s="282">
        <v>1378700</v>
      </c>
      <c r="F72" s="283"/>
      <c r="G72" s="282">
        <v>3052820</v>
      </c>
      <c r="H72" s="283"/>
      <c r="I72" s="284">
        <v>1652820</v>
      </c>
      <c r="J72" s="285">
        <v>0</v>
      </c>
      <c r="K72" s="285">
        <v>0</v>
      </c>
      <c r="L72" s="285">
        <v>0</v>
      </c>
      <c r="M72" s="285">
        <v>0</v>
      </c>
      <c r="N72" s="285">
        <v>0</v>
      </c>
      <c r="O72" s="285">
        <v>0</v>
      </c>
      <c r="P72" s="285">
        <v>0</v>
      </c>
      <c r="Q72" s="285">
        <v>0</v>
      </c>
      <c r="R72" s="286">
        <f>SUM(J72:Q72)</f>
        <v>0</v>
      </c>
      <c r="S72" s="287">
        <f>I72-R72</f>
        <v>1652820</v>
      </c>
      <c r="T72" s="288">
        <f>G72-I72</f>
        <v>1400000</v>
      </c>
      <c r="U72" s="289">
        <v>0</v>
      </c>
      <c r="V72" s="290" t="e">
        <f t="shared" ref="V72:V117" si="1">R72/U72</f>
        <v>#DIV/0!</v>
      </c>
      <c r="X72" s="329"/>
      <c r="Y72" s="285"/>
      <c r="Z72" s="285"/>
      <c r="AA72" s="285"/>
      <c r="AB72" s="285"/>
      <c r="AC72" s="285"/>
      <c r="AD72" s="285"/>
      <c r="AE72" s="285"/>
    </row>
    <row r="73" spans="1:31" ht="18.95" customHeight="1">
      <c r="A73" s="312"/>
      <c r="B73" s="279" t="s">
        <v>53</v>
      </c>
      <c r="C73" s="280" t="s">
        <v>98</v>
      </c>
      <c r="D73" s="281" t="s">
        <v>43</v>
      </c>
      <c r="E73" s="282">
        <v>0</v>
      </c>
      <c r="F73" s="283"/>
      <c r="G73" s="282">
        <v>0</v>
      </c>
      <c r="H73" s="283"/>
      <c r="I73" s="284">
        <v>0</v>
      </c>
      <c r="J73" s="285">
        <v>0</v>
      </c>
      <c r="K73" s="285">
        <v>0</v>
      </c>
      <c r="L73" s="285">
        <v>0</v>
      </c>
      <c r="M73" s="285">
        <v>0</v>
      </c>
      <c r="N73" s="285">
        <v>0</v>
      </c>
      <c r="O73" s="285">
        <v>69620</v>
      </c>
      <c r="P73" s="285">
        <v>0</v>
      </c>
      <c r="Q73" s="285">
        <v>0</v>
      </c>
      <c r="R73" s="286">
        <f>SUM(J73:Q73)</f>
        <v>69620</v>
      </c>
      <c r="S73" s="287">
        <f>I73-R73</f>
        <v>-69620</v>
      </c>
      <c r="T73" s="288">
        <f>G73-I73</f>
        <v>0</v>
      </c>
      <c r="U73" s="289">
        <v>0</v>
      </c>
      <c r="V73" s="290" t="e">
        <f t="shared" si="1"/>
        <v>#DIV/0!</v>
      </c>
      <c r="X73" s="329"/>
      <c r="Y73" s="285"/>
      <c r="Z73" s="285"/>
      <c r="AA73" s="285"/>
      <c r="AB73" s="285"/>
      <c r="AC73" s="285"/>
      <c r="AD73" s="285"/>
      <c r="AE73" s="285"/>
    </row>
    <row r="74" spans="1:31" ht="18.95" customHeight="1">
      <c r="A74" s="312"/>
      <c r="B74" s="279" t="s">
        <v>99</v>
      </c>
      <c r="C74" s="280" t="s">
        <v>97</v>
      </c>
      <c r="D74" s="281" t="s">
        <v>100</v>
      </c>
      <c r="E74" s="282">
        <v>540000</v>
      </c>
      <c r="F74" s="283"/>
      <c r="G74" s="282">
        <v>0</v>
      </c>
      <c r="H74" s="283"/>
      <c r="I74" s="284">
        <v>331000</v>
      </c>
      <c r="J74" s="285">
        <v>0</v>
      </c>
      <c r="K74" s="285">
        <v>0</v>
      </c>
      <c r="L74" s="285">
        <v>0</v>
      </c>
      <c r="M74" s="285">
        <v>0</v>
      </c>
      <c r="N74" s="285">
        <v>331000</v>
      </c>
      <c r="O74" s="285">
        <v>0</v>
      </c>
      <c r="P74" s="285">
        <v>0</v>
      </c>
      <c r="Q74" s="285">
        <v>0</v>
      </c>
      <c r="R74" s="286">
        <f>SUM(J74:Q74)</f>
        <v>331000</v>
      </c>
      <c r="S74" s="287">
        <f>I74-R74</f>
        <v>0</v>
      </c>
      <c r="T74" s="288">
        <f>G74-I74</f>
        <v>-331000</v>
      </c>
      <c r="U74" s="289">
        <v>0</v>
      </c>
      <c r="V74" s="290" t="e">
        <f t="shared" si="1"/>
        <v>#DIV/0!</v>
      </c>
      <c r="X74" s="329"/>
      <c r="Y74" s="285"/>
      <c r="Z74" s="285"/>
      <c r="AA74" s="285"/>
      <c r="AB74" s="285"/>
      <c r="AC74" s="285"/>
      <c r="AD74" s="285"/>
      <c r="AE74" s="285"/>
    </row>
    <row r="75" spans="1:31" ht="18.95" customHeight="1">
      <c r="A75" s="312"/>
      <c r="B75" s="279" t="s">
        <v>99</v>
      </c>
      <c r="C75" s="280" t="s">
        <v>97</v>
      </c>
      <c r="D75" s="281" t="s">
        <v>101</v>
      </c>
      <c r="E75" s="282">
        <v>0</v>
      </c>
      <c r="F75" s="283"/>
      <c r="G75" s="282">
        <v>0</v>
      </c>
      <c r="H75" s="283"/>
      <c r="I75" s="284">
        <v>603000</v>
      </c>
      <c r="J75" s="285">
        <v>0</v>
      </c>
      <c r="K75" s="285">
        <v>0</v>
      </c>
      <c r="L75" s="285">
        <v>0</v>
      </c>
      <c r="M75" s="285">
        <v>0</v>
      </c>
      <c r="N75" s="285">
        <v>0</v>
      </c>
      <c r="O75" s="285">
        <v>603000</v>
      </c>
      <c r="P75" s="285">
        <v>0</v>
      </c>
      <c r="Q75" s="285">
        <v>0</v>
      </c>
      <c r="R75" s="286">
        <f>SUM(J75:Q75)</f>
        <v>603000</v>
      </c>
      <c r="S75" s="287">
        <f>I75-R75</f>
        <v>0</v>
      </c>
      <c r="T75" s="288">
        <f>G75-I75</f>
        <v>-603000</v>
      </c>
      <c r="U75" s="289">
        <v>0</v>
      </c>
      <c r="V75" s="290" t="e">
        <f t="shared" si="1"/>
        <v>#DIV/0!</v>
      </c>
      <c r="X75" s="329"/>
      <c r="Y75" s="285"/>
      <c r="Z75" s="285"/>
      <c r="AA75" s="285"/>
      <c r="AB75" s="285"/>
      <c r="AC75" s="285"/>
      <c r="AD75" s="285"/>
      <c r="AE75" s="285"/>
    </row>
    <row r="76" spans="1:31" ht="18.95" customHeight="1">
      <c r="A76" s="312"/>
      <c r="B76" s="279" t="s">
        <v>102</v>
      </c>
      <c r="C76" s="280" t="s">
        <v>96</v>
      </c>
      <c r="D76" s="281" t="s">
        <v>43</v>
      </c>
      <c r="E76" s="282">
        <v>0</v>
      </c>
      <c r="F76" s="283"/>
      <c r="G76" s="282">
        <v>0</v>
      </c>
      <c r="H76" s="283"/>
      <c r="I76" s="284">
        <v>0</v>
      </c>
      <c r="J76" s="285">
        <v>0</v>
      </c>
      <c r="K76" s="285">
        <v>0</v>
      </c>
      <c r="L76" s="285">
        <v>0</v>
      </c>
      <c r="M76" s="285">
        <v>0</v>
      </c>
      <c r="N76" s="285">
        <v>0</v>
      </c>
      <c r="O76" s="285">
        <v>0</v>
      </c>
      <c r="P76" s="285">
        <v>-74360</v>
      </c>
      <c r="Q76" s="285">
        <v>0</v>
      </c>
      <c r="R76" s="286">
        <f>SUM(J76:Q76)</f>
        <v>-74360</v>
      </c>
      <c r="S76" s="287">
        <f>I76-R76</f>
        <v>74360</v>
      </c>
      <c r="T76" s="288">
        <f>G76-I76</f>
        <v>0</v>
      </c>
      <c r="U76" s="289">
        <v>0</v>
      </c>
      <c r="V76" s="290" t="e">
        <f t="shared" si="1"/>
        <v>#DIV/0!</v>
      </c>
      <c r="X76" s="329"/>
      <c r="Y76" s="285"/>
      <c r="Z76" s="285"/>
      <c r="AA76" s="285"/>
      <c r="AB76" s="285"/>
      <c r="AC76" s="285"/>
      <c r="AD76" s="285"/>
      <c r="AE76" s="285"/>
    </row>
    <row r="77" spans="1:31" ht="18.95" customHeight="1">
      <c r="A77" s="312"/>
      <c r="B77" s="279" t="s">
        <v>102</v>
      </c>
      <c r="C77" s="280" t="s">
        <v>103</v>
      </c>
      <c r="D77" s="281" t="s">
        <v>104</v>
      </c>
      <c r="E77" s="282">
        <v>0</v>
      </c>
      <c r="F77" s="283"/>
      <c r="G77" s="282">
        <v>0</v>
      </c>
      <c r="H77" s="283"/>
      <c r="I77" s="284">
        <v>8150000</v>
      </c>
      <c r="J77" s="285">
        <v>0</v>
      </c>
      <c r="K77" s="285">
        <v>0</v>
      </c>
      <c r="L77" s="285">
        <v>0</v>
      </c>
      <c r="M77" s="285">
        <v>0</v>
      </c>
      <c r="N77" s="285">
        <v>4914450</v>
      </c>
      <c r="O77" s="285">
        <v>2273850</v>
      </c>
      <c r="P77" s="285">
        <v>0</v>
      </c>
      <c r="Q77" s="285">
        <v>0</v>
      </c>
      <c r="R77" s="286">
        <f>SUM(J77:Q77)</f>
        <v>7188300</v>
      </c>
      <c r="S77" s="287">
        <f>I77-R77</f>
        <v>961700</v>
      </c>
      <c r="T77" s="288">
        <f>G77-I77</f>
        <v>-8150000</v>
      </c>
      <c r="U77" s="289">
        <v>0</v>
      </c>
      <c r="V77" s="290" t="e">
        <f t="shared" si="1"/>
        <v>#DIV/0!</v>
      </c>
      <c r="X77" s="329"/>
      <c r="Y77" s="285"/>
      <c r="Z77" s="285"/>
      <c r="AA77" s="285"/>
      <c r="AB77" s="285"/>
      <c r="AC77" s="285"/>
      <c r="AD77" s="285"/>
      <c r="AE77" s="285"/>
    </row>
    <row r="78" spans="1:31" ht="18.95" customHeight="1">
      <c r="A78" s="312"/>
      <c r="B78" s="279"/>
      <c r="C78" s="280" t="s">
        <v>96</v>
      </c>
      <c r="D78" s="281" t="s">
        <v>43</v>
      </c>
      <c r="E78" s="282">
        <v>0</v>
      </c>
      <c r="F78" s="283"/>
      <c r="G78" s="282">
        <v>0</v>
      </c>
      <c r="H78" s="283"/>
      <c r="I78" s="284">
        <v>0</v>
      </c>
      <c r="J78" s="285">
        <v>0</v>
      </c>
      <c r="K78" s="285">
        <v>0</v>
      </c>
      <c r="L78" s="285">
        <v>0</v>
      </c>
      <c r="M78" s="285">
        <v>0</v>
      </c>
      <c r="N78" s="285">
        <v>0</v>
      </c>
      <c r="O78" s="285">
        <v>0</v>
      </c>
      <c r="P78" s="285">
        <v>0</v>
      </c>
      <c r="Q78" s="285">
        <v>0</v>
      </c>
      <c r="R78" s="286">
        <f>SUM(J78:Q78)</f>
        <v>0</v>
      </c>
      <c r="S78" s="287">
        <f>I78-R78</f>
        <v>0</v>
      </c>
      <c r="T78" s="288">
        <f>G78-I78</f>
        <v>0</v>
      </c>
      <c r="U78" s="289">
        <v>0</v>
      </c>
      <c r="V78" s="290" t="e">
        <f t="shared" si="1"/>
        <v>#DIV/0!</v>
      </c>
      <c r="X78" s="329"/>
      <c r="Y78" s="285"/>
      <c r="Z78" s="285"/>
      <c r="AA78" s="285"/>
      <c r="AB78" s="285"/>
      <c r="AC78" s="285"/>
      <c r="AD78" s="285"/>
      <c r="AE78" s="285"/>
    </row>
    <row r="79" spans="1:31" ht="18.95" customHeight="1">
      <c r="A79" s="312"/>
      <c r="B79" s="279"/>
      <c r="C79" s="280" t="s">
        <v>98</v>
      </c>
      <c r="D79" s="281" t="s">
        <v>43</v>
      </c>
      <c r="E79" s="282">
        <v>0</v>
      </c>
      <c r="F79" s="283"/>
      <c r="G79" s="282">
        <v>0</v>
      </c>
      <c r="H79" s="283"/>
      <c r="I79" s="284">
        <v>0</v>
      </c>
      <c r="J79" s="285">
        <v>0</v>
      </c>
      <c r="K79" s="285">
        <v>0</v>
      </c>
      <c r="L79" s="285">
        <v>0</v>
      </c>
      <c r="M79" s="285">
        <v>0</v>
      </c>
      <c r="N79" s="285">
        <v>0</v>
      </c>
      <c r="O79" s="285">
        <v>0</v>
      </c>
      <c r="P79" s="285">
        <v>0</v>
      </c>
      <c r="Q79" s="285">
        <v>0</v>
      </c>
      <c r="R79" s="286">
        <f>SUM(J79:Q79)</f>
        <v>0</v>
      </c>
      <c r="S79" s="287">
        <f>I79-R79</f>
        <v>0</v>
      </c>
      <c r="T79" s="288">
        <f>G79-I79</f>
        <v>0</v>
      </c>
      <c r="U79" s="289">
        <v>0</v>
      </c>
      <c r="V79" s="290" t="e">
        <f t="shared" si="1"/>
        <v>#DIV/0!</v>
      </c>
      <c r="X79" s="329"/>
      <c r="Y79" s="285"/>
      <c r="Z79" s="285"/>
      <c r="AA79" s="285"/>
      <c r="AB79" s="285"/>
      <c r="AC79" s="285"/>
      <c r="AD79" s="285"/>
      <c r="AE79" s="285"/>
    </row>
    <row r="80" spans="1:31" ht="18.95" customHeight="1">
      <c r="A80" s="312"/>
      <c r="B80" s="279"/>
      <c r="C80" s="280" t="s">
        <v>97</v>
      </c>
      <c r="D80" s="281" t="s">
        <v>43</v>
      </c>
      <c r="E80" s="282">
        <v>1070000</v>
      </c>
      <c r="F80" s="283"/>
      <c r="G80" s="282">
        <v>0</v>
      </c>
      <c r="H80" s="283"/>
      <c r="I80" s="284">
        <v>0</v>
      </c>
      <c r="J80" s="285">
        <v>0</v>
      </c>
      <c r="K80" s="285">
        <v>0</v>
      </c>
      <c r="L80" s="285">
        <v>0</v>
      </c>
      <c r="M80" s="285">
        <v>0</v>
      </c>
      <c r="N80" s="285">
        <v>0</v>
      </c>
      <c r="O80" s="285">
        <v>0</v>
      </c>
      <c r="P80" s="285">
        <v>0</v>
      </c>
      <c r="Q80" s="285">
        <v>0</v>
      </c>
      <c r="R80" s="286">
        <f>SUM(J80:Q80)</f>
        <v>0</v>
      </c>
      <c r="S80" s="287">
        <f>I80-R80</f>
        <v>0</v>
      </c>
      <c r="T80" s="288">
        <f>G80-I80</f>
        <v>0</v>
      </c>
      <c r="U80" s="289">
        <v>0</v>
      </c>
      <c r="V80" s="290" t="e">
        <f t="shared" si="1"/>
        <v>#DIV/0!</v>
      </c>
      <c r="X80" s="329"/>
      <c r="Y80" s="285"/>
      <c r="Z80" s="285"/>
      <c r="AA80" s="285"/>
      <c r="AB80" s="285"/>
      <c r="AC80" s="285"/>
      <c r="AD80" s="285"/>
      <c r="AE80" s="285"/>
    </row>
    <row r="81" spans="1:31" ht="18.95" customHeight="1">
      <c r="A81" s="313"/>
      <c r="B81" s="279"/>
      <c r="C81" s="280" t="s">
        <v>105</v>
      </c>
      <c r="D81" s="281" t="s">
        <v>43</v>
      </c>
      <c r="E81" s="282">
        <v>0</v>
      </c>
      <c r="F81" s="283"/>
      <c r="G81" s="282">
        <v>0</v>
      </c>
      <c r="H81" s="283"/>
      <c r="I81" s="284">
        <v>0</v>
      </c>
      <c r="J81" s="285">
        <v>0</v>
      </c>
      <c r="K81" s="285">
        <v>0</v>
      </c>
      <c r="L81" s="285">
        <v>0</v>
      </c>
      <c r="M81" s="285">
        <v>0</v>
      </c>
      <c r="N81" s="285">
        <v>0</v>
      </c>
      <c r="O81" s="285">
        <v>0</v>
      </c>
      <c r="P81" s="285">
        <v>0</v>
      </c>
      <c r="Q81" s="285">
        <v>0</v>
      </c>
      <c r="R81" s="286">
        <f>SUM(J81:Q81)</f>
        <v>0</v>
      </c>
      <c r="S81" s="287">
        <f>I81-R81</f>
        <v>0</v>
      </c>
      <c r="T81" s="288">
        <f>G81-I81</f>
        <v>0</v>
      </c>
      <c r="U81" s="289">
        <v>0</v>
      </c>
      <c r="V81" s="290" t="e">
        <f t="shared" si="1"/>
        <v>#DIV/0!</v>
      </c>
      <c r="X81" s="329"/>
      <c r="Y81" s="285"/>
      <c r="Z81" s="285"/>
      <c r="AA81" s="285"/>
      <c r="AB81" s="285"/>
      <c r="AC81" s="285"/>
      <c r="AD81" s="285"/>
      <c r="AE81" s="285"/>
    </row>
    <row r="82" spans="1:31" ht="18.95" customHeight="1">
      <c r="A82" s="314" t="s">
        <v>106</v>
      </c>
      <c r="B82" s="291" t="s">
        <v>38</v>
      </c>
      <c r="C82" s="292" t="s">
        <v>107</v>
      </c>
      <c r="D82" s="293" t="s">
        <v>40</v>
      </c>
      <c r="E82" s="294">
        <v>884700</v>
      </c>
      <c r="F82" s="295"/>
      <c r="G82" s="294">
        <v>1071750</v>
      </c>
      <c r="H82" s="295"/>
      <c r="I82" s="296">
        <v>1071750</v>
      </c>
      <c r="J82" s="273">
        <v>0</v>
      </c>
      <c r="K82" s="273">
        <v>0</v>
      </c>
      <c r="L82" s="273">
        <v>0</v>
      </c>
      <c r="M82" s="273">
        <v>0</v>
      </c>
      <c r="N82" s="273">
        <v>0</v>
      </c>
      <c r="O82" s="273">
        <v>0</v>
      </c>
      <c r="P82" s="273">
        <v>0</v>
      </c>
      <c r="Q82" s="273">
        <v>0</v>
      </c>
      <c r="R82" s="274">
        <f>SUM(J82:Q82)</f>
        <v>0</v>
      </c>
      <c r="S82" s="275">
        <f>I82-R82</f>
        <v>1071750</v>
      </c>
      <c r="T82" s="276">
        <f>G82-I82</f>
        <v>0</v>
      </c>
      <c r="U82" s="297">
        <v>8</v>
      </c>
      <c r="V82" s="278">
        <f t="shared" si="1"/>
        <v>0</v>
      </c>
      <c r="X82" s="328"/>
      <c r="Y82" s="273"/>
      <c r="Z82" s="273"/>
      <c r="AA82" s="273"/>
      <c r="AB82" s="273"/>
      <c r="AC82" s="273"/>
      <c r="AD82" s="273"/>
      <c r="AE82" s="273"/>
    </row>
    <row r="83" spans="1:31" ht="18.95" customHeight="1">
      <c r="A83" s="312"/>
      <c r="B83" s="279"/>
      <c r="C83" s="280" t="s">
        <v>107</v>
      </c>
      <c r="D83" s="281" t="s">
        <v>43</v>
      </c>
      <c r="E83" s="282">
        <v>0</v>
      </c>
      <c r="F83" s="283"/>
      <c r="G83" s="282">
        <v>0</v>
      </c>
      <c r="H83" s="283"/>
      <c r="I83" s="284">
        <v>0</v>
      </c>
      <c r="J83" s="285">
        <v>0</v>
      </c>
      <c r="K83" s="285">
        <v>0</v>
      </c>
      <c r="L83" s="285">
        <v>0</v>
      </c>
      <c r="M83" s="285">
        <v>0</v>
      </c>
      <c r="N83" s="285">
        <v>0</v>
      </c>
      <c r="O83" s="285">
        <v>0</v>
      </c>
      <c r="P83" s="285">
        <v>0</v>
      </c>
      <c r="Q83" s="285">
        <v>0</v>
      </c>
      <c r="R83" s="286">
        <f>SUM(J83:Q83)</f>
        <v>0</v>
      </c>
      <c r="S83" s="287">
        <f>I83-R83</f>
        <v>0</v>
      </c>
      <c r="T83" s="288">
        <f>G83-I83</f>
        <v>0</v>
      </c>
      <c r="U83" s="289">
        <v>0</v>
      </c>
      <c r="V83" s="290" t="e">
        <f t="shared" si="1"/>
        <v>#DIV/0!</v>
      </c>
      <c r="X83" s="329"/>
      <c r="Y83" s="285"/>
      <c r="Z83" s="285"/>
      <c r="AA83" s="285"/>
      <c r="AB83" s="285"/>
      <c r="AC83" s="285"/>
      <c r="AD83" s="285"/>
      <c r="AE83" s="285"/>
    </row>
    <row r="84" spans="1:31" ht="18.95" customHeight="1">
      <c r="A84" s="313"/>
      <c r="B84" s="279"/>
      <c r="C84" s="280" t="s">
        <v>108</v>
      </c>
      <c r="D84" s="281" t="s">
        <v>43</v>
      </c>
      <c r="E84" s="282">
        <v>0</v>
      </c>
      <c r="F84" s="283"/>
      <c r="G84" s="282">
        <v>0</v>
      </c>
      <c r="H84" s="283"/>
      <c r="I84" s="284">
        <v>0</v>
      </c>
      <c r="J84" s="285">
        <v>0</v>
      </c>
      <c r="K84" s="285">
        <v>0</v>
      </c>
      <c r="L84" s="285">
        <v>0</v>
      </c>
      <c r="M84" s="285">
        <v>0</v>
      </c>
      <c r="N84" s="285">
        <v>0</v>
      </c>
      <c r="O84" s="285">
        <v>0</v>
      </c>
      <c r="P84" s="285">
        <v>0</v>
      </c>
      <c r="Q84" s="285">
        <v>0</v>
      </c>
      <c r="R84" s="286">
        <f>SUM(J84:Q84)</f>
        <v>0</v>
      </c>
      <c r="S84" s="287">
        <f>I84-R84</f>
        <v>0</v>
      </c>
      <c r="T84" s="288">
        <f>G84-I84</f>
        <v>0</v>
      </c>
      <c r="U84" s="289">
        <v>0</v>
      </c>
      <c r="V84" s="290" t="e">
        <f t="shared" si="1"/>
        <v>#DIV/0!</v>
      </c>
      <c r="X84" s="329"/>
      <c r="Y84" s="285"/>
      <c r="Z84" s="285"/>
      <c r="AA84" s="285"/>
      <c r="AB84" s="285"/>
      <c r="AC84" s="285"/>
      <c r="AD84" s="285"/>
      <c r="AE84" s="285"/>
    </row>
    <row r="85" spans="1:31" ht="18.95" customHeight="1">
      <c r="A85" s="314" t="s">
        <v>109</v>
      </c>
      <c r="B85" s="291" t="s">
        <v>38</v>
      </c>
      <c r="C85" s="292" t="s">
        <v>110</v>
      </c>
      <c r="D85" s="293" t="s">
        <v>40</v>
      </c>
      <c r="E85" s="294">
        <v>4145400</v>
      </c>
      <c r="F85" s="295"/>
      <c r="G85" s="294">
        <v>4604830</v>
      </c>
      <c r="H85" s="295"/>
      <c r="I85" s="296">
        <v>4545390</v>
      </c>
      <c r="J85" s="273">
        <v>0</v>
      </c>
      <c r="K85" s="273">
        <v>0</v>
      </c>
      <c r="L85" s="273">
        <v>2800000</v>
      </c>
      <c r="M85" s="273">
        <v>0</v>
      </c>
      <c r="N85" s="273">
        <v>0</v>
      </c>
      <c r="O85" s="273">
        <v>1141700</v>
      </c>
      <c r="P85" s="273">
        <v>0</v>
      </c>
      <c r="Q85" s="273">
        <v>0</v>
      </c>
      <c r="R85" s="274">
        <f>SUM(J85:Q85)</f>
        <v>3941700</v>
      </c>
      <c r="S85" s="275">
        <f>I85-R85</f>
        <v>603690</v>
      </c>
      <c r="T85" s="276">
        <f>G85-I85</f>
        <v>59440</v>
      </c>
      <c r="U85" s="297">
        <v>2</v>
      </c>
      <c r="V85" s="278">
        <f t="shared" si="1"/>
        <v>1970850</v>
      </c>
      <c r="X85" s="328"/>
      <c r="Y85" s="273"/>
      <c r="Z85" s="273"/>
      <c r="AA85" s="273"/>
      <c r="AB85" s="273"/>
      <c r="AC85" s="273"/>
      <c r="AD85" s="273"/>
      <c r="AE85" s="273"/>
    </row>
    <row r="86" spans="1:31" ht="18.95" customHeight="1">
      <c r="A86" s="312"/>
      <c r="B86" s="279" t="s">
        <v>38</v>
      </c>
      <c r="C86" s="280" t="s">
        <v>110</v>
      </c>
      <c r="D86" s="281" t="s">
        <v>43</v>
      </c>
      <c r="E86" s="282">
        <v>0</v>
      </c>
      <c r="F86" s="283"/>
      <c r="G86" s="282">
        <v>0</v>
      </c>
      <c r="H86" s="283"/>
      <c r="I86" s="284">
        <v>0</v>
      </c>
      <c r="J86" s="285">
        <v>0</v>
      </c>
      <c r="K86" s="285">
        <v>0</v>
      </c>
      <c r="L86" s="285">
        <v>0</v>
      </c>
      <c r="M86" s="285">
        <v>0</v>
      </c>
      <c r="N86" s="285">
        <v>-158100</v>
      </c>
      <c r="O86" s="285">
        <v>-479500</v>
      </c>
      <c r="P86" s="285">
        <v>-727180</v>
      </c>
      <c r="Q86" s="285">
        <v>0</v>
      </c>
      <c r="R86" s="286">
        <f>SUM(J86:Q86)</f>
        <v>-1364780</v>
      </c>
      <c r="S86" s="287">
        <f>I86-R86</f>
        <v>1364780</v>
      </c>
      <c r="T86" s="288">
        <f>G86-I86</f>
        <v>0</v>
      </c>
      <c r="U86" s="289">
        <v>0</v>
      </c>
      <c r="V86" s="290" t="e">
        <f t="shared" si="1"/>
        <v>#DIV/0!</v>
      </c>
      <c r="X86" s="329"/>
      <c r="Y86" s="285"/>
      <c r="Z86" s="285"/>
      <c r="AA86" s="285"/>
      <c r="AB86" s="285"/>
      <c r="AC86" s="285"/>
      <c r="AD86" s="285"/>
      <c r="AE86" s="285"/>
    </row>
    <row r="87" spans="1:31" ht="18.95" customHeight="1">
      <c r="A87" s="312"/>
      <c r="B87" s="279" t="s">
        <v>38</v>
      </c>
      <c r="C87" s="280" t="s">
        <v>111</v>
      </c>
      <c r="D87" s="281" t="s">
        <v>40</v>
      </c>
      <c r="E87" s="282">
        <v>4275800</v>
      </c>
      <c r="F87" s="283"/>
      <c r="G87" s="282">
        <v>4366500</v>
      </c>
      <c r="H87" s="283"/>
      <c r="I87" s="284">
        <v>4366500</v>
      </c>
      <c r="J87" s="285">
        <v>0</v>
      </c>
      <c r="K87" s="285">
        <v>0</v>
      </c>
      <c r="L87" s="285">
        <v>0</v>
      </c>
      <c r="M87" s="285">
        <v>1840000</v>
      </c>
      <c r="N87" s="285">
        <v>1860000</v>
      </c>
      <c r="O87" s="285">
        <v>0</v>
      </c>
      <c r="P87" s="285">
        <v>0</v>
      </c>
      <c r="Q87" s="285">
        <v>0</v>
      </c>
      <c r="R87" s="286">
        <f>SUM(J87:Q87)</f>
        <v>3700000</v>
      </c>
      <c r="S87" s="287">
        <f>I87-R87</f>
        <v>666500</v>
      </c>
      <c r="T87" s="288">
        <f>G87-I87</f>
        <v>0</v>
      </c>
      <c r="U87" s="289">
        <v>21</v>
      </c>
      <c r="V87" s="290">
        <f t="shared" si="1"/>
        <v>176190.47619047618</v>
      </c>
      <c r="X87" s="329"/>
      <c r="Y87" s="285"/>
      <c r="Z87" s="285"/>
      <c r="AA87" s="285"/>
      <c r="AB87" s="285"/>
      <c r="AC87" s="285"/>
      <c r="AD87" s="285"/>
      <c r="AE87" s="285"/>
    </row>
    <row r="88" spans="1:31" ht="18.95" customHeight="1">
      <c r="A88" s="312"/>
      <c r="B88" s="279" t="s">
        <v>53</v>
      </c>
      <c r="C88" s="280" t="s">
        <v>112</v>
      </c>
      <c r="D88" s="281" t="s">
        <v>43</v>
      </c>
      <c r="E88" s="282">
        <v>0</v>
      </c>
      <c r="F88" s="283"/>
      <c r="G88" s="282">
        <v>0</v>
      </c>
      <c r="H88" s="283"/>
      <c r="I88" s="284">
        <v>0</v>
      </c>
      <c r="J88" s="285">
        <v>0</v>
      </c>
      <c r="K88" s="285">
        <v>0</v>
      </c>
      <c r="L88" s="285">
        <v>0</v>
      </c>
      <c r="M88" s="285">
        <v>149560</v>
      </c>
      <c r="N88" s="285">
        <v>803080</v>
      </c>
      <c r="O88" s="285">
        <v>688060</v>
      </c>
      <c r="P88" s="285">
        <v>0</v>
      </c>
      <c r="Q88" s="285">
        <v>0</v>
      </c>
      <c r="R88" s="286">
        <f>SUM(J88:Q88)</f>
        <v>1640700</v>
      </c>
      <c r="S88" s="287">
        <f>I88-R88</f>
        <v>-1640700</v>
      </c>
      <c r="T88" s="288">
        <f>G88-I88</f>
        <v>0</v>
      </c>
      <c r="U88" s="289">
        <v>0</v>
      </c>
      <c r="V88" s="290" t="e">
        <f t="shared" si="1"/>
        <v>#DIV/0!</v>
      </c>
      <c r="X88" s="329"/>
      <c r="Y88" s="285"/>
      <c r="Z88" s="285"/>
      <c r="AA88" s="285"/>
      <c r="AB88" s="285"/>
      <c r="AC88" s="285"/>
      <c r="AD88" s="285"/>
      <c r="AE88" s="285"/>
    </row>
    <row r="89" spans="1:31" ht="18.95" customHeight="1">
      <c r="A89" s="312"/>
      <c r="B89" s="279" t="s">
        <v>102</v>
      </c>
      <c r="C89" s="280" t="s">
        <v>110</v>
      </c>
      <c r="D89" s="281" t="s">
        <v>43</v>
      </c>
      <c r="E89" s="282">
        <v>0</v>
      </c>
      <c r="F89" s="283"/>
      <c r="G89" s="282">
        <v>0</v>
      </c>
      <c r="H89" s="283"/>
      <c r="I89" s="284">
        <v>0</v>
      </c>
      <c r="J89" s="285">
        <v>0</v>
      </c>
      <c r="K89" s="285">
        <v>0</v>
      </c>
      <c r="L89" s="285">
        <v>0</v>
      </c>
      <c r="M89" s="285">
        <v>0</v>
      </c>
      <c r="N89" s="285">
        <v>0</v>
      </c>
      <c r="O89" s="285">
        <v>-368600</v>
      </c>
      <c r="P89" s="285">
        <v>0</v>
      </c>
      <c r="Q89" s="285">
        <v>0</v>
      </c>
      <c r="R89" s="286">
        <f>SUM(J89:Q89)</f>
        <v>-368600</v>
      </c>
      <c r="S89" s="287">
        <f>I89-R89</f>
        <v>368600</v>
      </c>
      <c r="T89" s="288">
        <f>G89-I89</f>
        <v>0</v>
      </c>
      <c r="U89" s="289">
        <v>0</v>
      </c>
      <c r="V89" s="290" t="e">
        <f t="shared" si="1"/>
        <v>#DIV/0!</v>
      </c>
      <c r="X89" s="329"/>
      <c r="Y89" s="285"/>
      <c r="Z89" s="285"/>
      <c r="AA89" s="285"/>
      <c r="AB89" s="285"/>
      <c r="AC89" s="285"/>
      <c r="AD89" s="285"/>
      <c r="AE89" s="285"/>
    </row>
    <row r="90" spans="1:31" ht="18.95" customHeight="1">
      <c r="A90" s="312"/>
      <c r="B90" s="279"/>
      <c r="C90" s="280" t="s">
        <v>110</v>
      </c>
      <c r="D90" s="281" t="s">
        <v>43</v>
      </c>
      <c r="E90" s="282">
        <v>81200</v>
      </c>
      <c r="F90" s="283"/>
      <c r="G90" s="282">
        <v>0</v>
      </c>
      <c r="H90" s="283"/>
      <c r="I90" s="284">
        <v>0</v>
      </c>
      <c r="J90" s="285">
        <v>0</v>
      </c>
      <c r="K90" s="285">
        <v>0</v>
      </c>
      <c r="L90" s="285">
        <v>0</v>
      </c>
      <c r="M90" s="285">
        <v>0</v>
      </c>
      <c r="N90" s="285">
        <v>0</v>
      </c>
      <c r="O90" s="285">
        <v>0</v>
      </c>
      <c r="P90" s="285">
        <v>0</v>
      </c>
      <c r="Q90" s="285">
        <v>0</v>
      </c>
      <c r="R90" s="286">
        <f>SUM(J90:Q90)</f>
        <v>0</v>
      </c>
      <c r="S90" s="287">
        <f>I90-R90</f>
        <v>0</v>
      </c>
      <c r="T90" s="288">
        <f>G90-I90</f>
        <v>0</v>
      </c>
      <c r="U90" s="289">
        <v>0</v>
      </c>
      <c r="V90" s="290" t="e">
        <f t="shared" si="1"/>
        <v>#DIV/0!</v>
      </c>
      <c r="X90" s="329"/>
      <c r="Y90" s="285"/>
      <c r="Z90" s="285"/>
      <c r="AA90" s="285"/>
      <c r="AB90" s="285"/>
      <c r="AC90" s="285"/>
      <c r="AD90" s="285"/>
      <c r="AE90" s="285"/>
    </row>
    <row r="91" spans="1:31" ht="18.95" customHeight="1">
      <c r="A91" s="312"/>
      <c r="B91" s="279"/>
      <c r="C91" s="280" t="s">
        <v>112</v>
      </c>
      <c r="D91" s="281" t="s">
        <v>43</v>
      </c>
      <c r="E91" s="282">
        <v>0</v>
      </c>
      <c r="F91" s="283"/>
      <c r="G91" s="282">
        <v>0</v>
      </c>
      <c r="H91" s="283"/>
      <c r="I91" s="284">
        <v>0</v>
      </c>
      <c r="J91" s="285">
        <v>0</v>
      </c>
      <c r="K91" s="285">
        <v>0</v>
      </c>
      <c r="L91" s="285">
        <v>0</v>
      </c>
      <c r="M91" s="285">
        <v>0</v>
      </c>
      <c r="N91" s="285">
        <v>0</v>
      </c>
      <c r="O91" s="285">
        <v>0</v>
      </c>
      <c r="P91" s="285">
        <v>0</v>
      </c>
      <c r="Q91" s="285">
        <v>0</v>
      </c>
      <c r="R91" s="286">
        <f>SUM(J91:Q91)</f>
        <v>0</v>
      </c>
      <c r="S91" s="287">
        <f>I91-R91</f>
        <v>0</v>
      </c>
      <c r="T91" s="288">
        <f>G91-I91</f>
        <v>0</v>
      </c>
      <c r="U91" s="289">
        <v>0</v>
      </c>
      <c r="V91" s="290" t="e">
        <f t="shared" si="1"/>
        <v>#DIV/0!</v>
      </c>
      <c r="X91" s="329"/>
      <c r="Y91" s="285"/>
      <c r="Z91" s="285"/>
      <c r="AA91" s="285"/>
      <c r="AB91" s="285"/>
      <c r="AC91" s="285"/>
      <c r="AD91" s="285"/>
      <c r="AE91" s="285"/>
    </row>
    <row r="92" spans="1:31" ht="18.95" customHeight="1">
      <c r="A92" s="312"/>
      <c r="B92" s="279"/>
      <c r="C92" s="280" t="s">
        <v>111</v>
      </c>
      <c r="D92" s="281" t="s">
        <v>43</v>
      </c>
      <c r="E92" s="282">
        <v>0</v>
      </c>
      <c r="F92" s="283"/>
      <c r="G92" s="282">
        <v>0</v>
      </c>
      <c r="H92" s="283"/>
      <c r="I92" s="284">
        <v>0</v>
      </c>
      <c r="J92" s="285">
        <v>0</v>
      </c>
      <c r="K92" s="285">
        <v>0</v>
      </c>
      <c r="L92" s="285">
        <v>0</v>
      </c>
      <c r="M92" s="285">
        <v>0</v>
      </c>
      <c r="N92" s="285">
        <v>0</v>
      </c>
      <c r="O92" s="285">
        <v>0</v>
      </c>
      <c r="P92" s="285">
        <v>0</v>
      </c>
      <c r="Q92" s="285">
        <v>0</v>
      </c>
      <c r="R92" s="286">
        <f>SUM(J92:Q92)</f>
        <v>0</v>
      </c>
      <c r="S92" s="287">
        <f>I92-R92</f>
        <v>0</v>
      </c>
      <c r="T92" s="288">
        <f>G92-I92</f>
        <v>0</v>
      </c>
      <c r="U92" s="289">
        <v>0</v>
      </c>
      <c r="V92" s="290" t="e">
        <f t="shared" si="1"/>
        <v>#DIV/0!</v>
      </c>
      <c r="X92" s="329"/>
      <c r="Y92" s="285"/>
      <c r="Z92" s="285"/>
      <c r="AA92" s="285"/>
      <c r="AB92" s="285"/>
      <c r="AC92" s="285"/>
      <c r="AD92" s="285"/>
      <c r="AE92" s="285"/>
    </row>
    <row r="93" spans="1:31" ht="18.95" customHeight="1">
      <c r="A93" s="313"/>
      <c r="B93" s="279"/>
      <c r="C93" s="280" t="s">
        <v>113</v>
      </c>
      <c r="D93" s="281" t="s">
        <v>43</v>
      </c>
      <c r="E93" s="282">
        <v>0</v>
      </c>
      <c r="F93" s="283"/>
      <c r="G93" s="282">
        <v>0</v>
      </c>
      <c r="H93" s="283"/>
      <c r="I93" s="284">
        <v>0</v>
      </c>
      <c r="J93" s="285">
        <v>0</v>
      </c>
      <c r="K93" s="285">
        <v>0</v>
      </c>
      <c r="L93" s="285">
        <v>0</v>
      </c>
      <c r="M93" s="285">
        <v>0</v>
      </c>
      <c r="N93" s="285">
        <v>0</v>
      </c>
      <c r="O93" s="285">
        <v>0</v>
      </c>
      <c r="P93" s="285">
        <v>0</v>
      </c>
      <c r="Q93" s="285">
        <v>0</v>
      </c>
      <c r="R93" s="286">
        <f>SUM(J93:Q93)</f>
        <v>0</v>
      </c>
      <c r="S93" s="287">
        <f>I93-R93</f>
        <v>0</v>
      </c>
      <c r="T93" s="288">
        <f>G93-I93</f>
        <v>0</v>
      </c>
      <c r="U93" s="289">
        <v>0</v>
      </c>
      <c r="V93" s="290" t="e">
        <f t="shared" si="1"/>
        <v>#DIV/0!</v>
      </c>
      <c r="X93" s="329"/>
      <c r="Y93" s="285"/>
      <c r="Z93" s="285"/>
      <c r="AA93" s="285"/>
      <c r="AB93" s="285"/>
      <c r="AC93" s="285"/>
      <c r="AD93" s="285"/>
      <c r="AE93" s="285"/>
    </row>
    <row r="94" spans="1:31" ht="18.95" customHeight="1">
      <c r="A94" s="314" t="s">
        <v>114</v>
      </c>
      <c r="B94" s="291" t="s">
        <v>38</v>
      </c>
      <c r="C94" s="292" t="s">
        <v>115</v>
      </c>
      <c r="D94" s="293" t="s">
        <v>40</v>
      </c>
      <c r="E94" s="294">
        <v>2843500</v>
      </c>
      <c r="F94" s="295"/>
      <c r="G94" s="294">
        <v>3056300</v>
      </c>
      <c r="H94" s="295"/>
      <c r="I94" s="296">
        <v>3056300</v>
      </c>
      <c r="J94" s="273">
        <v>0</v>
      </c>
      <c r="K94" s="273">
        <v>0</v>
      </c>
      <c r="L94" s="273">
        <v>0</v>
      </c>
      <c r="M94" s="273">
        <v>0</v>
      </c>
      <c r="N94" s="273">
        <v>0</v>
      </c>
      <c r="O94" s="273">
        <v>3056300</v>
      </c>
      <c r="P94" s="273">
        <v>0</v>
      </c>
      <c r="Q94" s="273">
        <v>0</v>
      </c>
      <c r="R94" s="274">
        <f>SUM(J94:Q94)</f>
        <v>3056300</v>
      </c>
      <c r="S94" s="275">
        <f>I94-R94</f>
        <v>0</v>
      </c>
      <c r="T94" s="276">
        <f>G94-I94</f>
        <v>0</v>
      </c>
      <c r="U94" s="297">
        <v>0</v>
      </c>
      <c r="V94" s="278" t="e">
        <f t="shared" si="1"/>
        <v>#DIV/0!</v>
      </c>
      <c r="X94" s="328"/>
      <c r="Y94" s="273"/>
      <c r="Z94" s="273"/>
      <c r="AA94" s="273"/>
      <c r="AB94" s="273"/>
      <c r="AC94" s="273"/>
      <c r="AD94" s="273"/>
      <c r="AE94" s="273"/>
    </row>
    <row r="95" spans="1:31" ht="18.95" customHeight="1">
      <c r="A95" s="312"/>
      <c r="B95" s="279" t="s">
        <v>38</v>
      </c>
      <c r="C95" s="280" t="s">
        <v>116</v>
      </c>
      <c r="D95" s="281" t="s">
        <v>40</v>
      </c>
      <c r="E95" s="282">
        <v>3837900</v>
      </c>
      <c r="F95" s="283"/>
      <c r="G95" s="282">
        <v>3892000</v>
      </c>
      <c r="H95" s="283"/>
      <c r="I95" s="284">
        <v>3892000</v>
      </c>
      <c r="J95" s="285">
        <v>0</v>
      </c>
      <c r="K95" s="285">
        <v>0</v>
      </c>
      <c r="L95" s="285">
        <v>0</v>
      </c>
      <c r="M95" s="285">
        <v>0</v>
      </c>
      <c r="N95" s="285">
        <v>0</v>
      </c>
      <c r="O95" s="285">
        <v>3892000</v>
      </c>
      <c r="P95" s="285">
        <v>0</v>
      </c>
      <c r="Q95" s="285">
        <v>0</v>
      </c>
      <c r="R95" s="286">
        <f>SUM(J95:Q95)</f>
        <v>3892000</v>
      </c>
      <c r="S95" s="287">
        <f>I95-R95</f>
        <v>0</v>
      </c>
      <c r="T95" s="288">
        <f>G95-I95</f>
        <v>0</v>
      </c>
      <c r="U95" s="289">
        <v>17</v>
      </c>
      <c r="V95" s="290">
        <f t="shared" si="1"/>
        <v>228941.17647058822</v>
      </c>
      <c r="X95" s="329"/>
      <c r="Y95" s="285"/>
      <c r="Z95" s="285"/>
      <c r="AA95" s="285"/>
      <c r="AB95" s="285"/>
      <c r="AC95" s="285"/>
      <c r="AD95" s="285"/>
      <c r="AE95" s="285"/>
    </row>
    <row r="96" spans="1:31" ht="18.95" customHeight="1">
      <c r="A96" s="312"/>
      <c r="B96" s="279"/>
      <c r="C96" s="280" t="s">
        <v>115</v>
      </c>
      <c r="D96" s="281" t="s">
        <v>43</v>
      </c>
      <c r="E96" s="282">
        <v>62300</v>
      </c>
      <c r="F96" s="283"/>
      <c r="G96" s="282">
        <v>0</v>
      </c>
      <c r="H96" s="283"/>
      <c r="I96" s="284">
        <v>0</v>
      </c>
      <c r="J96" s="285">
        <v>0</v>
      </c>
      <c r="K96" s="285">
        <v>0</v>
      </c>
      <c r="L96" s="285">
        <v>0</v>
      </c>
      <c r="M96" s="285">
        <v>0</v>
      </c>
      <c r="N96" s="285">
        <v>0</v>
      </c>
      <c r="O96" s="285">
        <v>0</v>
      </c>
      <c r="P96" s="285">
        <v>0</v>
      </c>
      <c r="Q96" s="285">
        <v>0</v>
      </c>
      <c r="R96" s="286">
        <f>SUM(J96:Q96)</f>
        <v>0</v>
      </c>
      <c r="S96" s="287">
        <f>I96-R96</f>
        <v>0</v>
      </c>
      <c r="T96" s="288">
        <f>G96-I96</f>
        <v>0</v>
      </c>
      <c r="U96" s="289">
        <v>0</v>
      </c>
      <c r="V96" s="290" t="e">
        <f t="shared" si="1"/>
        <v>#DIV/0!</v>
      </c>
      <c r="X96" s="329"/>
      <c r="Y96" s="285"/>
      <c r="Z96" s="285"/>
      <c r="AA96" s="285"/>
      <c r="AB96" s="285"/>
      <c r="AC96" s="285"/>
      <c r="AD96" s="285"/>
      <c r="AE96" s="285"/>
    </row>
    <row r="97" spans="1:31" ht="18.95" customHeight="1">
      <c r="A97" s="312"/>
      <c r="B97" s="279"/>
      <c r="C97" s="280" t="s">
        <v>117</v>
      </c>
      <c r="D97" s="281" t="s">
        <v>43</v>
      </c>
      <c r="E97" s="282">
        <v>0</v>
      </c>
      <c r="F97" s="283"/>
      <c r="G97" s="282">
        <v>0</v>
      </c>
      <c r="H97" s="283"/>
      <c r="I97" s="284">
        <v>0</v>
      </c>
      <c r="J97" s="285">
        <v>0</v>
      </c>
      <c r="K97" s="285">
        <v>0</v>
      </c>
      <c r="L97" s="285">
        <v>0</v>
      </c>
      <c r="M97" s="285">
        <v>0</v>
      </c>
      <c r="N97" s="285">
        <v>0</v>
      </c>
      <c r="O97" s="285">
        <v>0</v>
      </c>
      <c r="P97" s="285">
        <v>0</v>
      </c>
      <c r="Q97" s="285">
        <v>0</v>
      </c>
      <c r="R97" s="286">
        <f>SUM(J97:Q97)</f>
        <v>0</v>
      </c>
      <c r="S97" s="287">
        <f>I97-R97</f>
        <v>0</v>
      </c>
      <c r="T97" s="288">
        <f>G97-I97</f>
        <v>0</v>
      </c>
      <c r="U97" s="289">
        <v>0</v>
      </c>
      <c r="V97" s="290" t="e">
        <f t="shared" si="1"/>
        <v>#DIV/0!</v>
      </c>
      <c r="X97" s="329"/>
      <c r="Y97" s="285"/>
      <c r="Z97" s="285"/>
      <c r="AA97" s="285"/>
      <c r="AB97" s="285"/>
      <c r="AC97" s="285"/>
      <c r="AD97" s="285"/>
      <c r="AE97" s="285"/>
    </row>
    <row r="98" spans="1:31" ht="18.95" customHeight="1">
      <c r="A98" s="312"/>
      <c r="B98" s="279"/>
      <c r="C98" s="280" t="s">
        <v>116</v>
      </c>
      <c r="D98" s="281" t="s">
        <v>43</v>
      </c>
      <c r="E98" s="282">
        <v>0</v>
      </c>
      <c r="F98" s="283"/>
      <c r="G98" s="282">
        <v>0</v>
      </c>
      <c r="H98" s="283"/>
      <c r="I98" s="284">
        <v>0</v>
      </c>
      <c r="J98" s="285">
        <v>0</v>
      </c>
      <c r="K98" s="285">
        <v>0</v>
      </c>
      <c r="L98" s="285">
        <v>0</v>
      </c>
      <c r="M98" s="285">
        <v>0</v>
      </c>
      <c r="N98" s="285">
        <v>0</v>
      </c>
      <c r="O98" s="285">
        <v>0</v>
      </c>
      <c r="P98" s="285">
        <v>0</v>
      </c>
      <c r="Q98" s="285">
        <v>0</v>
      </c>
      <c r="R98" s="286">
        <f>SUM(J98:Q98)</f>
        <v>0</v>
      </c>
      <c r="S98" s="287">
        <f>I98-R98</f>
        <v>0</v>
      </c>
      <c r="T98" s="288">
        <f>G98-I98</f>
        <v>0</v>
      </c>
      <c r="U98" s="289">
        <v>0</v>
      </c>
      <c r="V98" s="290" t="e">
        <f t="shared" si="1"/>
        <v>#DIV/0!</v>
      </c>
      <c r="X98" s="329"/>
      <c r="Y98" s="285"/>
      <c r="Z98" s="285"/>
      <c r="AA98" s="285"/>
      <c r="AB98" s="285"/>
      <c r="AC98" s="285"/>
      <c r="AD98" s="285"/>
      <c r="AE98" s="285"/>
    </row>
    <row r="99" spans="1:31" ht="18.95" customHeight="1">
      <c r="A99" s="313"/>
      <c r="B99" s="279"/>
      <c r="C99" s="280" t="s">
        <v>118</v>
      </c>
      <c r="D99" s="281" t="s">
        <v>43</v>
      </c>
      <c r="E99" s="282">
        <v>0</v>
      </c>
      <c r="F99" s="283"/>
      <c r="G99" s="282">
        <v>0</v>
      </c>
      <c r="H99" s="283"/>
      <c r="I99" s="284">
        <v>0</v>
      </c>
      <c r="J99" s="285">
        <v>0</v>
      </c>
      <c r="K99" s="285">
        <v>0</v>
      </c>
      <c r="L99" s="285">
        <v>0</v>
      </c>
      <c r="M99" s="285">
        <v>0</v>
      </c>
      <c r="N99" s="285">
        <v>0</v>
      </c>
      <c r="O99" s="285">
        <v>0</v>
      </c>
      <c r="P99" s="285">
        <v>0</v>
      </c>
      <c r="Q99" s="285">
        <v>0</v>
      </c>
      <c r="R99" s="286">
        <f>SUM(J99:Q99)</f>
        <v>0</v>
      </c>
      <c r="S99" s="287">
        <f>I99-R99</f>
        <v>0</v>
      </c>
      <c r="T99" s="288">
        <f>G99-I99</f>
        <v>0</v>
      </c>
      <c r="U99" s="289">
        <v>0</v>
      </c>
      <c r="V99" s="290" t="e">
        <f t="shared" si="1"/>
        <v>#DIV/0!</v>
      </c>
      <c r="X99" s="329"/>
      <c r="Y99" s="285"/>
      <c r="Z99" s="285"/>
      <c r="AA99" s="285"/>
      <c r="AB99" s="285"/>
      <c r="AC99" s="285"/>
      <c r="AD99" s="285"/>
      <c r="AE99" s="285"/>
    </row>
    <row r="100" spans="1:31" ht="18.95" customHeight="1">
      <c r="A100" s="314" t="s">
        <v>119</v>
      </c>
      <c r="B100" s="291" t="s">
        <v>38</v>
      </c>
      <c r="C100" s="292" t="s">
        <v>120</v>
      </c>
      <c r="D100" s="293" t="s">
        <v>40</v>
      </c>
      <c r="E100" s="294">
        <v>1539000</v>
      </c>
      <c r="F100" s="295"/>
      <c r="G100" s="294">
        <v>1556560</v>
      </c>
      <c r="H100" s="295"/>
      <c r="I100" s="296">
        <v>1556560</v>
      </c>
      <c r="J100" s="273">
        <v>0</v>
      </c>
      <c r="K100" s="273">
        <v>0</v>
      </c>
      <c r="L100" s="273">
        <v>0</v>
      </c>
      <c r="M100" s="273">
        <v>0</v>
      </c>
      <c r="N100" s="273">
        <v>0</v>
      </c>
      <c r="O100" s="273">
        <v>0</v>
      </c>
      <c r="P100" s="273">
        <v>0</v>
      </c>
      <c r="Q100" s="273">
        <v>0</v>
      </c>
      <c r="R100" s="274">
        <f>SUM(J100:Q100)</f>
        <v>0</v>
      </c>
      <c r="S100" s="275">
        <f>I100-R100</f>
        <v>1556560</v>
      </c>
      <c r="T100" s="276">
        <f>G100-I100</f>
        <v>0</v>
      </c>
      <c r="U100" s="297">
        <v>0</v>
      </c>
      <c r="V100" s="278" t="e">
        <f t="shared" si="1"/>
        <v>#DIV/0!</v>
      </c>
      <c r="X100" s="328"/>
      <c r="Y100" s="273"/>
      <c r="Z100" s="273"/>
      <c r="AA100" s="273"/>
      <c r="AB100" s="273"/>
      <c r="AC100" s="273"/>
      <c r="AD100" s="273"/>
      <c r="AE100" s="273"/>
    </row>
    <row r="101" spans="1:31" ht="18.95" customHeight="1">
      <c r="A101" s="312"/>
      <c r="B101" s="279"/>
      <c r="C101" s="280" t="s">
        <v>120</v>
      </c>
      <c r="D101" s="281" t="s">
        <v>43</v>
      </c>
      <c r="E101" s="282">
        <v>0</v>
      </c>
      <c r="F101" s="283"/>
      <c r="G101" s="282">
        <v>0</v>
      </c>
      <c r="H101" s="283"/>
      <c r="I101" s="284">
        <v>0</v>
      </c>
      <c r="J101" s="285">
        <v>0</v>
      </c>
      <c r="K101" s="285">
        <v>0</v>
      </c>
      <c r="L101" s="285">
        <v>0</v>
      </c>
      <c r="M101" s="285">
        <v>0</v>
      </c>
      <c r="N101" s="285">
        <v>0</v>
      </c>
      <c r="O101" s="285">
        <v>0</v>
      </c>
      <c r="P101" s="285">
        <v>0</v>
      </c>
      <c r="Q101" s="285">
        <v>0</v>
      </c>
      <c r="R101" s="286">
        <f>SUM(J101:Q101)</f>
        <v>0</v>
      </c>
      <c r="S101" s="287">
        <f>I101-R101</f>
        <v>0</v>
      </c>
      <c r="T101" s="288">
        <f>G101-I101</f>
        <v>0</v>
      </c>
      <c r="U101" s="289">
        <v>0</v>
      </c>
      <c r="V101" s="290" t="e">
        <f t="shared" si="1"/>
        <v>#DIV/0!</v>
      </c>
      <c r="X101" s="329"/>
      <c r="Y101" s="285"/>
      <c r="Z101" s="285"/>
      <c r="AA101" s="285"/>
      <c r="AB101" s="285"/>
      <c r="AC101" s="285"/>
      <c r="AD101" s="285"/>
      <c r="AE101" s="285"/>
    </row>
    <row r="102" spans="1:31" ht="18.95" customHeight="1">
      <c r="A102" s="313"/>
      <c r="B102" s="279"/>
      <c r="C102" s="280" t="s">
        <v>121</v>
      </c>
      <c r="D102" s="281" t="s">
        <v>43</v>
      </c>
      <c r="E102" s="282">
        <v>0</v>
      </c>
      <c r="F102" s="283"/>
      <c r="G102" s="282">
        <v>0</v>
      </c>
      <c r="H102" s="283"/>
      <c r="I102" s="284">
        <v>0</v>
      </c>
      <c r="J102" s="285">
        <v>0</v>
      </c>
      <c r="K102" s="285">
        <v>0</v>
      </c>
      <c r="L102" s="285">
        <v>0</v>
      </c>
      <c r="M102" s="285">
        <v>0</v>
      </c>
      <c r="N102" s="285">
        <v>0</v>
      </c>
      <c r="O102" s="285">
        <v>0</v>
      </c>
      <c r="P102" s="285">
        <v>0</v>
      </c>
      <c r="Q102" s="285">
        <v>0</v>
      </c>
      <c r="R102" s="286">
        <f>SUM(J102:Q102)</f>
        <v>0</v>
      </c>
      <c r="S102" s="287">
        <f>I102-R102</f>
        <v>0</v>
      </c>
      <c r="T102" s="288">
        <f>G102-I102</f>
        <v>0</v>
      </c>
      <c r="U102" s="289">
        <v>0</v>
      </c>
      <c r="V102" s="290" t="e">
        <f t="shared" si="1"/>
        <v>#DIV/0!</v>
      </c>
      <c r="X102" s="329"/>
      <c r="Y102" s="285"/>
      <c r="Z102" s="285"/>
      <c r="AA102" s="285"/>
      <c r="AB102" s="285"/>
      <c r="AC102" s="285"/>
      <c r="AD102" s="285"/>
      <c r="AE102" s="285"/>
    </row>
    <row r="103" spans="1:31" ht="18.95" customHeight="1">
      <c r="A103" s="314" t="s">
        <v>122</v>
      </c>
      <c r="B103" s="291" t="s">
        <v>38</v>
      </c>
      <c r="C103" s="292" t="s">
        <v>123</v>
      </c>
      <c r="D103" s="293" t="s">
        <v>40</v>
      </c>
      <c r="E103" s="294">
        <v>2525000</v>
      </c>
      <c r="F103" s="295"/>
      <c r="G103" s="294">
        <v>3351500</v>
      </c>
      <c r="H103" s="295"/>
      <c r="I103" s="296">
        <v>2851450</v>
      </c>
      <c r="J103" s="273">
        <v>0</v>
      </c>
      <c r="K103" s="273">
        <v>0</v>
      </c>
      <c r="L103" s="273">
        <v>600000</v>
      </c>
      <c r="M103" s="273">
        <v>90000</v>
      </c>
      <c r="N103" s="273">
        <v>0</v>
      </c>
      <c r="O103" s="273">
        <v>690000</v>
      </c>
      <c r="P103" s="273">
        <v>0</v>
      </c>
      <c r="Q103" s="273">
        <v>0</v>
      </c>
      <c r="R103" s="274">
        <f>SUM(J103:Q103)</f>
        <v>1380000</v>
      </c>
      <c r="S103" s="275">
        <f>I103-R103</f>
        <v>1471450</v>
      </c>
      <c r="T103" s="276">
        <f>G103-I103</f>
        <v>500050</v>
      </c>
      <c r="U103" s="297">
        <v>27</v>
      </c>
      <c r="V103" s="278">
        <f t="shared" si="1"/>
        <v>51111.111111111109</v>
      </c>
      <c r="X103" s="328"/>
      <c r="Y103" s="273"/>
      <c r="Z103" s="273"/>
      <c r="AA103" s="273"/>
      <c r="AB103" s="273"/>
      <c r="AC103" s="273"/>
      <c r="AD103" s="273"/>
      <c r="AE103" s="273"/>
    </row>
    <row r="104" spans="1:31" ht="18.95" customHeight="1">
      <c r="A104" s="312"/>
      <c r="B104" s="279" t="s">
        <v>124</v>
      </c>
      <c r="C104" s="280" t="s">
        <v>123</v>
      </c>
      <c r="D104" s="281" t="s">
        <v>125</v>
      </c>
      <c r="E104" s="282">
        <v>500000</v>
      </c>
      <c r="F104" s="283"/>
      <c r="G104" s="282">
        <v>0</v>
      </c>
      <c r="H104" s="283"/>
      <c r="I104" s="284">
        <v>527000</v>
      </c>
      <c r="J104" s="285">
        <v>0</v>
      </c>
      <c r="K104" s="285">
        <v>0</v>
      </c>
      <c r="L104" s="285">
        <v>0</v>
      </c>
      <c r="M104" s="285">
        <v>0</v>
      </c>
      <c r="N104" s="285">
        <v>0</v>
      </c>
      <c r="O104" s="285">
        <v>527000</v>
      </c>
      <c r="P104" s="285">
        <v>0</v>
      </c>
      <c r="Q104" s="285">
        <v>0</v>
      </c>
      <c r="R104" s="286">
        <f>SUM(J104:Q104)</f>
        <v>527000</v>
      </c>
      <c r="S104" s="287">
        <f>I104-R104</f>
        <v>0</v>
      </c>
      <c r="T104" s="288">
        <f>G104-I104</f>
        <v>-527000</v>
      </c>
      <c r="U104" s="289">
        <v>0</v>
      </c>
      <c r="V104" s="290" t="e">
        <f t="shared" si="1"/>
        <v>#DIV/0!</v>
      </c>
      <c r="X104" s="329"/>
      <c r="Y104" s="285"/>
      <c r="Z104" s="285"/>
      <c r="AA104" s="285"/>
      <c r="AB104" s="285"/>
      <c r="AC104" s="285"/>
      <c r="AD104" s="285"/>
      <c r="AE104" s="285"/>
    </row>
    <row r="105" spans="1:31" ht="18.95" customHeight="1">
      <c r="A105" s="312"/>
      <c r="B105" s="279" t="s">
        <v>124</v>
      </c>
      <c r="C105" s="280" t="s">
        <v>123</v>
      </c>
      <c r="D105" s="281" t="s">
        <v>43</v>
      </c>
      <c r="E105" s="282">
        <v>0</v>
      </c>
      <c r="F105" s="283"/>
      <c r="G105" s="282">
        <v>0</v>
      </c>
      <c r="H105" s="283"/>
      <c r="I105" s="284">
        <v>0</v>
      </c>
      <c r="J105" s="285">
        <v>0</v>
      </c>
      <c r="K105" s="285">
        <v>0</v>
      </c>
      <c r="L105" s="285">
        <v>0</v>
      </c>
      <c r="M105" s="285">
        <v>0</v>
      </c>
      <c r="N105" s="285">
        <v>30000</v>
      </c>
      <c r="O105" s="285">
        <v>0</v>
      </c>
      <c r="P105" s="285">
        <v>0</v>
      </c>
      <c r="Q105" s="285">
        <v>0</v>
      </c>
      <c r="R105" s="286">
        <f>SUM(J105:Q105)</f>
        <v>30000</v>
      </c>
      <c r="S105" s="287">
        <f>I105-R105</f>
        <v>-30000</v>
      </c>
      <c r="T105" s="288">
        <f>G105-I105</f>
        <v>0</v>
      </c>
      <c r="U105" s="289">
        <v>0</v>
      </c>
      <c r="V105" s="290" t="e">
        <f t="shared" si="1"/>
        <v>#DIV/0!</v>
      </c>
      <c r="X105" s="329"/>
      <c r="Y105" s="285"/>
      <c r="Z105" s="285"/>
      <c r="AA105" s="285"/>
      <c r="AB105" s="285"/>
      <c r="AC105" s="285"/>
      <c r="AD105" s="285"/>
      <c r="AE105" s="285"/>
    </row>
    <row r="106" spans="1:31" ht="18.95" customHeight="1">
      <c r="A106" s="312"/>
      <c r="B106" s="279" t="s">
        <v>46</v>
      </c>
      <c r="C106" s="280" t="s">
        <v>126</v>
      </c>
      <c r="D106" s="281" t="s">
        <v>127</v>
      </c>
      <c r="E106" s="282">
        <v>3285050</v>
      </c>
      <c r="F106" s="283"/>
      <c r="G106" s="282">
        <v>2000000</v>
      </c>
      <c r="H106" s="283"/>
      <c r="I106" s="284">
        <v>2000000</v>
      </c>
      <c r="J106" s="285">
        <v>0</v>
      </c>
      <c r="K106" s="285">
        <v>0</v>
      </c>
      <c r="L106" s="285">
        <v>0</v>
      </c>
      <c r="M106" s="285">
        <v>0</v>
      </c>
      <c r="N106" s="285">
        <v>0</v>
      </c>
      <c r="O106" s="285">
        <v>0</v>
      </c>
      <c r="P106" s="285">
        <v>0</v>
      </c>
      <c r="Q106" s="285">
        <v>0</v>
      </c>
      <c r="R106" s="286">
        <f>SUM(J106:Q106)</f>
        <v>0</v>
      </c>
      <c r="S106" s="287">
        <f>I106-R106</f>
        <v>2000000</v>
      </c>
      <c r="T106" s="288">
        <f>G106-I106</f>
        <v>0</v>
      </c>
      <c r="U106" s="289">
        <v>0</v>
      </c>
      <c r="V106" s="290" t="e">
        <f t="shared" si="1"/>
        <v>#DIV/0!</v>
      </c>
      <c r="X106" s="329"/>
      <c r="Y106" s="285"/>
      <c r="Z106" s="285"/>
      <c r="AA106" s="285"/>
      <c r="AB106" s="285"/>
      <c r="AC106" s="285"/>
      <c r="AD106" s="285"/>
      <c r="AE106" s="285"/>
    </row>
    <row r="107" spans="1:31" ht="18.95" customHeight="1">
      <c r="A107" s="312"/>
      <c r="B107" s="279" t="s">
        <v>46</v>
      </c>
      <c r="C107" s="280" t="s">
        <v>123</v>
      </c>
      <c r="D107" s="281" t="s">
        <v>43</v>
      </c>
      <c r="E107" s="282">
        <v>0</v>
      </c>
      <c r="F107" s="283"/>
      <c r="G107" s="282">
        <v>0</v>
      </c>
      <c r="H107" s="283"/>
      <c r="I107" s="284">
        <v>0</v>
      </c>
      <c r="J107" s="285">
        <v>0</v>
      </c>
      <c r="K107" s="285">
        <v>0</v>
      </c>
      <c r="L107" s="285">
        <v>0</v>
      </c>
      <c r="M107" s="285">
        <v>108000</v>
      </c>
      <c r="N107" s="285">
        <v>0</v>
      </c>
      <c r="O107" s="285">
        <v>54000</v>
      </c>
      <c r="P107" s="285">
        <v>0</v>
      </c>
      <c r="Q107" s="285">
        <v>0</v>
      </c>
      <c r="R107" s="286">
        <f>SUM(J107:Q107)</f>
        <v>162000</v>
      </c>
      <c r="S107" s="287">
        <f>I107-R107</f>
        <v>-162000</v>
      </c>
      <c r="T107" s="288">
        <f>G107-I107</f>
        <v>0</v>
      </c>
      <c r="U107" s="289">
        <v>2</v>
      </c>
      <c r="V107" s="290">
        <f t="shared" si="1"/>
        <v>81000</v>
      </c>
      <c r="X107" s="329"/>
      <c r="Y107" s="285"/>
      <c r="Z107" s="285"/>
      <c r="AA107" s="285"/>
      <c r="AB107" s="285"/>
      <c r="AC107" s="285"/>
      <c r="AD107" s="285"/>
      <c r="AE107" s="285"/>
    </row>
    <row r="108" spans="1:31" ht="18.95" customHeight="1">
      <c r="A108" s="312"/>
      <c r="B108" s="279" t="s">
        <v>128</v>
      </c>
      <c r="C108" s="280" t="s">
        <v>123</v>
      </c>
      <c r="D108" s="281" t="s">
        <v>43</v>
      </c>
      <c r="E108" s="282">
        <v>0</v>
      </c>
      <c r="F108" s="283"/>
      <c r="G108" s="282">
        <v>0</v>
      </c>
      <c r="H108" s="283"/>
      <c r="I108" s="284">
        <v>0</v>
      </c>
      <c r="J108" s="285">
        <v>0</v>
      </c>
      <c r="K108" s="285">
        <v>0</v>
      </c>
      <c r="L108" s="285">
        <v>155000</v>
      </c>
      <c r="M108" s="285">
        <v>0</v>
      </c>
      <c r="N108" s="285">
        <v>0</v>
      </c>
      <c r="O108" s="285">
        <v>0</v>
      </c>
      <c r="P108" s="285">
        <v>0</v>
      </c>
      <c r="Q108" s="285">
        <v>0</v>
      </c>
      <c r="R108" s="286">
        <f>SUM(J108:Q108)</f>
        <v>155000</v>
      </c>
      <c r="S108" s="287">
        <f>I108-R108</f>
        <v>-155000</v>
      </c>
      <c r="T108" s="288">
        <f>G108-I108</f>
        <v>0</v>
      </c>
      <c r="U108" s="289">
        <v>0</v>
      </c>
      <c r="V108" s="290" t="e">
        <f t="shared" si="1"/>
        <v>#DIV/0!</v>
      </c>
      <c r="X108" s="329"/>
      <c r="Y108" s="285"/>
      <c r="Z108" s="285"/>
      <c r="AA108" s="285"/>
      <c r="AB108" s="285"/>
      <c r="AC108" s="285"/>
      <c r="AD108" s="285"/>
      <c r="AE108" s="285"/>
    </row>
    <row r="109" spans="1:31" ht="18.95" customHeight="1">
      <c r="A109" s="312"/>
      <c r="B109" s="279" t="s">
        <v>129</v>
      </c>
      <c r="C109" s="280" t="s">
        <v>123</v>
      </c>
      <c r="D109" s="281" t="s">
        <v>43</v>
      </c>
      <c r="E109" s="282">
        <v>0</v>
      </c>
      <c r="F109" s="283"/>
      <c r="G109" s="282">
        <v>0</v>
      </c>
      <c r="H109" s="283"/>
      <c r="I109" s="284">
        <v>90000</v>
      </c>
      <c r="J109" s="285">
        <v>0</v>
      </c>
      <c r="K109" s="285">
        <v>0</v>
      </c>
      <c r="L109" s="285">
        <v>0</v>
      </c>
      <c r="M109" s="285">
        <v>90000</v>
      </c>
      <c r="N109" s="285">
        <v>0</v>
      </c>
      <c r="O109" s="285">
        <v>0</v>
      </c>
      <c r="P109" s="285">
        <v>0</v>
      </c>
      <c r="Q109" s="285">
        <v>0</v>
      </c>
      <c r="R109" s="286">
        <f>SUM(J109:Q109)</f>
        <v>90000</v>
      </c>
      <c r="S109" s="287">
        <f>I109-R109</f>
        <v>0</v>
      </c>
      <c r="T109" s="288">
        <f>G109-I109</f>
        <v>-90000</v>
      </c>
      <c r="U109" s="289">
        <v>4</v>
      </c>
      <c r="V109" s="290">
        <f t="shared" si="1"/>
        <v>22500</v>
      </c>
      <c r="X109" s="329"/>
      <c r="Y109" s="285"/>
      <c r="Z109" s="285"/>
      <c r="AA109" s="285"/>
      <c r="AB109" s="285"/>
      <c r="AC109" s="285"/>
      <c r="AD109" s="285"/>
      <c r="AE109" s="285"/>
    </row>
    <row r="110" spans="1:31" ht="18.95" customHeight="1">
      <c r="A110" s="312"/>
      <c r="B110" s="279" t="s">
        <v>99</v>
      </c>
      <c r="C110" s="280" t="s">
        <v>123</v>
      </c>
      <c r="D110" s="281" t="s">
        <v>43</v>
      </c>
      <c r="E110" s="282">
        <v>0</v>
      </c>
      <c r="F110" s="283"/>
      <c r="G110" s="282">
        <v>0</v>
      </c>
      <c r="H110" s="283"/>
      <c r="I110" s="284">
        <v>75000</v>
      </c>
      <c r="J110" s="285">
        <v>0</v>
      </c>
      <c r="K110" s="285">
        <v>0</v>
      </c>
      <c r="L110" s="285">
        <v>0</v>
      </c>
      <c r="M110" s="285">
        <v>25000</v>
      </c>
      <c r="N110" s="285">
        <v>0</v>
      </c>
      <c r="O110" s="285">
        <v>0</v>
      </c>
      <c r="P110" s="285">
        <v>0</v>
      </c>
      <c r="Q110" s="285">
        <v>0</v>
      </c>
      <c r="R110" s="286">
        <f>SUM(J110:Q110)</f>
        <v>25000</v>
      </c>
      <c r="S110" s="287">
        <f>I110-R110</f>
        <v>50000</v>
      </c>
      <c r="T110" s="288">
        <f>G110-I110</f>
        <v>-75000</v>
      </c>
      <c r="U110" s="289">
        <v>1</v>
      </c>
      <c r="V110" s="290">
        <f t="shared" si="1"/>
        <v>25000</v>
      </c>
      <c r="X110" s="329"/>
      <c r="Y110" s="285"/>
      <c r="Z110" s="285"/>
      <c r="AA110" s="285"/>
      <c r="AB110" s="285"/>
      <c r="AC110" s="285"/>
      <c r="AD110" s="285"/>
      <c r="AE110" s="285"/>
    </row>
    <row r="111" spans="1:31" ht="18.95" customHeight="1">
      <c r="A111" s="312"/>
      <c r="B111" s="279"/>
      <c r="C111" s="280" t="s">
        <v>126</v>
      </c>
      <c r="D111" s="281" t="s">
        <v>43</v>
      </c>
      <c r="E111" s="282">
        <v>100000</v>
      </c>
      <c r="F111" s="283"/>
      <c r="G111" s="282">
        <v>0</v>
      </c>
      <c r="H111" s="283"/>
      <c r="I111" s="284">
        <v>0</v>
      </c>
      <c r="J111" s="285">
        <v>0</v>
      </c>
      <c r="K111" s="285">
        <v>0</v>
      </c>
      <c r="L111" s="285">
        <v>0</v>
      </c>
      <c r="M111" s="285">
        <v>0</v>
      </c>
      <c r="N111" s="285">
        <v>0</v>
      </c>
      <c r="O111" s="285">
        <v>0</v>
      </c>
      <c r="P111" s="285">
        <v>0</v>
      </c>
      <c r="Q111" s="285">
        <v>0</v>
      </c>
      <c r="R111" s="286">
        <f>SUM(J111:Q111)</f>
        <v>0</v>
      </c>
      <c r="S111" s="287">
        <f>I111-R111</f>
        <v>0</v>
      </c>
      <c r="T111" s="288">
        <f>G111-I111</f>
        <v>0</v>
      </c>
      <c r="U111" s="289">
        <v>0</v>
      </c>
      <c r="V111" s="290" t="e">
        <f t="shared" si="1"/>
        <v>#DIV/0!</v>
      </c>
      <c r="X111" s="329"/>
      <c r="Y111" s="285"/>
      <c r="Z111" s="285"/>
      <c r="AA111" s="285"/>
      <c r="AB111" s="285"/>
      <c r="AC111" s="285"/>
      <c r="AD111" s="285"/>
      <c r="AE111" s="285"/>
    </row>
    <row r="112" spans="1:31" ht="18.95" customHeight="1">
      <c r="A112" s="312"/>
      <c r="B112" s="279"/>
      <c r="C112" s="280" t="s">
        <v>130</v>
      </c>
      <c r="D112" s="281" t="s">
        <v>43</v>
      </c>
      <c r="E112" s="282">
        <v>0</v>
      </c>
      <c r="F112" s="283"/>
      <c r="G112" s="282">
        <v>0</v>
      </c>
      <c r="H112" s="283"/>
      <c r="I112" s="284">
        <v>0</v>
      </c>
      <c r="J112" s="285">
        <v>0</v>
      </c>
      <c r="K112" s="285">
        <v>0</v>
      </c>
      <c r="L112" s="285">
        <v>0</v>
      </c>
      <c r="M112" s="285">
        <v>0</v>
      </c>
      <c r="N112" s="285">
        <v>0</v>
      </c>
      <c r="O112" s="285">
        <v>0</v>
      </c>
      <c r="P112" s="285">
        <v>0</v>
      </c>
      <c r="Q112" s="285">
        <v>0</v>
      </c>
      <c r="R112" s="286">
        <f>SUM(J112:Q112)</f>
        <v>0</v>
      </c>
      <c r="S112" s="287">
        <f>I112-R112</f>
        <v>0</v>
      </c>
      <c r="T112" s="288">
        <f>G112-I112</f>
        <v>0</v>
      </c>
      <c r="U112" s="289">
        <v>0</v>
      </c>
      <c r="V112" s="290" t="e">
        <f t="shared" si="1"/>
        <v>#DIV/0!</v>
      </c>
      <c r="X112" s="329"/>
      <c r="Y112" s="285"/>
      <c r="Z112" s="285"/>
      <c r="AA112" s="285"/>
      <c r="AB112" s="285"/>
      <c r="AC112" s="285"/>
      <c r="AD112" s="285"/>
      <c r="AE112" s="285"/>
    </row>
    <row r="113" spans="1:31" ht="18.95" customHeight="1">
      <c r="A113" s="312"/>
      <c r="B113" s="279"/>
      <c r="C113" s="280" t="s">
        <v>123</v>
      </c>
      <c r="D113" s="281" t="s">
        <v>43</v>
      </c>
      <c r="E113" s="282">
        <v>300000</v>
      </c>
      <c r="F113" s="283"/>
      <c r="G113" s="282">
        <v>200000</v>
      </c>
      <c r="H113" s="283"/>
      <c r="I113" s="284">
        <v>425000</v>
      </c>
      <c r="J113" s="285">
        <v>0</v>
      </c>
      <c r="K113" s="285">
        <v>0</v>
      </c>
      <c r="L113" s="285">
        <v>0</v>
      </c>
      <c r="M113" s="285">
        <v>0</v>
      </c>
      <c r="N113" s="285">
        <v>0</v>
      </c>
      <c r="O113" s="285">
        <v>0</v>
      </c>
      <c r="P113" s="285">
        <v>0</v>
      </c>
      <c r="Q113" s="285">
        <v>0</v>
      </c>
      <c r="R113" s="286">
        <f>SUM(J113:Q113)</f>
        <v>0</v>
      </c>
      <c r="S113" s="287">
        <f>I113-R113</f>
        <v>425000</v>
      </c>
      <c r="T113" s="288">
        <f>G113-I113</f>
        <v>-225000</v>
      </c>
      <c r="U113" s="289">
        <v>0</v>
      </c>
      <c r="V113" s="290" t="e">
        <f t="shared" si="1"/>
        <v>#DIV/0!</v>
      </c>
      <c r="X113" s="329"/>
      <c r="Y113" s="285"/>
      <c r="Z113" s="285"/>
      <c r="AA113" s="285"/>
      <c r="AB113" s="285"/>
      <c r="AC113" s="285"/>
      <c r="AD113" s="285"/>
      <c r="AE113" s="285"/>
    </row>
    <row r="114" spans="1:31" ht="18.95" customHeight="1">
      <c r="A114" s="313"/>
      <c r="B114" s="279"/>
      <c r="C114" s="280" t="s">
        <v>131</v>
      </c>
      <c r="D114" s="281" t="s">
        <v>43</v>
      </c>
      <c r="E114" s="282">
        <v>0</v>
      </c>
      <c r="F114" s="283"/>
      <c r="G114" s="282">
        <v>0</v>
      </c>
      <c r="H114" s="283"/>
      <c r="I114" s="284">
        <v>0</v>
      </c>
      <c r="J114" s="285">
        <v>0</v>
      </c>
      <c r="K114" s="285">
        <v>0</v>
      </c>
      <c r="L114" s="285">
        <v>0</v>
      </c>
      <c r="M114" s="285">
        <v>0</v>
      </c>
      <c r="N114" s="285">
        <v>0</v>
      </c>
      <c r="O114" s="285">
        <v>0</v>
      </c>
      <c r="P114" s="285">
        <v>0</v>
      </c>
      <c r="Q114" s="285">
        <v>0</v>
      </c>
      <c r="R114" s="286">
        <f>SUM(J114:Q114)</f>
        <v>0</v>
      </c>
      <c r="S114" s="287">
        <f>I114-R114</f>
        <v>0</v>
      </c>
      <c r="T114" s="288">
        <f>G114-I114</f>
        <v>0</v>
      </c>
      <c r="U114" s="289">
        <v>0</v>
      </c>
      <c r="V114" s="290" t="e">
        <f t="shared" si="1"/>
        <v>#DIV/0!</v>
      </c>
      <c r="X114" s="329"/>
      <c r="Y114" s="285"/>
      <c r="Z114" s="285"/>
      <c r="AA114" s="285"/>
      <c r="AB114" s="285"/>
      <c r="AC114" s="285"/>
      <c r="AD114" s="285"/>
      <c r="AE114" s="285"/>
    </row>
    <row r="115" spans="1:31" ht="18.95" customHeight="1">
      <c r="A115" s="314" t="s">
        <v>132</v>
      </c>
      <c r="B115" s="291" t="s">
        <v>38</v>
      </c>
      <c r="C115" s="292" t="s">
        <v>133</v>
      </c>
      <c r="D115" s="293" t="s">
        <v>40</v>
      </c>
      <c r="E115" s="294">
        <v>607100</v>
      </c>
      <c r="F115" s="295"/>
      <c r="G115" s="294">
        <v>477250</v>
      </c>
      <c r="H115" s="295"/>
      <c r="I115" s="296">
        <v>477250</v>
      </c>
      <c r="J115" s="273">
        <v>0</v>
      </c>
      <c r="K115" s="273">
        <v>0</v>
      </c>
      <c r="L115" s="273">
        <v>0</v>
      </c>
      <c r="M115" s="273">
        <v>0</v>
      </c>
      <c r="N115" s="273">
        <v>0</v>
      </c>
      <c r="O115" s="273">
        <v>0</v>
      </c>
      <c r="P115" s="273">
        <v>0</v>
      </c>
      <c r="Q115" s="273">
        <v>0</v>
      </c>
      <c r="R115" s="274">
        <f>SUM(J115:Q115)</f>
        <v>0</v>
      </c>
      <c r="S115" s="275">
        <f>I115-R115</f>
        <v>477250</v>
      </c>
      <c r="T115" s="276">
        <f>G115-I115</f>
        <v>0</v>
      </c>
      <c r="U115" s="297">
        <v>0</v>
      </c>
      <c r="V115" s="278" t="e">
        <f t="shared" si="1"/>
        <v>#DIV/0!</v>
      </c>
      <c r="X115" s="328"/>
      <c r="Y115" s="273"/>
      <c r="Z115" s="273"/>
      <c r="AA115" s="273"/>
      <c r="AB115" s="273"/>
      <c r="AC115" s="273"/>
      <c r="AD115" s="273"/>
      <c r="AE115" s="273"/>
    </row>
    <row r="116" spans="1:31" ht="18.95" customHeight="1">
      <c r="A116" s="312"/>
      <c r="B116" s="279"/>
      <c r="C116" s="280" t="s">
        <v>133</v>
      </c>
      <c r="D116" s="281" t="s">
        <v>43</v>
      </c>
      <c r="E116" s="282">
        <v>150000</v>
      </c>
      <c r="F116" s="283"/>
      <c r="G116" s="282">
        <v>0</v>
      </c>
      <c r="H116" s="283"/>
      <c r="I116" s="284">
        <v>0</v>
      </c>
      <c r="J116" s="285">
        <v>0</v>
      </c>
      <c r="K116" s="285">
        <v>0</v>
      </c>
      <c r="L116" s="285">
        <v>0</v>
      </c>
      <c r="M116" s="285">
        <v>0</v>
      </c>
      <c r="N116" s="285">
        <v>0</v>
      </c>
      <c r="O116" s="285">
        <v>0</v>
      </c>
      <c r="P116" s="285">
        <v>0</v>
      </c>
      <c r="Q116" s="285">
        <v>0</v>
      </c>
      <c r="R116" s="286">
        <f>SUM(J116:Q116)</f>
        <v>0</v>
      </c>
      <c r="S116" s="287">
        <f>I116-R116</f>
        <v>0</v>
      </c>
      <c r="T116" s="288">
        <f>G116-I116</f>
        <v>0</v>
      </c>
      <c r="U116" s="289">
        <v>0</v>
      </c>
      <c r="V116" s="290" t="e">
        <f t="shared" si="1"/>
        <v>#DIV/0!</v>
      </c>
      <c r="X116" s="329"/>
      <c r="Y116" s="285"/>
      <c r="Z116" s="285"/>
      <c r="AA116" s="285"/>
      <c r="AB116" s="285"/>
      <c r="AC116" s="285"/>
      <c r="AD116" s="285"/>
      <c r="AE116" s="285"/>
    </row>
    <row r="117" spans="1:31" ht="18.95" customHeight="1" thickBot="1">
      <c r="A117" s="315"/>
      <c r="B117" s="299"/>
      <c r="C117" s="300" t="s">
        <v>134</v>
      </c>
      <c r="D117" s="301" t="s">
        <v>43</v>
      </c>
      <c r="E117" s="302">
        <v>0</v>
      </c>
      <c r="F117" s="303"/>
      <c r="G117" s="302">
        <v>0</v>
      </c>
      <c r="H117" s="303"/>
      <c r="I117" s="304">
        <v>0</v>
      </c>
      <c r="J117" s="305">
        <v>0</v>
      </c>
      <c r="K117" s="305">
        <v>0</v>
      </c>
      <c r="L117" s="305">
        <v>0</v>
      </c>
      <c r="M117" s="305">
        <v>0</v>
      </c>
      <c r="N117" s="305">
        <v>0</v>
      </c>
      <c r="O117" s="305">
        <v>0</v>
      </c>
      <c r="P117" s="305">
        <v>0</v>
      </c>
      <c r="Q117" s="305">
        <v>0</v>
      </c>
      <c r="R117" s="306">
        <f>SUM(J117:Q117)</f>
        <v>0</v>
      </c>
      <c r="S117" s="307">
        <f>I117-R117</f>
        <v>0</v>
      </c>
      <c r="T117" s="308">
        <f>G117-I117</f>
        <v>0</v>
      </c>
      <c r="U117" s="309">
        <v>0</v>
      </c>
      <c r="V117" s="310" t="e">
        <f t="shared" si="1"/>
        <v>#DIV/0!</v>
      </c>
      <c r="X117" s="330"/>
      <c r="Y117" s="305"/>
      <c r="Z117" s="305"/>
      <c r="AA117" s="305"/>
      <c r="AB117" s="305"/>
      <c r="AC117" s="305"/>
      <c r="AD117" s="305"/>
      <c r="AE117" s="305"/>
    </row>
    <row r="118" spans="1:31" ht="18.95" customHeight="1" thickTop="1" thickBot="1">
      <c r="A118" s="27"/>
      <c r="B118" s="28" t="s">
        <v>12</v>
      </c>
      <c r="C118" s="29"/>
      <c r="D118" s="29"/>
      <c r="E118" s="187">
        <f>SUM(E7:F117)</f>
        <v>68199585</v>
      </c>
      <c r="F118" s="188"/>
      <c r="G118" s="187">
        <f>SUM(G7:H117)</f>
        <v>66523590</v>
      </c>
      <c r="H118" s="188"/>
      <c r="I118" s="87">
        <f>SUM(I7:I117)</f>
        <v>73978400</v>
      </c>
      <c r="J118" s="30"/>
      <c r="K118" s="30"/>
      <c r="L118" s="30"/>
      <c r="M118" s="30"/>
      <c r="N118" s="30"/>
      <c r="O118" s="30"/>
      <c r="P118" s="30"/>
      <c r="Q118" s="30"/>
      <c r="R118" s="32">
        <f>SUM(R7:R117)</f>
        <v>52413802</v>
      </c>
      <c r="S118" s="32">
        <f>SUM(S7:S117)</f>
        <v>21564598</v>
      </c>
      <c r="T118" s="33">
        <f>SUM(T7:T117)</f>
        <v>-7454810</v>
      </c>
      <c r="U118" s="298">
        <f>SUM(U7:U117)</f>
        <v>478</v>
      </c>
      <c r="V118" s="34"/>
    </row>
    <row r="119" spans="1:31" ht="15" customHeight="1" thickTop="1">
      <c r="A119" s="189"/>
      <c r="B119" s="190"/>
      <c r="C119" s="190"/>
      <c r="D119" s="190"/>
      <c r="E119" s="191"/>
      <c r="F119" s="191"/>
      <c r="G119" s="191"/>
      <c r="H119" s="191"/>
      <c r="I119" s="191"/>
      <c r="J119" s="190"/>
      <c r="K119" s="190"/>
      <c r="L119" s="190"/>
      <c r="M119" s="190"/>
      <c r="N119" s="190"/>
      <c r="O119" s="190"/>
      <c r="P119" s="190"/>
      <c r="Q119" s="190"/>
      <c r="R119" s="190"/>
      <c r="S119" s="190"/>
      <c r="T119" s="190"/>
      <c r="U119" s="191"/>
      <c r="V119" s="192"/>
    </row>
    <row r="120" spans="1:31" ht="18.95" customHeight="1">
      <c r="A120" s="97"/>
      <c r="B120" s="98" t="s">
        <v>13</v>
      </c>
      <c r="C120" s="98"/>
      <c r="D120" s="99"/>
      <c r="E120" s="193" t="s">
        <v>32</v>
      </c>
      <c r="F120" s="194"/>
      <c r="G120" s="193" t="s">
        <v>14</v>
      </c>
      <c r="H120" s="194"/>
      <c r="I120" s="100" t="s">
        <v>15</v>
      </c>
      <c r="J120" s="101"/>
      <c r="K120" s="101"/>
      <c r="L120" s="101"/>
      <c r="M120" s="101"/>
      <c r="N120" s="101"/>
      <c r="O120" s="101"/>
      <c r="P120" s="101"/>
      <c r="Q120" s="101"/>
      <c r="R120" s="101"/>
      <c r="S120" s="102"/>
      <c r="T120" s="103"/>
      <c r="U120" s="103"/>
      <c r="V120" s="104"/>
    </row>
    <row r="121" spans="1:31" ht="18.95" customHeight="1">
      <c r="A121" s="105"/>
      <c r="B121" s="107"/>
      <c r="C121" s="80"/>
      <c r="D121" s="158"/>
      <c r="E121" s="183"/>
      <c r="F121" s="184"/>
      <c r="G121" s="183"/>
      <c r="H121" s="184"/>
      <c r="I121" s="108"/>
      <c r="J121" s="20"/>
      <c r="K121" s="20"/>
      <c r="L121" s="20"/>
      <c r="M121" s="20"/>
      <c r="N121" s="20"/>
      <c r="O121" s="20"/>
      <c r="P121" s="20"/>
      <c r="Q121" s="20"/>
      <c r="R121" s="81">
        <f>SUM(J121:Q121)</f>
        <v>0</v>
      </c>
      <c r="S121" s="23">
        <f>I121-R121</f>
        <v>0</v>
      </c>
      <c r="T121" s="24">
        <f>G121-I121</f>
        <v>0</v>
      </c>
      <c r="U121" s="68"/>
      <c r="V121" s="88" t="e">
        <f>R121/U121</f>
        <v>#DIV/0!</v>
      </c>
    </row>
    <row r="122" spans="1:31" ht="18.95" customHeight="1">
      <c r="A122" s="106"/>
      <c r="B122" s="109"/>
      <c r="C122" s="71"/>
      <c r="D122" s="157"/>
      <c r="E122" s="185"/>
      <c r="F122" s="186"/>
      <c r="G122" s="185"/>
      <c r="H122" s="186"/>
      <c r="I122" s="110"/>
      <c r="J122" s="111"/>
      <c r="K122" s="111"/>
      <c r="L122" s="111"/>
      <c r="M122" s="111"/>
      <c r="N122" s="111"/>
      <c r="O122" s="111"/>
      <c r="P122" s="111"/>
      <c r="Q122" s="111"/>
      <c r="R122" s="81">
        <f>SUM(J122:Q122)</f>
        <v>0</v>
      </c>
      <c r="S122" s="23">
        <f>I122-R122</f>
        <v>0</v>
      </c>
      <c r="T122" s="24">
        <f>G122-I122</f>
        <v>0</v>
      </c>
      <c r="U122" s="69"/>
      <c r="V122" s="160" t="e">
        <f>R122/U122</f>
        <v>#DIV/0!</v>
      </c>
    </row>
    <row r="123" spans="1:31" ht="18.95" customHeight="1" thickBot="1">
      <c r="A123" s="89"/>
      <c r="B123" s="35" t="s">
        <v>16</v>
      </c>
      <c r="C123" s="35"/>
      <c r="D123" s="36"/>
      <c r="E123" s="168">
        <f>SUM(E121:E122)</f>
        <v>0</v>
      </c>
      <c r="F123" s="169"/>
      <c r="G123" s="168">
        <f>SUM(G121:G122)</f>
        <v>0</v>
      </c>
      <c r="H123" s="169"/>
      <c r="I123" s="37">
        <f>SUM(I121:I122)</f>
        <v>0</v>
      </c>
      <c r="J123" s="38"/>
      <c r="K123" s="38"/>
      <c r="L123" s="38"/>
      <c r="M123" s="38"/>
      <c r="N123" s="38"/>
      <c r="O123" s="38"/>
      <c r="P123" s="38"/>
      <c r="Q123" s="38"/>
      <c r="R123" s="39">
        <f>SUM(R121:R122)</f>
        <v>0</v>
      </c>
      <c r="S123" s="40">
        <f>SUM(S121:S122)</f>
        <v>0</v>
      </c>
      <c r="T123" s="41">
        <f>SUM(T121:T122)</f>
        <v>0</v>
      </c>
      <c r="U123" s="42">
        <f>SUM(U121:U122)</f>
        <v>0</v>
      </c>
      <c r="V123" s="159"/>
    </row>
    <row r="124" spans="1:31" ht="2.25" customHeight="1" thickTop="1" thickBot="1">
      <c r="A124" s="90"/>
      <c r="B124" s="43"/>
      <c r="C124" s="43"/>
      <c r="D124" s="43"/>
      <c r="E124" s="43"/>
      <c r="F124" s="44"/>
      <c r="G124" s="43"/>
      <c r="H124" s="44"/>
      <c r="I124" s="45"/>
      <c r="J124" s="44"/>
      <c r="K124" s="44"/>
      <c r="L124" s="44"/>
      <c r="M124" s="44"/>
      <c r="N124" s="44"/>
      <c r="O124" s="44"/>
      <c r="P124" s="44"/>
      <c r="Q124" s="44"/>
      <c r="R124" s="44"/>
      <c r="S124" s="46"/>
      <c r="T124" s="47"/>
      <c r="U124" s="48"/>
      <c r="V124" s="91"/>
    </row>
    <row r="125" spans="1:31" ht="26.25" customHeight="1" thickTop="1" thickBot="1">
      <c r="A125" s="92"/>
      <c r="B125" s="93" t="s">
        <v>17</v>
      </c>
      <c r="C125" s="93"/>
      <c r="D125" s="93"/>
      <c r="E125" s="170"/>
      <c r="F125" s="171"/>
      <c r="G125" s="170"/>
      <c r="H125" s="171"/>
      <c r="I125" s="49"/>
      <c r="J125" s="49"/>
      <c r="K125" s="49"/>
      <c r="L125" s="49"/>
      <c r="M125" s="49"/>
      <c r="N125" s="49"/>
      <c r="O125" s="49"/>
      <c r="P125" s="49"/>
      <c r="Q125" s="49"/>
      <c r="R125" s="50">
        <f>SUM(R123,R118)</f>
        <v>52413802</v>
      </c>
      <c r="S125" s="51">
        <f>SUM(S123,S118)</f>
        <v>21564598</v>
      </c>
      <c r="T125" s="94">
        <f>T118+T123</f>
        <v>-7454810</v>
      </c>
      <c r="U125" s="95">
        <f>SUM(U123,U118)</f>
        <v>478</v>
      </c>
      <c r="V125" s="96"/>
    </row>
    <row r="126" spans="1:31" ht="2.25" customHeight="1" thickTop="1">
      <c r="A126" s="137"/>
      <c r="B126" s="138"/>
      <c r="C126" s="138"/>
      <c r="D126" s="138"/>
      <c r="E126" s="138"/>
      <c r="F126" s="139"/>
      <c r="G126" s="138"/>
      <c r="H126" s="139"/>
      <c r="I126" s="140"/>
      <c r="J126" s="139"/>
      <c r="K126" s="139"/>
      <c r="L126" s="139"/>
      <c r="M126" s="139"/>
      <c r="N126" s="139"/>
      <c r="O126" s="139"/>
      <c r="P126" s="139"/>
      <c r="Q126" s="139"/>
      <c r="R126" s="139"/>
      <c r="S126" s="141"/>
      <c r="T126" s="142"/>
      <c r="U126" s="143"/>
      <c r="V126" s="144"/>
    </row>
    <row r="127" spans="1:31" ht="18.2" customHeight="1">
      <c r="A127" s="145"/>
      <c r="B127" s="146"/>
      <c r="C127" s="146"/>
      <c r="D127" s="146"/>
      <c r="E127" s="146"/>
      <c r="F127" s="128"/>
      <c r="G127" s="146"/>
      <c r="H127" s="128"/>
      <c r="I127" s="147"/>
      <c r="J127" s="128"/>
      <c r="K127" s="128"/>
      <c r="L127" s="128"/>
      <c r="M127" s="128"/>
      <c r="N127" s="128"/>
      <c r="O127" s="128"/>
      <c r="P127" s="128"/>
      <c r="Q127" s="128"/>
      <c r="R127" s="128"/>
      <c r="S127" s="148"/>
      <c r="T127" s="149"/>
      <c r="U127" s="150"/>
      <c r="V127" s="149"/>
    </row>
    <row r="128" spans="1:31" ht="18.2" customHeight="1">
      <c r="A128" s="258" t="s">
        <v>135</v>
      </c>
      <c r="B128" s="114"/>
      <c r="C128" s="115"/>
      <c r="D128" s="116"/>
      <c r="E128" s="172">
        <v>24160000</v>
      </c>
      <c r="F128" s="173"/>
      <c r="G128" s="174">
        <v>4427000</v>
      </c>
      <c r="H128" s="175"/>
      <c r="I128" s="117">
        <v>3996920</v>
      </c>
      <c r="J128" s="261">
        <v>10</v>
      </c>
      <c r="K128" s="261">
        <v>20</v>
      </c>
      <c r="L128" s="261">
        <v>30</v>
      </c>
      <c r="M128" s="261">
        <v>40</v>
      </c>
      <c r="N128" s="261">
        <v>50</v>
      </c>
      <c r="O128" s="261">
        <v>60</v>
      </c>
      <c r="P128" s="261">
        <v>70</v>
      </c>
      <c r="Q128" s="261">
        <v>80</v>
      </c>
      <c r="R128" s="119">
        <f>SUM(J128:Q128)</f>
        <v>360</v>
      </c>
      <c r="S128" s="120">
        <f>I128-R128</f>
        <v>3996560</v>
      </c>
      <c r="T128" s="121">
        <f>G128-I128</f>
        <v>430080</v>
      </c>
      <c r="U128" s="122">
        <v>0</v>
      </c>
      <c r="V128" s="123" t="e">
        <f>R128/U128</f>
        <v>#DIV/0!</v>
      </c>
      <c r="X128" s="261"/>
      <c r="Y128" s="261"/>
      <c r="Z128" s="261"/>
      <c r="AA128" s="261"/>
      <c r="AB128" s="261"/>
      <c r="AC128" s="261"/>
      <c r="AD128" s="261"/>
      <c r="AE128" s="261"/>
    </row>
    <row r="129" spans="1:31" ht="18.2" customHeight="1">
      <c r="A129" s="259"/>
      <c r="B129" s="114" t="s">
        <v>38</v>
      </c>
      <c r="C129" s="115"/>
      <c r="D129" s="116"/>
      <c r="E129" s="172">
        <v>0</v>
      </c>
      <c r="F129" s="173"/>
      <c r="G129" s="174">
        <v>4000000</v>
      </c>
      <c r="H129" s="175"/>
      <c r="I129" s="117">
        <v>8000000</v>
      </c>
      <c r="J129" s="261">
        <v>1101</v>
      </c>
      <c r="K129" s="261">
        <v>2202</v>
      </c>
      <c r="L129" s="261">
        <v>600303</v>
      </c>
      <c r="M129" s="261">
        <v>660404</v>
      </c>
      <c r="N129" s="261">
        <v>540505</v>
      </c>
      <c r="O129" s="261">
        <v>540606</v>
      </c>
      <c r="P129" s="261">
        <v>7707</v>
      </c>
      <c r="Q129" s="261">
        <v>8808</v>
      </c>
      <c r="R129" s="119">
        <f>SUM(J129:Q129)</f>
        <v>2361636</v>
      </c>
      <c r="S129" s="120">
        <f>I129-R129</f>
        <v>5638364</v>
      </c>
      <c r="T129" s="121">
        <f>G129-I129</f>
        <v>-4000000</v>
      </c>
      <c r="U129" s="122">
        <v>0</v>
      </c>
      <c r="V129" s="123" t="e">
        <f t="shared" ref="V129" si="2">R129/U129</f>
        <v>#DIV/0!</v>
      </c>
      <c r="X129" s="261"/>
      <c r="Y129" s="261"/>
      <c r="Z129" s="261"/>
      <c r="AA129" s="261"/>
      <c r="AB129" s="261"/>
      <c r="AC129" s="261"/>
      <c r="AD129" s="261"/>
      <c r="AE129" s="261"/>
    </row>
    <row r="130" spans="1:31" ht="18.95" customHeight="1" thickBot="1">
      <c r="A130" s="113"/>
      <c r="B130" s="78" t="s">
        <v>34</v>
      </c>
      <c r="C130" s="79"/>
      <c r="D130" s="151"/>
      <c r="E130" s="180">
        <f>SUM(E128:F129)</f>
        <v>24160000</v>
      </c>
      <c r="F130" s="181"/>
      <c r="G130" s="182">
        <f>SUM(G128:H129)</f>
        <v>8427000</v>
      </c>
      <c r="H130" s="181"/>
      <c r="I130" s="135">
        <f>SUM(I128:I129)</f>
        <v>11996920</v>
      </c>
      <c r="J130" s="30"/>
      <c r="K130" s="30"/>
      <c r="L130" s="30"/>
      <c r="M130" s="30"/>
      <c r="N130" s="30"/>
      <c r="O130" s="30"/>
      <c r="P130" s="30"/>
      <c r="Q130" s="30"/>
      <c r="R130" s="32">
        <f>SUM(R128:R129)</f>
        <v>2361996</v>
      </c>
      <c r="S130" s="32">
        <f>SUM(S128:S129)</f>
        <v>9634924</v>
      </c>
      <c r="T130" s="33">
        <f>SUM(T128:T129)</f>
        <v>-3569920</v>
      </c>
      <c r="U130" s="136">
        <f>SUM(U128:U129)</f>
        <v>0</v>
      </c>
      <c r="V130" s="34"/>
      <c r="X130" s="30"/>
      <c r="Y130" s="30"/>
      <c r="Z130" s="30"/>
      <c r="AA130" s="30"/>
      <c r="AB130" s="30"/>
      <c r="AC130" s="30"/>
      <c r="AD130" s="30"/>
      <c r="AE130" s="30"/>
    </row>
    <row r="131" spans="1:31" ht="18.2" customHeight="1" thickTop="1">
      <c r="A131" s="52"/>
      <c r="B131" s="176" t="s">
        <v>18</v>
      </c>
      <c r="C131" s="177"/>
      <c r="D131" s="134"/>
      <c r="E131" s="178">
        <f>SUM(E118,E123,E130)</f>
        <v>92359585</v>
      </c>
      <c r="F131" s="179"/>
      <c r="G131" s="178">
        <f>SUM(G118,G123,G130)</f>
        <v>74950590</v>
      </c>
      <c r="H131" s="179"/>
      <c r="I131" s="53">
        <f>SUM(I130,I123,I118)</f>
        <v>85975320</v>
      </c>
      <c r="J131" s="54">
        <f>SUM(J7:J129)</f>
        <v>200111</v>
      </c>
      <c r="K131" s="54">
        <f>SUM(K7:K129)</f>
        <v>28622</v>
      </c>
      <c r="L131" s="54">
        <f>SUM(L7:L129)</f>
        <v>13298888</v>
      </c>
      <c r="M131" s="54">
        <f>SUM(M7:M129)</f>
        <v>14123676</v>
      </c>
      <c r="N131" s="54">
        <f>SUM(N7:N129)</f>
        <v>12926804</v>
      </c>
      <c r="O131" s="54">
        <f>SUM(O7:O129)</f>
        <v>14982572</v>
      </c>
      <c r="P131" s="54">
        <f>SUM(P7:P129)</f>
        <v>-793763</v>
      </c>
      <c r="Q131" s="54">
        <f>SUM(Q7:Q129)</f>
        <v>8888</v>
      </c>
      <c r="R131" s="54">
        <f>SUM(J131:Q131)</f>
        <v>54775798</v>
      </c>
      <c r="S131" s="55">
        <f>I131-R131</f>
        <v>31199522</v>
      </c>
      <c r="T131" s="56">
        <f>SUM(T130,T125)</f>
        <v>-11024730</v>
      </c>
      <c r="U131" s="57">
        <f>SUM(U130,U125)</f>
        <v>478</v>
      </c>
      <c r="V131" s="58"/>
      <c r="X131" s="54"/>
      <c r="Y131" s="54"/>
      <c r="Z131" s="54"/>
      <c r="AA131" s="54"/>
      <c r="AB131" s="54"/>
      <c r="AC131" s="54"/>
      <c r="AD131" s="54"/>
      <c r="AE131" s="54"/>
    </row>
    <row r="132" spans="1:31" ht="25.5" customHeight="1">
      <c r="A132" s="59"/>
      <c r="B132" s="59"/>
      <c r="C132" s="59"/>
      <c r="D132" s="59"/>
      <c r="E132" s="59"/>
      <c r="F132" s="60"/>
      <c r="G132" s="59"/>
      <c r="H132" s="60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2"/>
      <c r="T132" s="59"/>
      <c r="U132" s="59"/>
      <c r="X132" s="61"/>
      <c r="Y132" s="61"/>
      <c r="Z132" s="61"/>
      <c r="AA132" s="61"/>
      <c r="AB132" s="61"/>
      <c r="AC132" s="61"/>
      <c r="AD132" s="61"/>
      <c r="AE132" s="61"/>
    </row>
    <row r="133" spans="1:31" ht="6" customHeight="1">
      <c r="X133" s="64"/>
      <c r="Y133" s="64"/>
      <c r="Z133" s="64"/>
      <c r="AA133" s="64"/>
      <c r="AB133" s="64"/>
      <c r="AC133" s="64"/>
      <c r="AD133" s="64"/>
      <c r="AE133" s="64"/>
    </row>
    <row r="134" spans="1:31" ht="18" customHeight="1">
      <c r="A134" s="13" t="s">
        <v>19</v>
      </c>
    </row>
    <row r="135" spans="1:31" ht="18" customHeight="1">
      <c r="A135" s="167" t="s">
        <v>20</v>
      </c>
      <c r="B135" s="167"/>
      <c r="C135" s="167"/>
      <c r="D135" s="167"/>
      <c r="E135" s="167"/>
      <c r="F135" s="167"/>
      <c r="G135" s="167"/>
      <c r="H135" s="167"/>
      <c r="I135" s="167"/>
      <c r="J135" s="167"/>
      <c r="K135" s="167"/>
      <c r="L135" s="167"/>
      <c r="M135" s="167"/>
      <c r="N135" s="167"/>
      <c r="O135" s="167"/>
      <c r="P135" s="167"/>
      <c r="Q135" s="167"/>
    </row>
    <row r="136" spans="1:31" ht="18" customHeight="1">
      <c r="A136" s="167" t="s">
        <v>21</v>
      </c>
      <c r="B136" s="167"/>
      <c r="C136" s="167"/>
      <c r="D136" s="167"/>
      <c r="E136" s="167"/>
      <c r="F136" s="167"/>
    </row>
    <row r="137" spans="1:31" ht="18" customHeight="1">
      <c r="A137" s="167" t="s">
        <v>22</v>
      </c>
      <c r="B137" s="167"/>
      <c r="C137" s="167"/>
      <c r="D137" s="167"/>
      <c r="E137" s="167"/>
      <c r="F137" s="167"/>
    </row>
  </sheetData>
  <mergeCells count="288">
    <mergeCell ref="A82:A84"/>
    <mergeCell ref="A85:A93"/>
    <mergeCell ref="A94:A99"/>
    <mergeCell ref="A100:A102"/>
    <mergeCell ref="A103:A114"/>
    <mergeCell ref="A115:A117"/>
    <mergeCell ref="G129:H129"/>
    <mergeCell ref="A7:A30"/>
    <mergeCell ref="A31:A37"/>
    <mergeCell ref="A38:A42"/>
    <mergeCell ref="A43:A58"/>
    <mergeCell ref="A59:A63"/>
    <mergeCell ref="A64:A70"/>
    <mergeCell ref="A71:A81"/>
    <mergeCell ref="E117:F117"/>
    <mergeCell ref="G117:H117"/>
    <mergeCell ref="J1:N1"/>
    <mergeCell ref="J2:N2"/>
    <mergeCell ref="J3:N3"/>
    <mergeCell ref="E114:F114"/>
    <mergeCell ref="G114:H114"/>
    <mergeCell ref="E115:F115"/>
    <mergeCell ref="G115:H115"/>
    <mergeCell ref="E116:F116"/>
    <mergeCell ref="G116:H116"/>
    <mergeCell ref="E111:F111"/>
    <mergeCell ref="G111:H111"/>
    <mergeCell ref="E112:F112"/>
    <mergeCell ref="G112:H112"/>
    <mergeCell ref="E113:F113"/>
    <mergeCell ref="G113:H113"/>
    <mergeCell ref="E108:F108"/>
    <mergeCell ref="G108:H108"/>
    <mergeCell ref="E109:F109"/>
    <mergeCell ref="G109:H109"/>
    <mergeCell ref="E110:F110"/>
    <mergeCell ref="G110:H110"/>
    <mergeCell ref="E105:F105"/>
    <mergeCell ref="G105:H105"/>
    <mergeCell ref="E106:F106"/>
    <mergeCell ref="G106:H106"/>
    <mergeCell ref="E107:F107"/>
    <mergeCell ref="G107:H107"/>
    <mergeCell ref="E102:F102"/>
    <mergeCell ref="G102:H102"/>
    <mergeCell ref="E103:F103"/>
    <mergeCell ref="G103:H103"/>
    <mergeCell ref="E104:F104"/>
    <mergeCell ref="G104:H104"/>
    <mergeCell ref="E99:F99"/>
    <mergeCell ref="G99:H99"/>
    <mergeCell ref="E100:F100"/>
    <mergeCell ref="G100:H100"/>
    <mergeCell ref="E101:F101"/>
    <mergeCell ref="G101:H101"/>
    <mergeCell ref="E96:F96"/>
    <mergeCell ref="G96:H96"/>
    <mergeCell ref="E97:F97"/>
    <mergeCell ref="G97:H97"/>
    <mergeCell ref="E98:F98"/>
    <mergeCell ref="G98:H98"/>
    <mergeCell ref="E93:F93"/>
    <mergeCell ref="G93:H93"/>
    <mergeCell ref="E94:F94"/>
    <mergeCell ref="G94:H94"/>
    <mergeCell ref="E95:F95"/>
    <mergeCell ref="G95:H95"/>
    <mergeCell ref="E90:F90"/>
    <mergeCell ref="G90:H90"/>
    <mergeCell ref="E91:F91"/>
    <mergeCell ref="G91:H91"/>
    <mergeCell ref="E92:F92"/>
    <mergeCell ref="G92:H92"/>
    <mergeCell ref="E87:F87"/>
    <mergeCell ref="G87:H87"/>
    <mergeCell ref="E88:F88"/>
    <mergeCell ref="G88:H88"/>
    <mergeCell ref="E89:F89"/>
    <mergeCell ref="G89:H89"/>
    <mergeCell ref="E84:F84"/>
    <mergeCell ref="G84:H84"/>
    <mergeCell ref="E85:F85"/>
    <mergeCell ref="G85:H85"/>
    <mergeCell ref="E86:F86"/>
    <mergeCell ref="G86:H86"/>
    <mergeCell ref="E81:F81"/>
    <mergeCell ref="G81:H81"/>
    <mergeCell ref="E82:F82"/>
    <mergeCell ref="G82:H82"/>
    <mergeCell ref="E83:F83"/>
    <mergeCell ref="G83:H83"/>
    <mergeCell ref="E78:F78"/>
    <mergeCell ref="G78:H78"/>
    <mergeCell ref="E79:F79"/>
    <mergeCell ref="G79:H79"/>
    <mergeCell ref="E80:F80"/>
    <mergeCell ref="G80:H80"/>
    <mergeCell ref="E75:F75"/>
    <mergeCell ref="G75:H75"/>
    <mergeCell ref="E76:F76"/>
    <mergeCell ref="G76:H76"/>
    <mergeCell ref="E77:F77"/>
    <mergeCell ref="G77:H77"/>
    <mergeCell ref="E72:F72"/>
    <mergeCell ref="G72:H72"/>
    <mergeCell ref="E73:F73"/>
    <mergeCell ref="G73:H73"/>
    <mergeCell ref="E74:F74"/>
    <mergeCell ref="G74:H74"/>
    <mergeCell ref="E69:F69"/>
    <mergeCell ref="G69:H69"/>
    <mergeCell ref="E70:F70"/>
    <mergeCell ref="G70:H70"/>
    <mergeCell ref="E71:F71"/>
    <mergeCell ref="G71:H71"/>
    <mergeCell ref="E66:F66"/>
    <mergeCell ref="G66:H66"/>
    <mergeCell ref="E67:F67"/>
    <mergeCell ref="G67:H67"/>
    <mergeCell ref="E68:F68"/>
    <mergeCell ref="G68:H68"/>
    <mergeCell ref="E63:F63"/>
    <mergeCell ref="G63:H63"/>
    <mergeCell ref="E64:F64"/>
    <mergeCell ref="G64:H64"/>
    <mergeCell ref="E65:F65"/>
    <mergeCell ref="G65:H65"/>
    <mergeCell ref="E60:F60"/>
    <mergeCell ref="G60:H60"/>
    <mergeCell ref="E61:F61"/>
    <mergeCell ref="G61:H61"/>
    <mergeCell ref="E62:F62"/>
    <mergeCell ref="G62:H62"/>
    <mergeCell ref="E57:F57"/>
    <mergeCell ref="G57:H57"/>
    <mergeCell ref="E58:F58"/>
    <mergeCell ref="G58:H58"/>
    <mergeCell ref="E59:F59"/>
    <mergeCell ref="G59:H59"/>
    <mergeCell ref="E54:F54"/>
    <mergeCell ref="G54:H54"/>
    <mergeCell ref="E55:F55"/>
    <mergeCell ref="G55:H55"/>
    <mergeCell ref="E56:F56"/>
    <mergeCell ref="G56:H56"/>
    <mergeCell ref="E51:F51"/>
    <mergeCell ref="G51:H51"/>
    <mergeCell ref="E52:F52"/>
    <mergeCell ref="G52:H52"/>
    <mergeCell ref="E53:F53"/>
    <mergeCell ref="G53:H53"/>
    <mergeCell ref="E48:F48"/>
    <mergeCell ref="G48:H48"/>
    <mergeCell ref="E49:F49"/>
    <mergeCell ref="G49:H49"/>
    <mergeCell ref="E50:F50"/>
    <mergeCell ref="G50:H50"/>
    <mergeCell ref="E45:F45"/>
    <mergeCell ref="G45:H45"/>
    <mergeCell ref="E46:F46"/>
    <mergeCell ref="G46:H46"/>
    <mergeCell ref="E47:F47"/>
    <mergeCell ref="G47:H47"/>
    <mergeCell ref="E42:F42"/>
    <mergeCell ref="G42:H42"/>
    <mergeCell ref="E43:F43"/>
    <mergeCell ref="G43:H43"/>
    <mergeCell ref="E44:F44"/>
    <mergeCell ref="G44:H44"/>
    <mergeCell ref="E39:F39"/>
    <mergeCell ref="G39:H39"/>
    <mergeCell ref="E40:F40"/>
    <mergeCell ref="G40:H40"/>
    <mergeCell ref="E41:F41"/>
    <mergeCell ref="G41:H41"/>
    <mergeCell ref="E36:F36"/>
    <mergeCell ref="G36:H36"/>
    <mergeCell ref="E37:F37"/>
    <mergeCell ref="G37:H37"/>
    <mergeCell ref="E38:F38"/>
    <mergeCell ref="G38:H38"/>
    <mergeCell ref="E33:F33"/>
    <mergeCell ref="G33:H33"/>
    <mergeCell ref="E34:F34"/>
    <mergeCell ref="G34:H34"/>
    <mergeCell ref="E35:F35"/>
    <mergeCell ref="G35:H35"/>
    <mergeCell ref="E30:F30"/>
    <mergeCell ref="G30:H30"/>
    <mergeCell ref="E31:F31"/>
    <mergeCell ref="G31:H31"/>
    <mergeCell ref="E32:F32"/>
    <mergeCell ref="G32:H32"/>
    <mergeCell ref="E27:F27"/>
    <mergeCell ref="G27:H27"/>
    <mergeCell ref="E28:F28"/>
    <mergeCell ref="G28:H28"/>
    <mergeCell ref="E29:F29"/>
    <mergeCell ref="G29:H29"/>
    <mergeCell ref="E24:F24"/>
    <mergeCell ref="G24:H24"/>
    <mergeCell ref="E25:F25"/>
    <mergeCell ref="G25:H25"/>
    <mergeCell ref="E26:F26"/>
    <mergeCell ref="G26:H26"/>
    <mergeCell ref="E21:F21"/>
    <mergeCell ref="G21:H21"/>
    <mergeCell ref="E22:F22"/>
    <mergeCell ref="G22:H22"/>
    <mergeCell ref="E23:F23"/>
    <mergeCell ref="G23:H23"/>
    <mergeCell ref="E18:F18"/>
    <mergeCell ref="G18:H18"/>
    <mergeCell ref="E19:F19"/>
    <mergeCell ref="G19:H19"/>
    <mergeCell ref="E20:F20"/>
    <mergeCell ref="G20:H20"/>
    <mergeCell ref="E15:F15"/>
    <mergeCell ref="G15:H15"/>
    <mergeCell ref="E16:F16"/>
    <mergeCell ref="G16:H16"/>
    <mergeCell ref="E17:F17"/>
    <mergeCell ref="G17:H17"/>
    <mergeCell ref="E12:F12"/>
    <mergeCell ref="G12:H12"/>
    <mergeCell ref="E13:F13"/>
    <mergeCell ref="G13:H13"/>
    <mergeCell ref="E14:F14"/>
    <mergeCell ref="G14:H14"/>
    <mergeCell ref="A136:F136"/>
    <mergeCell ref="A137:F137"/>
    <mergeCell ref="E8:F8"/>
    <mergeCell ref="G8:H8"/>
    <mergeCell ref="E9:F9"/>
    <mergeCell ref="G9:H9"/>
    <mergeCell ref="E10:F10"/>
    <mergeCell ref="G10:H10"/>
    <mergeCell ref="E11:F11"/>
    <mergeCell ref="G11:H11"/>
    <mergeCell ref="E130:F130"/>
    <mergeCell ref="G130:H130"/>
    <mergeCell ref="B131:C131"/>
    <mergeCell ref="E131:F131"/>
    <mergeCell ref="G131:H131"/>
    <mergeCell ref="A135:Q135"/>
    <mergeCell ref="E125:F125"/>
    <mergeCell ref="G125:H125"/>
    <mergeCell ref="A128:A129"/>
    <mergeCell ref="E128:F128"/>
    <mergeCell ref="G128:H128"/>
    <mergeCell ref="E129:F129"/>
    <mergeCell ref="E121:F121"/>
    <mergeCell ref="G121:H121"/>
    <mergeCell ref="E122:F122"/>
    <mergeCell ref="G122:H122"/>
    <mergeCell ref="E123:F123"/>
    <mergeCell ref="G123:H123"/>
    <mergeCell ref="E118:F118"/>
    <mergeCell ref="G118:H118"/>
    <mergeCell ref="A119:V119"/>
    <mergeCell ref="E120:F120"/>
    <mergeCell ref="G120:H120"/>
    <mergeCell ref="R5:R6"/>
    <mergeCell ref="S5:S6"/>
    <mergeCell ref="T5:T6"/>
    <mergeCell ref="U5:U6"/>
    <mergeCell ref="V5:V6"/>
    <mergeCell ref="E7:F7"/>
    <mergeCell ref="G7:H7"/>
    <mergeCell ref="A5:B6"/>
    <mergeCell ref="C5:C6"/>
    <mergeCell ref="D5:D6"/>
    <mergeCell ref="E5:F6"/>
    <mergeCell ref="G5:H6"/>
    <mergeCell ref="I5:I6"/>
    <mergeCell ref="A3:B3"/>
    <mergeCell ref="C3:H3"/>
    <mergeCell ref="A4:B4"/>
    <mergeCell ref="C4:F4"/>
    <mergeCell ref="G4:H4"/>
    <mergeCell ref="J4:Q4"/>
    <mergeCell ref="A1:B1"/>
    <mergeCell ref="C1:H1"/>
    <mergeCell ref="R1:S4"/>
    <mergeCell ref="T1:V1"/>
    <mergeCell ref="A2:B2"/>
    <mergeCell ref="C2:H2"/>
    <mergeCell ref="T2:V4"/>
  </mergeCells>
  <phoneticPr fontId="2"/>
  <pageMargins left="0.7" right="0.7" top="0.75" bottom="0.75" header="0.3" footer="0.3"/>
  <pageSetup paperSize="9" scale="43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BD8BB-3536-42DB-8C12-2DE07DC0DD37}">
  <sheetPr codeName="Sheet15"/>
  <dimension ref="A1:AE143"/>
  <sheetViews>
    <sheetView view="pageBreakPreview" zoomScaleNormal="100" zoomScaleSheetLayoutView="100" workbookViewId="0">
      <pane xSplit="2" ySplit="6" topLeftCell="C121" activePane="bottomRight" state="frozen"/>
      <selection pane="topRight" activeCell="C1" sqref="C1"/>
      <selection pane="bottomLeft" activeCell="A9" sqref="A9"/>
      <selection pane="bottomRight" activeCell="Q135" sqref="Q135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63" customWidth="1"/>
    <col min="7" max="7" width="7.625" style="13" customWidth="1"/>
    <col min="8" max="8" width="7.625" style="63" customWidth="1"/>
    <col min="9" max="9" width="15.375" style="64" customWidth="1"/>
    <col min="10" max="18" width="8.625" style="64" customWidth="1"/>
    <col min="19" max="19" width="8.625" style="65" customWidth="1"/>
    <col min="20" max="20" width="11.125" style="13" customWidth="1"/>
    <col min="21" max="21" width="8.625" style="13" customWidth="1"/>
    <col min="22" max="22" width="8.625" style="7" customWidth="1"/>
    <col min="23" max="260" width="9" style="7"/>
    <col min="261" max="261" width="8.625" style="7" customWidth="1"/>
    <col min="262" max="262" width="19.625" style="7" customWidth="1"/>
    <col min="263" max="263" width="8.625" style="7" customWidth="1"/>
    <col min="264" max="265" width="7.625" style="7" customWidth="1"/>
    <col min="266" max="266" width="11.125" style="7" customWidth="1"/>
    <col min="267" max="275" width="8.625" style="7" customWidth="1"/>
    <col min="276" max="276" width="11.125" style="7" customWidth="1"/>
    <col min="277" max="278" width="8.625" style="7" customWidth="1"/>
    <col min="279" max="516" width="9" style="7"/>
    <col min="517" max="517" width="8.625" style="7" customWidth="1"/>
    <col min="518" max="518" width="19.625" style="7" customWidth="1"/>
    <col min="519" max="519" width="8.625" style="7" customWidth="1"/>
    <col min="520" max="521" width="7.625" style="7" customWidth="1"/>
    <col min="522" max="522" width="11.125" style="7" customWidth="1"/>
    <col min="523" max="531" width="8.625" style="7" customWidth="1"/>
    <col min="532" max="532" width="11.125" style="7" customWidth="1"/>
    <col min="533" max="534" width="8.625" style="7" customWidth="1"/>
    <col min="535" max="772" width="9" style="7"/>
    <col min="773" max="773" width="8.625" style="7" customWidth="1"/>
    <col min="774" max="774" width="19.625" style="7" customWidth="1"/>
    <col min="775" max="775" width="8.625" style="7" customWidth="1"/>
    <col min="776" max="777" width="7.625" style="7" customWidth="1"/>
    <col min="778" max="778" width="11.125" style="7" customWidth="1"/>
    <col min="779" max="787" width="8.625" style="7" customWidth="1"/>
    <col min="788" max="788" width="11.125" style="7" customWidth="1"/>
    <col min="789" max="790" width="8.625" style="7" customWidth="1"/>
    <col min="791" max="1028" width="9" style="7"/>
    <col min="1029" max="1029" width="8.625" style="7" customWidth="1"/>
    <col min="1030" max="1030" width="19.625" style="7" customWidth="1"/>
    <col min="1031" max="1031" width="8.625" style="7" customWidth="1"/>
    <col min="1032" max="1033" width="7.625" style="7" customWidth="1"/>
    <col min="1034" max="1034" width="11.125" style="7" customWidth="1"/>
    <col min="1035" max="1043" width="8.625" style="7" customWidth="1"/>
    <col min="1044" max="1044" width="11.125" style="7" customWidth="1"/>
    <col min="1045" max="1046" width="8.625" style="7" customWidth="1"/>
    <col min="1047" max="1284" width="9" style="7"/>
    <col min="1285" max="1285" width="8.625" style="7" customWidth="1"/>
    <col min="1286" max="1286" width="19.625" style="7" customWidth="1"/>
    <col min="1287" max="1287" width="8.625" style="7" customWidth="1"/>
    <col min="1288" max="1289" width="7.625" style="7" customWidth="1"/>
    <col min="1290" max="1290" width="11.125" style="7" customWidth="1"/>
    <col min="1291" max="1299" width="8.625" style="7" customWidth="1"/>
    <col min="1300" max="1300" width="11.125" style="7" customWidth="1"/>
    <col min="1301" max="1302" width="8.625" style="7" customWidth="1"/>
    <col min="1303" max="1540" width="9" style="7"/>
    <col min="1541" max="1541" width="8.625" style="7" customWidth="1"/>
    <col min="1542" max="1542" width="19.625" style="7" customWidth="1"/>
    <col min="1543" max="1543" width="8.625" style="7" customWidth="1"/>
    <col min="1544" max="1545" width="7.625" style="7" customWidth="1"/>
    <col min="1546" max="1546" width="11.125" style="7" customWidth="1"/>
    <col min="1547" max="1555" width="8.625" style="7" customWidth="1"/>
    <col min="1556" max="1556" width="11.125" style="7" customWidth="1"/>
    <col min="1557" max="1558" width="8.625" style="7" customWidth="1"/>
    <col min="1559" max="1796" width="9" style="7"/>
    <col min="1797" max="1797" width="8.625" style="7" customWidth="1"/>
    <col min="1798" max="1798" width="19.625" style="7" customWidth="1"/>
    <col min="1799" max="1799" width="8.625" style="7" customWidth="1"/>
    <col min="1800" max="1801" width="7.625" style="7" customWidth="1"/>
    <col min="1802" max="1802" width="11.125" style="7" customWidth="1"/>
    <col min="1803" max="1811" width="8.625" style="7" customWidth="1"/>
    <col min="1812" max="1812" width="11.125" style="7" customWidth="1"/>
    <col min="1813" max="1814" width="8.625" style="7" customWidth="1"/>
    <col min="1815" max="2052" width="9" style="7"/>
    <col min="2053" max="2053" width="8.625" style="7" customWidth="1"/>
    <col min="2054" max="2054" width="19.625" style="7" customWidth="1"/>
    <col min="2055" max="2055" width="8.625" style="7" customWidth="1"/>
    <col min="2056" max="2057" width="7.625" style="7" customWidth="1"/>
    <col min="2058" max="2058" width="11.125" style="7" customWidth="1"/>
    <col min="2059" max="2067" width="8.625" style="7" customWidth="1"/>
    <col min="2068" max="2068" width="11.125" style="7" customWidth="1"/>
    <col min="2069" max="2070" width="8.625" style="7" customWidth="1"/>
    <col min="2071" max="2308" width="9" style="7"/>
    <col min="2309" max="2309" width="8.625" style="7" customWidth="1"/>
    <col min="2310" max="2310" width="19.625" style="7" customWidth="1"/>
    <col min="2311" max="2311" width="8.625" style="7" customWidth="1"/>
    <col min="2312" max="2313" width="7.625" style="7" customWidth="1"/>
    <col min="2314" max="2314" width="11.125" style="7" customWidth="1"/>
    <col min="2315" max="2323" width="8.625" style="7" customWidth="1"/>
    <col min="2324" max="2324" width="11.125" style="7" customWidth="1"/>
    <col min="2325" max="2326" width="8.625" style="7" customWidth="1"/>
    <col min="2327" max="2564" width="9" style="7"/>
    <col min="2565" max="2565" width="8.625" style="7" customWidth="1"/>
    <col min="2566" max="2566" width="19.625" style="7" customWidth="1"/>
    <col min="2567" max="2567" width="8.625" style="7" customWidth="1"/>
    <col min="2568" max="2569" width="7.625" style="7" customWidth="1"/>
    <col min="2570" max="2570" width="11.125" style="7" customWidth="1"/>
    <col min="2571" max="2579" width="8.625" style="7" customWidth="1"/>
    <col min="2580" max="2580" width="11.125" style="7" customWidth="1"/>
    <col min="2581" max="2582" width="8.625" style="7" customWidth="1"/>
    <col min="2583" max="2820" width="9" style="7"/>
    <col min="2821" max="2821" width="8.625" style="7" customWidth="1"/>
    <col min="2822" max="2822" width="19.625" style="7" customWidth="1"/>
    <col min="2823" max="2823" width="8.625" style="7" customWidth="1"/>
    <col min="2824" max="2825" width="7.625" style="7" customWidth="1"/>
    <col min="2826" max="2826" width="11.125" style="7" customWidth="1"/>
    <col min="2827" max="2835" width="8.625" style="7" customWidth="1"/>
    <col min="2836" max="2836" width="11.125" style="7" customWidth="1"/>
    <col min="2837" max="2838" width="8.625" style="7" customWidth="1"/>
    <col min="2839" max="3076" width="9" style="7"/>
    <col min="3077" max="3077" width="8.625" style="7" customWidth="1"/>
    <col min="3078" max="3078" width="19.625" style="7" customWidth="1"/>
    <col min="3079" max="3079" width="8.625" style="7" customWidth="1"/>
    <col min="3080" max="3081" width="7.625" style="7" customWidth="1"/>
    <col min="3082" max="3082" width="11.125" style="7" customWidth="1"/>
    <col min="3083" max="3091" width="8.625" style="7" customWidth="1"/>
    <col min="3092" max="3092" width="11.125" style="7" customWidth="1"/>
    <col min="3093" max="3094" width="8.625" style="7" customWidth="1"/>
    <col min="3095" max="3332" width="9" style="7"/>
    <col min="3333" max="3333" width="8.625" style="7" customWidth="1"/>
    <col min="3334" max="3334" width="19.625" style="7" customWidth="1"/>
    <col min="3335" max="3335" width="8.625" style="7" customWidth="1"/>
    <col min="3336" max="3337" width="7.625" style="7" customWidth="1"/>
    <col min="3338" max="3338" width="11.125" style="7" customWidth="1"/>
    <col min="3339" max="3347" width="8.625" style="7" customWidth="1"/>
    <col min="3348" max="3348" width="11.125" style="7" customWidth="1"/>
    <col min="3349" max="3350" width="8.625" style="7" customWidth="1"/>
    <col min="3351" max="3588" width="9" style="7"/>
    <col min="3589" max="3589" width="8.625" style="7" customWidth="1"/>
    <col min="3590" max="3590" width="19.625" style="7" customWidth="1"/>
    <col min="3591" max="3591" width="8.625" style="7" customWidth="1"/>
    <col min="3592" max="3593" width="7.625" style="7" customWidth="1"/>
    <col min="3594" max="3594" width="11.125" style="7" customWidth="1"/>
    <col min="3595" max="3603" width="8.625" style="7" customWidth="1"/>
    <col min="3604" max="3604" width="11.125" style="7" customWidth="1"/>
    <col min="3605" max="3606" width="8.625" style="7" customWidth="1"/>
    <col min="3607" max="3844" width="9" style="7"/>
    <col min="3845" max="3845" width="8.625" style="7" customWidth="1"/>
    <col min="3846" max="3846" width="19.625" style="7" customWidth="1"/>
    <col min="3847" max="3847" width="8.625" style="7" customWidth="1"/>
    <col min="3848" max="3849" width="7.625" style="7" customWidth="1"/>
    <col min="3850" max="3850" width="11.125" style="7" customWidth="1"/>
    <col min="3851" max="3859" width="8.625" style="7" customWidth="1"/>
    <col min="3860" max="3860" width="11.125" style="7" customWidth="1"/>
    <col min="3861" max="3862" width="8.625" style="7" customWidth="1"/>
    <col min="3863" max="4100" width="9" style="7"/>
    <col min="4101" max="4101" width="8.625" style="7" customWidth="1"/>
    <col min="4102" max="4102" width="19.625" style="7" customWidth="1"/>
    <col min="4103" max="4103" width="8.625" style="7" customWidth="1"/>
    <col min="4104" max="4105" width="7.625" style="7" customWidth="1"/>
    <col min="4106" max="4106" width="11.125" style="7" customWidth="1"/>
    <col min="4107" max="4115" width="8.625" style="7" customWidth="1"/>
    <col min="4116" max="4116" width="11.125" style="7" customWidth="1"/>
    <col min="4117" max="4118" width="8.625" style="7" customWidth="1"/>
    <col min="4119" max="4356" width="9" style="7"/>
    <col min="4357" max="4357" width="8.625" style="7" customWidth="1"/>
    <col min="4358" max="4358" width="19.625" style="7" customWidth="1"/>
    <col min="4359" max="4359" width="8.625" style="7" customWidth="1"/>
    <col min="4360" max="4361" width="7.625" style="7" customWidth="1"/>
    <col min="4362" max="4362" width="11.125" style="7" customWidth="1"/>
    <col min="4363" max="4371" width="8.625" style="7" customWidth="1"/>
    <col min="4372" max="4372" width="11.125" style="7" customWidth="1"/>
    <col min="4373" max="4374" width="8.625" style="7" customWidth="1"/>
    <col min="4375" max="4612" width="9" style="7"/>
    <col min="4613" max="4613" width="8.625" style="7" customWidth="1"/>
    <col min="4614" max="4614" width="19.625" style="7" customWidth="1"/>
    <col min="4615" max="4615" width="8.625" style="7" customWidth="1"/>
    <col min="4616" max="4617" width="7.625" style="7" customWidth="1"/>
    <col min="4618" max="4618" width="11.125" style="7" customWidth="1"/>
    <col min="4619" max="4627" width="8.625" style="7" customWidth="1"/>
    <col min="4628" max="4628" width="11.125" style="7" customWidth="1"/>
    <col min="4629" max="4630" width="8.625" style="7" customWidth="1"/>
    <col min="4631" max="4868" width="9" style="7"/>
    <col min="4869" max="4869" width="8.625" style="7" customWidth="1"/>
    <col min="4870" max="4870" width="19.625" style="7" customWidth="1"/>
    <col min="4871" max="4871" width="8.625" style="7" customWidth="1"/>
    <col min="4872" max="4873" width="7.625" style="7" customWidth="1"/>
    <col min="4874" max="4874" width="11.125" style="7" customWidth="1"/>
    <col min="4875" max="4883" width="8.625" style="7" customWidth="1"/>
    <col min="4884" max="4884" width="11.125" style="7" customWidth="1"/>
    <col min="4885" max="4886" width="8.625" style="7" customWidth="1"/>
    <col min="4887" max="5124" width="9" style="7"/>
    <col min="5125" max="5125" width="8.625" style="7" customWidth="1"/>
    <col min="5126" max="5126" width="19.625" style="7" customWidth="1"/>
    <col min="5127" max="5127" width="8.625" style="7" customWidth="1"/>
    <col min="5128" max="5129" width="7.625" style="7" customWidth="1"/>
    <col min="5130" max="5130" width="11.125" style="7" customWidth="1"/>
    <col min="5131" max="5139" width="8.625" style="7" customWidth="1"/>
    <col min="5140" max="5140" width="11.125" style="7" customWidth="1"/>
    <col min="5141" max="5142" width="8.625" style="7" customWidth="1"/>
    <col min="5143" max="5380" width="9" style="7"/>
    <col min="5381" max="5381" width="8.625" style="7" customWidth="1"/>
    <col min="5382" max="5382" width="19.625" style="7" customWidth="1"/>
    <col min="5383" max="5383" width="8.625" style="7" customWidth="1"/>
    <col min="5384" max="5385" width="7.625" style="7" customWidth="1"/>
    <col min="5386" max="5386" width="11.125" style="7" customWidth="1"/>
    <col min="5387" max="5395" width="8.625" style="7" customWidth="1"/>
    <col min="5396" max="5396" width="11.125" style="7" customWidth="1"/>
    <col min="5397" max="5398" width="8.625" style="7" customWidth="1"/>
    <col min="5399" max="5636" width="9" style="7"/>
    <col min="5637" max="5637" width="8.625" style="7" customWidth="1"/>
    <col min="5638" max="5638" width="19.625" style="7" customWidth="1"/>
    <col min="5639" max="5639" width="8.625" style="7" customWidth="1"/>
    <col min="5640" max="5641" width="7.625" style="7" customWidth="1"/>
    <col min="5642" max="5642" width="11.125" style="7" customWidth="1"/>
    <col min="5643" max="5651" width="8.625" style="7" customWidth="1"/>
    <col min="5652" max="5652" width="11.125" style="7" customWidth="1"/>
    <col min="5653" max="5654" width="8.625" style="7" customWidth="1"/>
    <col min="5655" max="5892" width="9" style="7"/>
    <col min="5893" max="5893" width="8.625" style="7" customWidth="1"/>
    <col min="5894" max="5894" width="19.625" style="7" customWidth="1"/>
    <col min="5895" max="5895" width="8.625" style="7" customWidth="1"/>
    <col min="5896" max="5897" width="7.625" style="7" customWidth="1"/>
    <col min="5898" max="5898" width="11.125" style="7" customWidth="1"/>
    <col min="5899" max="5907" width="8.625" style="7" customWidth="1"/>
    <col min="5908" max="5908" width="11.125" style="7" customWidth="1"/>
    <col min="5909" max="5910" width="8.625" style="7" customWidth="1"/>
    <col min="5911" max="6148" width="9" style="7"/>
    <col min="6149" max="6149" width="8.625" style="7" customWidth="1"/>
    <col min="6150" max="6150" width="19.625" style="7" customWidth="1"/>
    <col min="6151" max="6151" width="8.625" style="7" customWidth="1"/>
    <col min="6152" max="6153" width="7.625" style="7" customWidth="1"/>
    <col min="6154" max="6154" width="11.125" style="7" customWidth="1"/>
    <col min="6155" max="6163" width="8.625" style="7" customWidth="1"/>
    <col min="6164" max="6164" width="11.125" style="7" customWidth="1"/>
    <col min="6165" max="6166" width="8.625" style="7" customWidth="1"/>
    <col min="6167" max="6404" width="9" style="7"/>
    <col min="6405" max="6405" width="8.625" style="7" customWidth="1"/>
    <col min="6406" max="6406" width="19.625" style="7" customWidth="1"/>
    <col min="6407" max="6407" width="8.625" style="7" customWidth="1"/>
    <col min="6408" max="6409" width="7.625" style="7" customWidth="1"/>
    <col min="6410" max="6410" width="11.125" style="7" customWidth="1"/>
    <col min="6411" max="6419" width="8.625" style="7" customWidth="1"/>
    <col min="6420" max="6420" width="11.125" style="7" customWidth="1"/>
    <col min="6421" max="6422" width="8.625" style="7" customWidth="1"/>
    <col min="6423" max="6660" width="9" style="7"/>
    <col min="6661" max="6661" width="8.625" style="7" customWidth="1"/>
    <col min="6662" max="6662" width="19.625" style="7" customWidth="1"/>
    <col min="6663" max="6663" width="8.625" style="7" customWidth="1"/>
    <col min="6664" max="6665" width="7.625" style="7" customWidth="1"/>
    <col min="6666" max="6666" width="11.125" style="7" customWidth="1"/>
    <col min="6667" max="6675" width="8.625" style="7" customWidth="1"/>
    <col min="6676" max="6676" width="11.125" style="7" customWidth="1"/>
    <col min="6677" max="6678" width="8.625" style="7" customWidth="1"/>
    <col min="6679" max="6916" width="9" style="7"/>
    <col min="6917" max="6917" width="8.625" style="7" customWidth="1"/>
    <col min="6918" max="6918" width="19.625" style="7" customWidth="1"/>
    <col min="6919" max="6919" width="8.625" style="7" customWidth="1"/>
    <col min="6920" max="6921" width="7.625" style="7" customWidth="1"/>
    <col min="6922" max="6922" width="11.125" style="7" customWidth="1"/>
    <col min="6923" max="6931" width="8.625" style="7" customWidth="1"/>
    <col min="6932" max="6932" width="11.125" style="7" customWidth="1"/>
    <col min="6933" max="6934" width="8.625" style="7" customWidth="1"/>
    <col min="6935" max="7172" width="9" style="7"/>
    <col min="7173" max="7173" width="8.625" style="7" customWidth="1"/>
    <col min="7174" max="7174" width="19.625" style="7" customWidth="1"/>
    <col min="7175" max="7175" width="8.625" style="7" customWidth="1"/>
    <col min="7176" max="7177" width="7.625" style="7" customWidth="1"/>
    <col min="7178" max="7178" width="11.125" style="7" customWidth="1"/>
    <col min="7179" max="7187" width="8.625" style="7" customWidth="1"/>
    <col min="7188" max="7188" width="11.125" style="7" customWidth="1"/>
    <col min="7189" max="7190" width="8.625" style="7" customWidth="1"/>
    <col min="7191" max="7428" width="9" style="7"/>
    <col min="7429" max="7429" width="8.625" style="7" customWidth="1"/>
    <col min="7430" max="7430" width="19.625" style="7" customWidth="1"/>
    <col min="7431" max="7431" width="8.625" style="7" customWidth="1"/>
    <col min="7432" max="7433" width="7.625" style="7" customWidth="1"/>
    <col min="7434" max="7434" width="11.125" style="7" customWidth="1"/>
    <col min="7435" max="7443" width="8.625" style="7" customWidth="1"/>
    <col min="7444" max="7444" width="11.125" style="7" customWidth="1"/>
    <col min="7445" max="7446" width="8.625" style="7" customWidth="1"/>
    <col min="7447" max="7684" width="9" style="7"/>
    <col min="7685" max="7685" width="8.625" style="7" customWidth="1"/>
    <col min="7686" max="7686" width="19.625" style="7" customWidth="1"/>
    <col min="7687" max="7687" width="8.625" style="7" customWidth="1"/>
    <col min="7688" max="7689" width="7.625" style="7" customWidth="1"/>
    <col min="7690" max="7690" width="11.125" style="7" customWidth="1"/>
    <col min="7691" max="7699" width="8.625" style="7" customWidth="1"/>
    <col min="7700" max="7700" width="11.125" style="7" customWidth="1"/>
    <col min="7701" max="7702" width="8.625" style="7" customWidth="1"/>
    <col min="7703" max="7940" width="9" style="7"/>
    <col min="7941" max="7941" width="8.625" style="7" customWidth="1"/>
    <col min="7942" max="7942" width="19.625" style="7" customWidth="1"/>
    <col min="7943" max="7943" width="8.625" style="7" customWidth="1"/>
    <col min="7944" max="7945" width="7.625" style="7" customWidth="1"/>
    <col min="7946" max="7946" width="11.125" style="7" customWidth="1"/>
    <col min="7947" max="7955" width="8.625" style="7" customWidth="1"/>
    <col min="7956" max="7956" width="11.125" style="7" customWidth="1"/>
    <col min="7957" max="7958" width="8.625" style="7" customWidth="1"/>
    <col min="7959" max="8196" width="9" style="7"/>
    <col min="8197" max="8197" width="8.625" style="7" customWidth="1"/>
    <col min="8198" max="8198" width="19.625" style="7" customWidth="1"/>
    <col min="8199" max="8199" width="8.625" style="7" customWidth="1"/>
    <col min="8200" max="8201" width="7.625" style="7" customWidth="1"/>
    <col min="8202" max="8202" width="11.125" style="7" customWidth="1"/>
    <col min="8203" max="8211" width="8.625" style="7" customWidth="1"/>
    <col min="8212" max="8212" width="11.125" style="7" customWidth="1"/>
    <col min="8213" max="8214" width="8.625" style="7" customWidth="1"/>
    <col min="8215" max="8452" width="9" style="7"/>
    <col min="8453" max="8453" width="8.625" style="7" customWidth="1"/>
    <col min="8454" max="8454" width="19.625" style="7" customWidth="1"/>
    <col min="8455" max="8455" width="8.625" style="7" customWidth="1"/>
    <col min="8456" max="8457" width="7.625" style="7" customWidth="1"/>
    <col min="8458" max="8458" width="11.125" style="7" customWidth="1"/>
    <col min="8459" max="8467" width="8.625" style="7" customWidth="1"/>
    <col min="8468" max="8468" width="11.125" style="7" customWidth="1"/>
    <col min="8469" max="8470" width="8.625" style="7" customWidth="1"/>
    <col min="8471" max="8708" width="9" style="7"/>
    <col min="8709" max="8709" width="8.625" style="7" customWidth="1"/>
    <col min="8710" max="8710" width="19.625" style="7" customWidth="1"/>
    <col min="8711" max="8711" width="8.625" style="7" customWidth="1"/>
    <col min="8712" max="8713" width="7.625" style="7" customWidth="1"/>
    <col min="8714" max="8714" width="11.125" style="7" customWidth="1"/>
    <col min="8715" max="8723" width="8.625" style="7" customWidth="1"/>
    <col min="8724" max="8724" width="11.125" style="7" customWidth="1"/>
    <col min="8725" max="8726" width="8.625" style="7" customWidth="1"/>
    <col min="8727" max="8964" width="9" style="7"/>
    <col min="8965" max="8965" width="8.625" style="7" customWidth="1"/>
    <col min="8966" max="8966" width="19.625" style="7" customWidth="1"/>
    <col min="8967" max="8967" width="8.625" style="7" customWidth="1"/>
    <col min="8968" max="8969" width="7.625" style="7" customWidth="1"/>
    <col min="8970" max="8970" width="11.125" style="7" customWidth="1"/>
    <col min="8971" max="8979" width="8.625" style="7" customWidth="1"/>
    <col min="8980" max="8980" width="11.125" style="7" customWidth="1"/>
    <col min="8981" max="8982" width="8.625" style="7" customWidth="1"/>
    <col min="8983" max="9220" width="9" style="7"/>
    <col min="9221" max="9221" width="8.625" style="7" customWidth="1"/>
    <col min="9222" max="9222" width="19.625" style="7" customWidth="1"/>
    <col min="9223" max="9223" width="8.625" style="7" customWidth="1"/>
    <col min="9224" max="9225" width="7.625" style="7" customWidth="1"/>
    <col min="9226" max="9226" width="11.125" style="7" customWidth="1"/>
    <col min="9227" max="9235" width="8.625" style="7" customWidth="1"/>
    <col min="9236" max="9236" width="11.125" style="7" customWidth="1"/>
    <col min="9237" max="9238" width="8.625" style="7" customWidth="1"/>
    <col min="9239" max="9476" width="9" style="7"/>
    <col min="9477" max="9477" width="8.625" style="7" customWidth="1"/>
    <col min="9478" max="9478" width="19.625" style="7" customWidth="1"/>
    <col min="9479" max="9479" width="8.625" style="7" customWidth="1"/>
    <col min="9480" max="9481" width="7.625" style="7" customWidth="1"/>
    <col min="9482" max="9482" width="11.125" style="7" customWidth="1"/>
    <col min="9483" max="9491" width="8.625" style="7" customWidth="1"/>
    <col min="9492" max="9492" width="11.125" style="7" customWidth="1"/>
    <col min="9493" max="9494" width="8.625" style="7" customWidth="1"/>
    <col min="9495" max="9732" width="9" style="7"/>
    <col min="9733" max="9733" width="8.625" style="7" customWidth="1"/>
    <col min="9734" max="9734" width="19.625" style="7" customWidth="1"/>
    <col min="9735" max="9735" width="8.625" style="7" customWidth="1"/>
    <col min="9736" max="9737" width="7.625" style="7" customWidth="1"/>
    <col min="9738" max="9738" width="11.125" style="7" customWidth="1"/>
    <col min="9739" max="9747" width="8.625" style="7" customWidth="1"/>
    <col min="9748" max="9748" width="11.125" style="7" customWidth="1"/>
    <col min="9749" max="9750" width="8.625" style="7" customWidth="1"/>
    <col min="9751" max="9988" width="9" style="7"/>
    <col min="9989" max="9989" width="8.625" style="7" customWidth="1"/>
    <col min="9990" max="9990" width="19.625" style="7" customWidth="1"/>
    <col min="9991" max="9991" width="8.625" style="7" customWidth="1"/>
    <col min="9992" max="9993" width="7.625" style="7" customWidth="1"/>
    <col min="9994" max="9994" width="11.125" style="7" customWidth="1"/>
    <col min="9995" max="10003" width="8.625" style="7" customWidth="1"/>
    <col min="10004" max="10004" width="11.125" style="7" customWidth="1"/>
    <col min="10005" max="10006" width="8.625" style="7" customWidth="1"/>
    <col min="10007" max="10244" width="9" style="7"/>
    <col min="10245" max="10245" width="8.625" style="7" customWidth="1"/>
    <col min="10246" max="10246" width="19.625" style="7" customWidth="1"/>
    <col min="10247" max="10247" width="8.625" style="7" customWidth="1"/>
    <col min="10248" max="10249" width="7.625" style="7" customWidth="1"/>
    <col min="10250" max="10250" width="11.125" style="7" customWidth="1"/>
    <col min="10251" max="10259" width="8.625" style="7" customWidth="1"/>
    <col min="10260" max="10260" width="11.125" style="7" customWidth="1"/>
    <col min="10261" max="10262" width="8.625" style="7" customWidth="1"/>
    <col min="10263" max="10500" width="9" style="7"/>
    <col min="10501" max="10501" width="8.625" style="7" customWidth="1"/>
    <col min="10502" max="10502" width="19.625" style="7" customWidth="1"/>
    <col min="10503" max="10503" width="8.625" style="7" customWidth="1"/>
    <col min="10504" max="10505" width="7.625" style="7" customWidth="1"/>
    <col min="10506" max="10506" width="11.125" style="7" customWidth="1"/>
    <col min="10507" max="10515" width="8.625" style="7" customWidth="1"/>
    <col min="10516" max="10516" width="11.125" style="7" customWidth="1"/>
    <col min="10517" max="10518" width="8.625" style="7" customWidth="1"/>
    <col min="10519" max="10756" width="9" style="7"/>
    <col min="10757" max="10757" width="8.625" style="7" customWidth="1"/>
    <col min="10758" max="10758" width="19.625" style="7" customWidth="1"/>
    <col min="10759" max="10759" width="8.625" style="7" customWidth="1"/>
    <col min="10760" max="10761" width="7.625" style="7" customWidth="1"/>
    <col min="10762" max="10762" width="11.125" style="7" customWidth="1"/>
    <col min="10763" max="10771" width="8.625" style="7" customWidth="1"/>
    <col min="10772" max="10772" width="11.125" style="7" customWidth="1"/>
    <col min="10773" max="10774" width="8.625" style="7" customWidth="1"/>
    <col min="10775" max="11012" width="9" style="7"/>
    <col min="11013" max="11013" width="8.625" style="7" customWidth="1"/>
    <col min="11014" max="11014" width="19.625" style="7" customWidth="1"/>
    <col min="11015" max="11015" width="8.625" style="7" customWidth="1"/>
    <col min="11016" max="11017" width="7.625" style="7" customWidth="1"/>
    <col min="11018" max="11018" width="11.125" style="7" customWidth="1"/>
    <col min="11019" max="11027" width="8.625" style="7" customWidth="1"/>
    <col min="11028" max="11028" width="11.125" style="7" customWidth="1"/>
    <col min="11029" max="11030" width="8.625" style="7" customWidth="1"/>
    <col min="11031" max="11268" width="9" style="7"/>
    <col min="11269" max="11269" width="8.625" style="7" customWidth="1"/>
    <col min="11270" max="11270" width="19.625" style="7" customWidth="1"/>
    <col min="11271" max="11271" width="8.625" style="7" customWidth="1"/>
    <col min="11272" max="11273" width="7.625" style="7" customWidth="1"/>
    <col min="11274" max="11274" width="11.125" style="7" customWidth="1"/>
    <col min="11275" max="11283" width="8.625" style="7" customWidth="1"/>
    <col min="11284" max="11284" width="11.125" style="7" customWidth="1"/>
    <col min="11285" max="11286" width="8.625" style="7" customWidth="1"/>
    <col min="11287" max="11524" width="9" style="7"/>
    <col min="11525" max="11525" width="8.625" style="7" customWidth="1"/>
    <col min="11526" max="11526" width="19.625" style="7" customWidth="1"/>
    <col min="11527" max="11527" width="8.625" style="7" customWidth="1"/>
    <col min="11528" max="11529" width="7.625" style="7" customWidth="1"/>
    <col min="11530" max="11530" width="11.125" style="7" customWidth="1"/>
    <col min="11531" max="11539" width="8.625" style="7" customWidth="1"/>
    <col min="11540" max="11540" width="11.125" style="7" customWidth="1"/>
    <col min="11541" max="11542" width="8.625" style="7" customWidth="1"/>
    <col min="11543" max="11780" width="9" style="7"/>
    <col min="11781" max="11781" width="8.625" style="7" customWidth="1"/>
    <col min="11782" max="11782" width="19.625" style="7" customWidth="1"/>
    <col min="11783" max="11783" width="8.625" style="7" customWidth="1"/>
    <col min="11784" max="11785" width="7.625" style="7" customWidth="1"/>
    <col min="11786" max="11786" width="11.125" style="7" customWidth="1"/>
    <col min="11787" max="11795" width="8.625" style="7" customWidth="1"/>
    <col min="11796" max="11796" width="11.125" style="7" customWidth="1"/>
    <col min="11797" max="11798" width="8.625" style="7" customWidth="1"/>
    <col min="11799" max="12036" width="9" style="7"/>
    <col min="12037" max="12037" width="8.625" style="7" customWidth="1"/>
    <col min="12038" max="12038" width="19.625" style="7" customWidth="1"/>
    <col min="12039" max="12039" width="8.625" style="7" customWidth="1"/>
    <col min="12040" max="12041" width="7.625" style="7" customWidth="1"/>
    <col min="12042" max="12042" width="11.125" style="7" customWidth="1"/>
    <col min="12043" max="12051" width="8.625" style="7" customWidth="1"/>
    <col min="12052" max="12052" width="11.125" style="7" customWidth="1"/>
    <col min="12053" max="12054" width="8.625" style="7" customWidth="1"/>
    <col min="12055" max="12292" width="9" style="7"/>
    <col min="12293" max="12293" width="8.625" style="7" customWidth="1"/>
    <col min="12294" max="12294" width="19.625" style="7" customWidth="1"/>
    <col min="12295" max="12295" width="8.625" style="7" customWidth="1"/>
    <col min="12296" max="12297" width="7.625" style="7" customWidth="1"/>
    <col min="12298" max="12298" width="11.125" style="7" customWidth="1"/>
    <col min="12299" max="12307" width="8.625" style="7" customWidth="1"/>
    <col min="12308" max="12308" width="11.125" style="7" customWidth="1"/>
    <col min="12309" max="12310" width="8.625" style="7" customWidth="1"/>
    <col min="12311" max="12548" width="9" style="7"/>
    <col min="12549" max="12549" width="8.625" style="7" customWidth="1"/>
    <col min="12550" max="12550" width="19.625" style="7" customWidth="1"/>
    <col min="12551" max="12551" width="8.625" style="7" customWidth="1"/>
    <col min="12552" max="12553" width="7.625" style="7" customWidth="1"/>
    <col min="12554" max="12554" width="11.125" style="7" customWidth="1"/>
    <col min="12555" max="12563" width="8.625" style="7" customWidth="1"/>
    <col min="12564" max="12564" width="11.125" style="7" customWidth="1"/>
    <col min="12565" max="12566" width="8.625" style="7" customWidth="1"/>
    <col min="12567" max="12804" width="9" style="7"/>
    <col min="12805" max="12805" width="8.625" style="7" customWidth="1"/>
    <col min="12806" max="12806" width="19.625" style="7" customWidth="1"/>
    <col min="12807" max="12807" width="8.625" style="7" customWidth="1"/>
    <col min="12808" max="12809" width="7.625" style="7" customWidth="1"/>
    <col min="12810" max="12810" width="11.125" style="7" customWidth="1"/>
    <col min="12811" max="12819" width="8.625" style="7" customWidth="1"/>
    <col min="12820" max="12820" width="11.125" style="7" customWidth="1"/>
    <col min="12821" max="12822" width="8.625" style="7" customWidth="1"/>
    <col min="12823" max="13060" width="9" style="7"/>
    <col min="13061" max="13061" width="8.625" style="7" customWidth="1"/>
    <col min="13062" max="13062" width="19.625" style="7" customWidth="1"/>
    <col min="13063" max="13063" width="8.625" style="7" customWidth="1"/>
    <col min="13064" max="13065" width="7.625" style="7" customWidth="1"/>
    <col min="13066" max="13066" width="11.125" style="7" customWidth="1"/>
    <col min="13067" max="13075" width="8.625" style="7" customWidth="1"/>
    <col min="13076" max="13076" width="11.125" style="7" customWidth="1"/>
    <col min="13077" max="13078" width="8.625" style="7" customWidth="1"/>
    <col min="13079" max="13316" width="9" style="7"/>
    <col min="13317" max="13317" width="8.625" style="7" customWidth="1"/>
    <col min="13318" max="13318" width="19.625" style="7" customWidth="1"/>
    <col min="13319" max="13319" width="8.625" style="7" customWidth="1"/>
    <col min="13320" max="13321" width="7.625" style="7" customWidth="1"/>
    <col min="13322" max="13322" width="11.125" style="7" customWidth="1"/>
    <col min="13323" max="13331" width="8.625" style="7" customWidth="1"/>
    <col min="13332" max="13332" width="11.125" style="7" customWidth="1"/>
    <col min="13333" max="13334" width="8.625" style="7" customWidth="1"/>
    <col min="13335" max="13572" width="9" style="7"/>
    <col min="13573" max="13573" width="8.625" style="7" customWidth="1"/>
    <col min="13574" max="13574" width="19.625" style="7" customWidth="1"/>
    <col min="13575" max="13575" width="8.625" style="7" customWidth="1"/>
    <col min="13576" max="13577" width="7.625" style="7" customWidth="1"/>
    <col min="13578" max="13578" width="11.125" style="7" customWidth="1"/>
    <col min="13579" max="13587" width="8.625" style="7" customWidth="1"/>
    <col min="13588" max="13588" width="11.125" style="7" customWidth="1"/>
    <col min="13589" max="13590" width="8.625" style="7" customWidth="1"/>
    <col min="13591" max="13828" width="9" style="7"/>
    <col min="13829" max="13829" width="8.625" style="7" customWidth="1"/>
    <col min="13830" max="13830" width="19.625" style="7" customWidth="1"/>
    <col min="13831" max="13831" width="8.625" style="7" customWidth="1"/>
    <col min="13832" max="13833" width="7.625" style="7" customWidth="1"/>
    <col min="13834" max="13834" width="11.125" style="7" customWidth="1"/>
    <col min="13835" max="13843" width="8.625" style="7" customWidth="1"/>
    <col min="13844" max="13844" width="11.125" style="7" customWidth="1"/>
    <col min="13845" max="13846" width="8.625" style="7" customWidth="1"/>
    <col min="13847" max="14084" width="9" style="7"/>
    <col min="14085" max="14085" width="8.625" style="7" customWidth="1"/>
    <col min="14086" max="14086" width="19.625" style="7" customWidth="1"/>
    <col min="14087" max="14087" width="8.625" style="7" customWidth="1"/>
    <col min="14088" max="14089" width="7.625" style="7" customWidth="1"/>
    <col min="14090" max="14090" width="11.125" style="7" customWidth="1"/>
    <col min="14091" max="14099" width="8.625" style="7" customWidth="1"/>
    <col min="14100" max="14100" width="11.125" style="7" customWidth="1"/>
    <col min="14101" max="14102" width="8.625" style="7" customWidth="1"/>
    <col min="14103" max="14340" width="9" style="7"/>
    <col min="14341" max="14341" width="8.625" style="7" customWidth="1"/>
    <col min="14342" max="14342" width="19.625" style="7" customWidth="1"/>
    <col min="14343" max="14343" width="8.625" style="7" customWidth="1"/>
    <col min="14344" max="14345" width="7.625" style="7" customWidth="1"/>
    <col min="14346" max="14346" width="11.125" style="7" customWidth="1"/>
    <col min="14347" max="14355" width="8.625" style="7" customWidth="1"/>
    <col min="14356" max="14356" width="11.125" style="7" customWidth="1"/>
    <col min="14357" max="14358" width="8.625" style="7" customWidth="1"/>
    <col min="14359" max="14596" width="9" style="7"/>
    <col min="14597" max="14597" width="8.625" style="7" customWidth="1"/>
    <col min="14598" max="14598" width="19.625" style="7" customWidth="1"/>
    <col min="14599" max="14599" width="8.625" style="7" customWidth="1"/>
    <col min="14600" max="14601" width="7.625" style="7" customWidth="1"/>
    <col min="14602" max="14602" width="11.125" style="7" customWidth="1"/>
    <col min="14603" max="14611" width="8.625" style="7" customWidth="1"/>
    <col min="14612" max="14612" width="11.125" style="7" customWidth="1"/>
    <col min="14613" max="14614" width="8.625" style="7" customWidth="1"/>
    <col min="14615" max="14852" width="9" style="7"/>
    <col min="14853" max="14853" width="8.625" style="7" customWidth="1"/>
    <col min="14854" max="14854" width="19.625" style="7" customWidth="1"/>
    <col min="14855" max="14855" width="8.625" style="7" customWidth="1"/>
    <col min="14856" max="14857" width="7.625" style="7" customWidth="1"/>
    <col min="14858" max="14858" width="11.125" style="7" customWidth="1"/>
    <col min="14859" max="14867" width="8.625" style="7" customWidth="1"/>
    <col min="14868" max="14868" width="11.125" style="7" customWidth="1"/>
    <col min="14869" max="14870" width="8.625" style="7" customWidth="1"/>
    <col min="14871" max="15108" width="9" style="7"/>
    <col min="15109" max="15109" width="8.625" style="7" customWidth="1"/>
    <col min="15110" max="15110" width="19.625" style="7" customWidth="1"/>
    <col min="15111" max="15111" width="8.625" style="7" customWidth="1"/>
    <col min="15112" max="15113" width="7.625" style="7" customWidth="1"/>
    <col min="15114" max="15114" width="11.125" style="7" customWidth="1"/>
    <col min="15115" max="15123" width="8.625" style="7" customWidth="1"/>
    <col min="15124" max="15124" width="11.125" style="7" customWidth="1"/>
    <col min="15125" max="15126" width="8.625" style="7" customWidth="1"/>
    <col min="15127" max="15364" width="9" style="7"/>
    <col min="15365" max="15365" width="8.625" style="7" customWidth="1"/>
    <col min="15366" max="15366" width="19.625" style="7" customWidth="1"/>
    <col min="15367" max="15367" width="8.625" style="7" customWidth="1"/>
    <col min="15368" max="15369" width="7.625" style="7" customWidth="1"/>
    <col min="15370" max="15370" width="11.125" style="7" customWidth="1"/>
    <col min="15371" max="15379" width="8.625" style="7" customWidth="1"/>
    <col min="15380" max="15380" width="11.125" style="7" customWidth="1"/>
    <col min="15381" max="15382" width="8.625" style="7" customWidth="1"/>
    <col min="15383" max="15620" width="9" style="7"/>
    <col min="15621" max="15621" width="8.625" style="7" customWidth="1"/>
    <col min="15622" max="15622" width="19.625" style="7" customWidth="1"/>
    <col min="15623" max="15623" width="8.625" style="7" customWidth="1"/>
    <col min="15624" max="15625" width="7.625" style="7" customWidth="1"/>
    <col min="15626" max="15626" width="11.125" style="7" customWidth="1"/>
    <col min="15627" max="15635" width="8.625" style="7" customWidth="1"/>
    <col min="15636" max="15636" width="11.125" style="7" customWidth="1"/>
    <col min="15637" max="15638" width="8.625" style="7" customWidth="1"/>
    <col min="15639" max="15876" width="9" style="7"/>
    <col min="15877" max="15877" width="8.625" style="7" customWidth="1"/>
    <col min="15878" max="15878" width="19.625" style="7" customWidth="1"/>
    <col min="15879" max="15879" width="8.625" style="7" customWidth="1"/>
    <col min="15880" max="15881" width="7.625" style="7" customWidth="1"/>
    <col min="15882" max="15882" width="11.125" style="7" customWidth="1"/>
    <col min="15883" max="15891" width="8.625" style="7" customWidth="1"/>
    <col min="15892" max="15892" width="11.125" style="7" customWidth="1"/>
    <col min="15893" max="15894" width="8.625" style="7" customWidth="1"/>
    <col min="15895" max="16132" width="9" style="7"/>
    <col min="16133" max="16133" width="8.625" style="7" customWidth="1"/>
    <col min="16134" max="16134" width="19.625" style="7" customWidth="1"/>
    <col min="16135" max="16135" width="8.625" style="7" customWidth="1"/>
    <col min="16136" max="16137" width="7.625" style="7" customWidth="1"/>
    <col min="16138" max="16138" width="11.125" style="7" customWidth="1"/>
    <col min="16139" max="16147" width="8.625" style="7" customWidth="1"/>
    <col min="16148" max="16148" width="11.125" style="7" customWidth="1"/>
    <col min="16149" max="16150" width="8.625" style="7" customWidth="1"/>
    <col min="16151" max="16384" width="9" style="7"/>
  </cols>
  <sheetData>
    <row r="1" spans="1:31" s="13" customFormat="1" ht="23.1" customHeight="1">
      <c r="A1" s="219" t="s">
        <v>0</v>
      </c>
      <c r="B1" s="220"/>
      <c r="C1" s="221" t="s">
        <v>35</v>
      </c>
      <c r="D1" s="222"/>
      <c r="E1" s="222"/>
      <c r="F1" s="222"/>
      <c r="G1" s="222"/>
      <c r="H1" s="223"/>
      <c r="I1" s="12" t="s">
        <v>25</v>
      </c>
      <c r="J1" s="224">
        <v>82000000</v>
      </c>
      <c r="K1" s="225"/>
      <c r="L1" s="225"/>
      <c r="M1" s="225"/>
      <c r="N1" s="225"/>
      <c r="O1" s="152"/>
      <c r="P1" s="152"/>
      <c r="Q1" s="321"/>
      <c r="R1" s="226"/>
      <c r="S1" s="227"/>
      <c r="T1" s="231" t="s">
        <v>1</v>
      </c>
      <c r="U1" s="231"/>
      <c r="V1" s="231"/>
    </row>
    <row r="2" spans="1:31" s="13" customFormat="1" ht="23.1" customHeight="1">
      <c r="A2" s="232" t="s">
        <v>26</v>
      </c>
      <c r="B2" s="233"/>
      <c r="C2" s="234" t="s">
        <v>36</v>
      </c>
      <c r="D2" s="235"/>
      <c r="E2" s="235"/>
      <c r="F2" s="235"/>
      <c r="G2" s="235"/>
      <c r="H2" s="236"/>
      <c r="I2" s="14" t="s">
        <v>27</v>
      </c>
      <c r="J2" s="237">
        <v>5634000</v>
      </c>
      <c r="K2" s="238"/>
      <c r="L2" s="238"/>
      <c r="M2" s="238"/>
      <c r="N2" s="238"/>
      <c r="O2" s="153"/>
      <c r="P2" s="153"/>
      <c r="Q2" s="322"/>
      <c r="R2" s="210"/>
      <c r="S2" s="228"/>
      <c r="T2" s="252">
        <v>45903</v>
      </c>
      <c r="U2" s="253"/>
      <c r="V2" s="254"/>
    </row>
    <row r="3" spans="1:31" s="13" customFormat="1" ht="23.1" customHeight="1" thickBot="1">
      <c r="A3" s="241" t="s">
        <v>2</v>
      </c>
      <c r="B3" s="242"/>
      <c r="C3" s="243">
        <f>J1-G137</f>
        <v>7049410</v>
      </c>
      <c r="D3" s="244"/>
      <c r="E3" s="244"/>
      <c r="F3" s="244"/>
      <c r="G3" s="244"/>
      <c r="H3" s="245"/>
      <c r="I3" s="15" t="s">
        <v>3</v>
      </c>
      <c r="J3" s="246">
        <f>SUM(J1:Q2)</f>
        <v>87634000</v>
      </c>
      <c r="K3" s="247"/>
      <c r="L3" s="247"/>
      <c r="M3" s="247"/>
      <c r="N3" s="247"/>
      <c r="O3" s="154"/>
      <c r="P3" s="154"/>
      <c r="Q3" s="323"/>
      <c r="R3" s="210"/>
      <c r="S3" s="228"/>
      <c r="T3" s="255"/>
      <c r="U3" s="256"/>
      <c r="V3" s="257"/>
    </row>
    <row r="4" spans="1:31" s="13" customFormat="1" ht="23.1" customHeight="1" thickBot="1">
      <c r="A4" s="248" t="s">
        <v>4</v>
      </c>
      <c r="B4" s="248"/>
      <c r="C4" s="249">
        <v>8.5999999999999993E-2</v>
      </c>
      <c r="D4" s="249"/>
      <c r="E4" s="250"/>
      <c r="F4" s="250"/>
      <c r="G4" s="250" t="s">
        <v>5</v>
      </c>
      <c r="H4" s="250"/>
      <c r="I4" s="16">
        <f>J3-I137</f>
        <v>1658680</v>
      </c>
      <c r="J4" s="209"/>
      <c r="K4" s="251"/>
      <c r="L4" s="251"/>
      <c r="M4" s="251"/>
      <c r="N4" s="251"/>
      <c r="O4" s="251"/>
      <c r="P4" s="251"/>
      <c r="Q4" s="251"/>
      <c r="R4" s="332"/>
      <c r="S4" s="334"/>
      <c r="T4" s="335"/>
      <c r="U4" s="336"/>
      <c r="V4" s="337"/>
    </row>
    <row r="5" spans="1:31" s="13" customFormat="1" ht="18" customHeight="1" thickBot="1">
      <c r="A5" s="199" t="s">
        <v>6</v>
      </c>
      <c r="B5" s="199"/>
      <c r="C5" s="201" t="s">
        <v>28</v>
      </c>
      <c r="D5" s="203" t="s">
        <v>29</v>
      </c>
      <c r="E5" s="205" t="s">
        <v>23</v>
      </c>
      <c r="F5" s="206"/>
      <c r="G5" s="205" t="s">
        <v>30</v>
      </c>
      <c r="H5" s="206"/>
      <c r="I5" s="216" t="s">
        <v>31</v>
      </c>
      <c r="J5" s="316">
        <v>2025</v>
      </c>
      <c r="K5" s="17"/>
      <c r="L5" s="17"/>
      <c r="M5" s="17"/>
      <c r="N5" s="17"/>
      <c r="O5" s="17"/>
      <c r="P5" s="17"/>
      <c r="Q5" s="318"/>
      <c r="R5" s="331" t="s">
        <v>7</v>
      </c>
      <c r="S5" s="333" t="s">
        <v>8</v>
      </c>
      <c r="T5" s="197" t="s">
        <v>9</v>
      </c>
      <c r="U5" s="212" t="s">
        <v>10</v>
      </c>
      <c r="V5" s="213" t="s">
        <v>11</v>
      </c>
      <c r="X5" s="326">
        <v>2025</v>
      </c>
      <c r="Y5" s="17"/>
      <c r="Z5" s="17"/>
      <c r="AA5" s="17"/>
      <c r="AB5" s="17"/>
      <c r="AC5" s="17"/>
      <c r="AD5" s="17"/>
      <c r="AE5" s="318"/>
    </row>
    <row r="6" spans="1:31" s="13" customFormat="1" ht="44.25" customHeight="1" thickBot="1">
      <c r="A6" s="263"/>
      <c r="B6" s="263"/>
      <c r="C6" s="264"/>
      <c r="D6" s="265"/>
      <c r="E6" s="266"/>
      <c r="F6" s="267"/>
      <c r="G6" s="266"/>
      <c r="H6" s="267"/>
      <c r="I6" s="268"/>
      <c r="J6" s="317" t="s">
        <v>136</v>
      </c>
      <c r="K6" s="317" t="s">
        <v>137</v>
      </c>
      <c r="L6" s="317" t="s">
        <v>138</v>
      </c>
      <c r="M6" s="317" t="s">
        <v>139</v>
      </c>
      <c r="N6" s="317" t="s">
        <v>140</v>
      </c>
      <c r="O6" s="317" t="s">
        <v>141</v>
      </c>
      <c r="P6" s="317" t="s">
        <v>142</v>
      </c>
      <c r="Q6" s="317" t="s">
        <v>143</v>
      </c>
      <c r="R6" s="319"/>
      <c r="S6" s="320"/>
      <c r="T6" s="198"/>
      <c r="U6" s="212"/>
      <c r="V6" s="213"/>
      <c r="X6" s="327" t="s">
        <v>136</v>
      </c>
      <c r="Y6" s="325" t="s">
        <v>137</v>
      </c>
      <c r="Z6" s="317" t="s">
        <v>138</v>
      </c>
      <c r="AA6" s="317" t="s">
        <v>139</v>
      </c>
      <c r="AB6" s="317" t="s">
        <v>140</v>
      </c>
      <c r="AC6" s="317" t="s">
        <v>141</v>
      </c>
      <c r="AD6" s="317" t="s">
        <v>142</v>
      </c>
      <c r="AE6" s="317" t="s">
        <v>143</v>
      </c>
    </row>
    <row r="7" spans="1:31" ht="18.95" customHeight="1" thickTop="1">
      <c r="A7" s="311" t="s">
        <v>37</v>
      </c>
      <c r="B7" s="269" t="s">
        <v>38</v>
      </c>
      <c r="C7" s="155" t="s">
        <v>39</v>
      </c>
      <c r="D7" s="270" t="s">
        <v>40</v>
      </c>
      <c r="E7" s="271">
        <v>450000</v>
      </c>
      <c r="F7" s="192"/>
      <c r="G7" s="271">
        <v>800000</v>
      </c>
      <c r="H7" s="192"/>
      <c r="I7" s="272">
        <v>800000</v>
      </c>
      <c r="J7" s="273">
        <v>0</v>
      </c>
      <c r="K7" s="273">
        <v>0</v>
      </c>
      <c r="L7" s="273">
        <v>300000</v>
      </c>
      <c r="M7" s="273">
        <v>210000</v>
      </c>
      <c r="N7" s="273">
        <v>0</v>
      </c>
      <c r="O7" s="273">
        <v>0</v>
      </c>
      <c r="P7" s="273">
        <v>0</v>
      </c>
      <c r="Q7" s="273">
        <v>0</v>
      </c>
      <c r="R7" s="274">
        <f>SUM(J7:Q7)</f>
        <v>510000</v>
      </c>
      <c r="S7" s="275">
        <f>I7-R7</f>
        <v>290000</v>
      </c>
      <c r="T7" s="276">
        <f>G7-I7</f>
        <v>0</v>
      </c>
      <c r="U7" s="277">
        <v>0</v>
      </c>
      <c r="V7" s="278" t="e">
        <f>R7/U7</f>
        <v>#DIV/0!</v>
      </c>
      <c r="X7" s="328"/>
      <c r="Y7" s="273"/>
      <c r="Z7" s="273"/>
      <c r="AA7" s="273"/>
      <c r="AB7" s="273"/>
      <c r="AC7" s="273"/>
      <c r="AD7" s="273"/>
      <c r="AE7" s="273"/>
    </row>
    <row r="8" spans="1:31" ht="18.95" customHeight="1">
      <c r="A8" s="312"/>
      <c r="B8" s="279" t="s">
        <v>41</v>
      </c>
      <c r="C8" s="280" t="s">
        <v>42</v>
      </c>
      <c r="D8" s="281" t="s">
        <v>43</v>
      </c>
      <c r="E8" s="282">
        <v>0</v>
      </c>
      <c r="F8" s="283"/>
      <c r="G8" s="282">
        <v>1925000</v>
      </c>
      <c r="H8" s="283"/>
      <c r="I8" s="284">
        <v>1137500</v>
      </c>
      <c r="J8" s="285">
        <v>0</v>
      </c>
      <c r="K8" s="285">
        <v>0</v>
      </c>
      <c r="L8" s="285">
        <v>0</v>
      </c>
      <c r="M8" s="285">
        <v>0</v>
      </c>
      <c r="N8" s="285">
        <v>0</v>
      </c>
      <c r="O8" s="285">
        <v>0</v>
      </c>
      <c r="P8" s="285">
        <v>0</v>
      </c>
      <c r="Q8" s="285">
        <v>0</v>
      </c>
      <c r="R8" s="286">
        <f>SUM(J8:Q8)</f>
        <v>0</v>
      </c>
      <c r="S8" s="287">
        <f>I8-R8</f>
        <v>1137500</v>
      </c>
      <c r="T8" s="288">
        <f>G8-I8</f>
        <v>787500</v>
      </c>
      <c r="U8" s="289">
        <v>0</v>
      </c>
      <c r="V8" s="290" t="e">
        <f t="shared" ref="V8:V71" si="0">R8/U8</f>
        <v>#DIV/0!</v>
      </c>
      <c r="X8" s="329"/>
      <c r="Y8" s="285"/>
      <c r="Z8" s="285"/>
      <c r="AA8" s="285"/>
      <c r="AB8" s="285"/>
      <c r="AC8" s="285"/>
      <c r="AD8" s="285"/>
      <c r="AE8" s="285"/>
    </row>
    <row r="9" spans="1:31" ht="18.95" customHeight="1">
      <c r="A9" s="312"/>
      <c r="B9" s="279" t="s">
        <v>44</v>
      </c>
      <c r="C9" s="280" t="s">
        <v>45</v>
      </c>
      <c r="D9" s="281" t="s">
        <v>43</v>
      </c>
      <c r="E9" s="282">
        <v>0</v>
      </c>
      <c r="F9" s="283"/>
      <c r="G9" s="282">
        <v>0</v>
      </c>
      <c r="H9" s="283"/>
      <c r="I9" s="284">
        <v>0</v>
      </c>
      <c r="J9" s="285">
        <v>0</v>
      </c>
      <c r="K9" s="285">
        <v>18400</v>
      </c>
      <c r="L9" s="285">
        <v>0</v>
      </c>
      <c r="M9" s="285">
        <v>0</v>
      </c>
      <c r="N9" s="285">
        <v>0</v>
      </c>
      <c r="O9" s="285">
        <v>0</v>
      </c>
      <c r="P9" s="285">
        <v>0</v>
      </c>
      <c r="Q9" s="285">
        <v>0</v>
      </c>
      <c r="R9" s="286">
        <f>SUM(J9:Q9)</f>
        <v>18400</v>
      </c>
      <c r="S9" s="287">
        <f>I9-R9</f>
        <v>-18400</v>
      </c>
      <c r="T9" s="288">
        <f>G9-I9</f>
        <v>0</v>
      </c>
      <c r="U9" s="289">
        <v>0</v>
      </c>
      <c r="V9" s="290" t="e">
        <f t="shared" si="0"/>
        <v>#DIV/0!</v>
      </c>
      <c r="X9" s="329"/>
      <c r="Y9" s="285"/>
      <c r="Z9" s="285"/>
      <c r="AA9" s="285"/>
      <c r="AB9" s="285"/>
      <c r="AC9" s="285"/>
      <c r="AD9" s="285"/>
      <c r="AE9" s="285"/>
    </row>
    <row r="10" spans="1:31" ht="18.95" customHeight="1">
      <c r="A10" s="312"/>
      <c r="B10" s="279" t="s">
        <v>46</v>
      </c>
      <c r="C10" s="280" t="s">
        <v>47</v>
      </c>
      <c r="D10" s="281" t="s">
        <v>48</v>
      </c>
      <c r="E10" s="282">
        <v>400000</v>
      </c>
      <c r="F10" s="283"/>
      <c r="G10" s="282">
        <v>400000</v>
      </c>
      <c r="H10" s="283"/>
      <c r="I10" s="284">
        <v>400000</v>
      </c>
      <c r="J10" s="285">
        <v>0</v>
      </c>
      <c r="K10" s="285">
        <v>0</v>
      </c>
      <c r="L10" s="285">
        <v>0</v>
      </c>
      <c r="M10" s="285">
        <v>216000</v>
      </c>
      <c r="N10" s="285">
        <v>0</v>
      </c>
      <c r="O10" s="285">
        <v>0</v>
      </c>
      <c r="P10" s="285">
        <v>0</v>
      </c>
      <c r="Q10" s="285">
        <v>0</v>
      </c>
      <c r="R10" s="286">
        <f>SUM(J10:Q10)</f>
        <v>216000</v>
      </c>
      <c r="S10" s="287">
        <f>I10-R10</f>
        <v>184000</v>
      </c>
      <c r="T10" s="288">
        <f>G10-I10</f>
        <v>0</v>
      </c>
      <c r="U10" s="289">
        <v>0</v>
      </c>
      <c r="V10" s="290" t="e">
        <f t="shared" si="0"/>
        <v>#DIV/0!</v>
      </c>
      <c r="X10" s="329"/>
      <c r="Y10" s="285"/>
      <c r="Z10" s="285"/>
      <c r="AA10" s="285"/>
      <c r="AB10" s="285"/>
      <c r="AC10" s="285"/>
      <c r="AD10" s="285"/>
      <c r="AE10" s="285"/>
    </row>
    <row r="11" spans="1:31" ht="18.95" customHeight="1">
      <c r="A11" s="312"/>
      <c r="B11" s="279" t="s">
        <v>49</v>
      </c>
      <c r="C11" s="280" t="s">
        <v>50</v>
      </c>
      <c r="D11" s="281" t="s">
        <v>43</v>
      </c>
      <c r="E11" s="282">
        <v>0</v>
      </c>
      <c r="F11" s="283"/>
      <c r="G11" s="282">
        <v>0</v>
      </c>
      <c r="H11" s="283"/>
      <c r="I11" s="284">
        <v>0</v>
      </c>
      <c r="J11" s="285">
        <v>0</v>
      </c>
      <c r="K11" s="285">
        <v>0</v>
      </c>
      <c r="L11" s="285">
        <v>0</v>
      </c>
      <c r="M11" s="285">
        <v>105000</v>
      </c>
      <c r="N11" s="285">
        <v>174500</v>
      </c>
      <c r="O11" s="285">
        <v>45000</v>
      </c>
      <c r="P11" s="285">
        <v>0</v>
      </c>
      <c r="Q11" s="285">
        <v>0</v>
      </c>
      <c r="R11" s="286">
        <f>SUM(J11:Q11)</f>
        <v>324500</v>
      </c>
      <c r="S11" s="287">
        <f>I11-R11</f>
        <v>-324500</v>
      </c>
      <c r="T11" s="288">
        <f>G11-I11</f>
        <v>0</v>
      </c>
      <c r="U11" s="289">
        <v>0</v>
      </c>
      <c r="V11" s="290" t="e">
        <f t="shared" si="0"/>
        <v>#DIV/0!</v>
      </c>
      <c r="X11" s="329"/>
      <c r="Y11" s="285"/>
      <c r="Z11" s="285"/>
      <c r="AA11" s="285"/>
      <c r="AB11" s="285"/>
      <c r="AC11" s="285"/>
      <c r="AD11" s="285"/>
      <c r="AE11" s="285"/>
    </row>
    <row r="12" spans="1:31" ht="18.95" customHeight="1">
      <c r="A12" s="312"/>
      <c r="B12" s="279" t="s">
        <v>51</v>
      </c>
      <c r="C12" s="280" t="s">
        <v>45</v>
      </c>
      <c r="D12" s="281" t="s">
        <v>43</v>
      </c>
      <c r="E12" s="282">
        <v>0</v>
      </c>
      <c r="F12" s="283"/>
      <c r="G12" s="282">
        <v>0</v>
      </c>
      <c r="H12" s="283"/>
      <c r="I12" s="284">
        <v>0</v>
      </c>
      <c r="J12" s="285">
        <v>0</v>
      </c>
      <c r="K12" s="285">
        <v>0</v>
      </c>
      <c r="L12" s="285">
        <v>29200</v>
      </c>
      <c r="M12" s="285">
        <v>0</v>
      </c>
      <c r="N12" s="285">
        <v>0</v>
      </c>
      <c r="O12" s="285">
        <v>0</v>
      </c>
      <c r="P12" s="285">
        <v>0</v>
      </c>
      <c r="Q12" s="285">
        <v>0</v>
      </c>
      <c r="R12" s="286">
        <f>SUM(J12:Q12)</f>
        <v>29200</v>
      </c>
      <c r="S12" s="287">
        <f>I12-R12</f>
        <v>-29200</v>
      </c>
      <c r="T12" s="288">
        <f>G12-I12</f>
        <v>0</v>
      </c>
      <c r="U12" s="289">
        <v>0</v>
      </c>
      <c r="V12" s="290" t="e">
        <f t="shared" si="0"/>
        <v>#DIV/0!</v>
      </c>
      <c r="X12" s="329"/>
      <c r="Y12" s="285"/>
      <c r="Z12" s="285"/>
      <c r="AA12" s="285"/>
      <c r="AB12" s="285"/>
      <c r="AC12" s="285"/>
      <c r="AD12" s="285"/>
      <c r="AE12" s="285"/>
    </row>
    <row r="13" spans="1:31" ht="18.95" customHeight="1">
      <c r="A13" s="312"/>
      <c r="B13" s="279" t="s">
        <v>52</v>
      </c>
      <c r="C13" s="280" t="s">
        <v>50</v>
      </c>
      <c r="D13" s="281" t="s">
        <v>43</v>
      </c>
      <c r="E13" s="282">
        <v>0</v>
      </c>
      <c r="F13" s="283"/>
      <c r="G13" s="282">
        <v>0</v>
      </c>
      <c r="H13" s="283"/>
      <c r="I13" s="284">
        <v>0</v>
      </c>
      <c r="J13" s="285">
        <v>0</v>
      </c>
      <c r="K13" s="285">
        <v>0</v>
      </c>
      <c r="L13" s="285">
        <v>0</v>
      </c>
      <c r="M13" s="285">
        <v>0</v>
      </c>
      <c r="N13" s="285">
        <v>1325</v>
      </c>
      <c r="O13" s="285">
        <v>0</v>
      </c>
      <c r="P13" s="285">
        <v>0</v>
      </c>
      <c r="Q13" s="285">
        <v>0</v>
      </c>
      <c r="R13" s="286">
        <f>SUM(J13:Q13)</f>
        <v>1325</v>
      </c>
      <c r="S13" s="287">
        <f>I13-R13</f>
        <v>-1325</v>
      </c>
      <c r="T13" s="288">
        <f>G13-I13</f>
        <v>0</v>
      </c>
      <c r="U13" s="289">
        <v>0</v>
      </c>
      <c r="V13" s="290" t="e">
        <f t="shared" si="0"/>
        <v>#DIV/0!</v>
      </c>
      <c r="X13" s="329"/>
      <c r="Y13" s="285"/>
      <c r="Z13" s="285"/>
      <c r="AA13" s="285"/>
      <c r="AB13" s="285"/>
      <c r="AC13" s="285"/>
      <c r="AD13" s="285"/>
      <c r="AE13" s="285"/>
    </row>
    <row r="14" spans="1:31" ht="18.95" customHeight="1">
      <c r="A14" s="312"/>
      <c r="B14" s="279" t="s">
        <v>53</v>
      </c>
      <c r="C14" s="280" t="s">
        <v>45</v>
      </c>
      <c r="D14" s="281" t="s">
        <v>43</v>
      </c>
      <c r="E14" s="282">
        <v>0</v>
      </c>
      <c r="F14" s="283"/>
      <c r="G14" s="282">
        <v>0</v>
      </c>
      <c r="H14" s="283"/>
      <c r="I14" s="284">
        <v>0</v>
      </c>
      <c r="J14" s="285">
        <v>0</v>
      </c>
      <c r="K14" s="285">
        <v>0</v>
      </c>
      <c r="L14" s="285">
        <v>32465</v>
      </c>
      <c r="M14" s="285">
        <v>0</v>
      </c>
      <c r="N14" s="285">
        <v>0</v>
      </c>
      <c r="O14" s="285">
        <v>0</v>
      </c>
      <c r="P14" s="285">
        <v>0</v>
      </c>
      <c r="Q14" s="285">
        <v>0</v>
      </c>
      <c r="R14" s="286">
        <f>SUM(J14:Q14)</f>
        <v>32465</v>
      </c>
      <c r="S14" s="287">
        <f>I14-R14</f>
        <v>-32465</v>
      </c>
      <c r="T14" s="288">
        <f>G14-I14</f>
        <v>0</v>
      </c>
      <c r="U14" s="289">
        <v>0</v>
      </c>
      <c r="V14" s="290" t="e">
        <f t="shared" si="0"/>
        <v>#DIV/0!</v>
      </c>
      <c r="X14" s="329"/>
      <c r="Y14" s="285"/>
      <c r="Z14" s="285"/>
      <c r="AA14" s="285"/>
      <c r="AB14" s="285"/>
      <c r="AC14" s="285"/>
      <c r="AD14" s="285"/>
      <c r="AE14" s="285"/>
    </row>
    <row r="15" spans="1:31" ht="18.95" customHeight="1">
      <c r="A15" s="312"/>
      <c r="B15" s="279" t="s">
        <v>54</v>
      </c>
      <c r="C15" s="280" t="s">
        <v>42</v>
      </c>
      <c r="D15" s="281" t="s">
        <v>43</v>
      </c>
      <c r="E15" s="282">
        <v>250000</v>
      </c>
      <c r="F15" s="283"/>
      <c r="G15" s="282">
        <v>250000</v>
      </c>
      <c r="H15" s="283"/>
      <c r="I15" s="284">
        <v>250000</v>
      </c>
      <c r="J15" s="285">
        <v>0</v>
      </c>
      <c r="K15" s="285">
        <v>0</v>
      </c>
      <c r="L15" s="285">
        <v>143000</v>
      </c>
      <c r="M15" s="285">
        <v>0</v>
      </c>
      <c r="N15" s="285">
        <v>0</v>
      </c>
      <c r="O15" s="285">
        <v>0</v>
      </c>
      <c r="P15" s="285">
        <v>0</v>
      </c>
      <c r="Q15" s="285">
        <v>0</v>
      </c>
      <c r="R15" s="286">
        <f>SUM(J15:Q15)</f>
        <v>143000</v>
      </c>
      <c r="S15" s="287">
        <f>I15-R15</f>
        <v>107000</v>
      </c>
      <c r="T15" s="288">
        <f>G15-I15</f>
        <v>0</v>
      </c>
      <c r="U15" s="289">
        <v>0</v>
      </c>
      <c r="V15" s="290" t="e">
        <f t="shared" si="0"/>
        <v>#DIV/0!</v>
      </c>
      <c r="X15" s="329"/>
      <c r="Y15" s="285"/>
      <c r="Z15" s="285"/>
      <c r="AA15" s="285"/>
      <c r="AB15" s="285"/>
      <c r="AC15" s="285"/>
      <c r="AD15" s="285"/>
      <c r="AE15" s="285"/>
    </row>
    <row r="16" spans="1:31" ht="18.95" customHeight="1">
      <c r="A16" s="312"/>
      <c r="B16" s="279" t="s">
        <v>55</v>
      </c>
      <c r="C16" s="280" t="s">
        <v>45</v>
      </c>
      <c r="D16" s="281" t="s">
        <v>43</v>
      </c>
      <c r="E16" s="282">
        <v>0</v>
      </c>
      <c r="F16" s="283"/>
      <c r="G16" s="282">
        <v>0</v>
      </c>
      <c r="H16" s="283"/>
      <c r="I16" s="284">
        <v>0</v>
      </c>
      <c r="J16" s="285">
        <v>0</v>
      </c>
      <c r="K16" s="285">
        <v>0</v>
      </c>
      <c r="L16" s="285">
        <v>37200</v>
      </c>
      <c r="M16" s="285">
        <v>58270</v>
      </c>
      <c r="N16" s="285">
        <v>0</v>
      </c>
      <c r="O16" s="285">
        <v>0</v>
      </c>
      <c r="P16" s="285">
        <v>0</v>
      </c>
      <c r="Q16" s="285">
        <v>0</v>
      </c>
      <c r="R16" s="286">
        <f>SUM(J16:Q16)</f>
        <v>95470</v>
      </c>
      <c r="S16" s="287">
        <f>I16-R16</f>
        <v>-95470</v>
      </c>
      <c r="T16" s="288">
        <f>G16-I16</f>
        <v>0</v>
      </c>
      <c r="U16" s="289">
        <v>0</v>
      </c>
      <c r="V16" s="290" t="e">
        <f t="shared" si="0"/>
        <v>#DIV/0!</v>
      </c>
      <c r="X16" s="329"/>
      <c r="Y16" s="285"/>
      <c r="Z16" s="285"/>
      <c r="AA16" s="285"/>
      <c r="AB16" s="285"/>
      <c r="AC16" s="285"/>
      <c r="AD16" s="285"/>
      <c r="AE16" s="285"/>
    </row>
    <row r="17" spans="1:31" ht="18.95" customHeight="1">
      <c r="A17" s="312"/>
      <c r="B17" s="279" t="s">
        <v>56</v>
      </c>
      <c r="C17" s="280" t="s">
        <v>57</v>
      </c>
      <c r="D17" s="281" t="s">
        <v>43</v>
      </c>
      <c r="E17" s="282">
        <v>0</v>
      </c>
      <c r="F17" s="283"/>
      <c r="G17" s="282">
        <v>0</v>
      </c>
      <c r="H17" s="283"/>
      <c r="I17" s="284">
        <v>0</v>
      </c>
      <c r="J17" s="285">
        <v>199000</v>
      </c>
      <c r="K17" s="285">
        <v>8000</v>
      </c>
      <c r="L17" s="285">
        <v>0</v>
      </c>
      <c r="M17" s="285">
        <v>0</v>
      </c>
      <c r="N17" s="285">
        <v>0</v>
      </c>
      <c r="O17" s="285">
        <v>0</v>
      </c>
      <c r="P17" s="285">
        <v>0</v>
      </c>
      <c r="Q17" s="285">
        <v>0</v>
      </c>
      <c r="R17" s="286">
        <f>SUM(J17:Q17)</f>
        <v>207000</v>
      </c>
      <c r="S17" s="287">
        <f>I17-R17</f>
        <v>-207000</v>
      </c>
      <c r="T17" s="288">
        <f>G17-I17</f>
        <v>0</v>
      </c>
      <c r="U17" s="289">
        <v>0</v>
      </c>
      <c r="V17" s="290" t="e">
        <f t="shared" si="0"/>
        <v>#DIV/0!</v>
      </c>
      <c r="X17" s="329"/>
      <c r="Y17" s="285"/>
      <c r="Z17" s="285"/>
      <c r="AA17" s="285"/>
      <c r="AB17" s="285"/>
      <c r="AC17" s="285"/>
      <c r="AD17" s="285"/>
      <c r="AE17" s="285"/>
    </row>
    <row r="18" spans="1:31" ht="18.95" customHeight="1">
      <c r="A18" s="312"/>
      <c r="B18" s="279" t="s">
        <v>58</v>
      </c>
      <c r="C18" s="280" t="s">
        <v>57</v>
      </c>
      <c r="D18" s="281" t="s">
        <v>43</v>
      </c>
      <c r="E18" s="282">
        <v>0</v>
      </c>
      <c r="F18" s="283"/>
      <c r="G18" s="282">
        <v>100000</v>
      </c>
      <c r="H18" s="283"/>
      <c r="I18" s="284">
        <v>195800</v>
      </c>
      <c r="J18" s="285">
        <v>0</v>
      </c>
      <c r="K18" s="285">
        <v>0</v>
      </c>
      <c r="L18" s="285">
        <v>103800</v>
      </c>
      <c r="M18" s="285">
        <v>32000</v>
      </c>
      <c r="N18" s="285">
        <v>20000</v>
      </c>
      <c r="O18" s="285">
        <v>20000</v>
      </c>
      <c r="P18" s="285">
        <v>0</v>
      </c>
      <c r="Q18" s="285">
        <v>0</v>
      </c>
      <c r="R18" s="286">
        <f>SUM(J18:Q18)</f>
        <v>175800</v>
      </c>
      <c r="S18" s="287">
        <f>I18-R18</f>
        <v>20000</v>
      </c>
      <c r="T18" s="288">
        <f>G18-I18</f>
        <v>-95800</v>
      </c>
      <c r="U18" s="289">
        <v>0</v>
      </c>
      <c r="V18" s="290" t="e">
        <f t="shared" si="0"/>
        <v>#DIV/0!</v>
      </c>
      <c r="X18" s="329"/>
      <c r="Y18" s="285"/>
      <c r="Z18" s="285"/>
      <c r="AA18" s="285"/>
      <c r="AB18" s="285"/>
      <c r="AC18" s="285"/>
      <c r="AD18" s="285"/>
      <c r="AE18" s="285"/>
    </row>
    <row r="19" spans="1:31" ht="18.95" customHeight="1">
      <c r="A19" s="312"/>
      <c r="B19" s="279" t="s">
        <v>59</v>
      </c>
      <c r="C19" s="280" t="s">
        <v>42</v>
      </c>
      <c r="D19" s="281" t="s">
        <v>43</v>
      </c>
      <c r="E19" s="282">
        <v>0</v>
      </c>
      <c r="F19" s="283"/>
      <c r="G19" s="282">
        <v>0</v>
      </c>
      <c r="H19" s="283"/>
      <c r="I19" s="284">
        <v>0</v>
      </c>
      <c r="J19" s="285">
        <v>0</v>
      </c>
      <c r="K19" s="285">
        <v>0</v>
      </c>
      <c r="L19" s="285">
        <v>558700</v>
      </c>
      <c r="M19" s="285">
        <v>409250</v>
      </c>
      <c r="N19" s="285">
        <v>130200</v>
      </c>
      <c r="O19" s="285">
        <v>105000</v>
      </c>
      <c r="P19" s="285">
        <v>0</v>
      </c>
      <c r="Q19" s="285">
        <v>0</v>
      </c>
      <c r="R19" s="286">
        <f>SUM(J19:Q19)</f>
        <v>1203150</v>
      </c>
      <c r="S19" s="287">
        <f>I19-R19</f>
        <v>-1203150</v>
      </c>
      <c r="T19" s="288">
        <f>G19-I19</f>
        <v>0</v>
      </c>
      <c r="U19" s="289">
        <v>0</v>
      </c>
      <c r="V19" s="290" t="e">
        <f t="shared" si="0"/>
        <v>#DIV/0!</v>
      </c>
      <c r="X19" s="329"/>
      <c r="Y19" s="285"/>
      <c r="Z19" s="285"/>
      <c r="AA19" s="285"/>
      <c r="AB19" s="285"/>
      <c r="AC19" s="285"/>
      <c r="AD19" s="285"/>
      <c r="AE19" s="285"/>
    </row>
    <row r="20" spans="1:31" ht="18.95" customHeight="1">
      <c r="A20" s="312"/>
      <c r="B20" s="279" t="s">
        <v>60</v>
      </c>
      <c r="C20" s="280" t="s">
        <v>39</v>
      </c>
      <c r="D20" s="281" t="s">
        <v>43</v>
      </c>
      <c r="E20" s="282">
        <v>0</v>
      </c>
      <c r="F20" s="283"/>
      <c r="G20" s="282">
        <v>0</v>
      </c>
      <c r="H20" s="283"/>
      <c r="I20" s="284">
        <v>0</v>
      </c>
      <c r="J20" s="285">
        <v>0</v>
      </c>
      <c r="K20" s="285">
        <v>0</v>
      </c>
      <c r="L20" s="285">
        <v>22000</v>
      </c>
      <c r="M20" s="285">
        <v>0</v>
      </c>
      <c r="N20" s="285">
        <v>0</v>
      </c>
      <c r="O20" s="285">
        <v>0</v>
      </c>
      <c r="P20" s="285">
        <v>0</v>
      </c>
      <c r="Q20" s="285">
        <v>0</v>
      </c>
      <c r="R20" s="286">
        <f>SUM(J20:Q20)</f>
        <v>22000</v>
      </c>
      <c r="S20" s="287">
        <f>I20-R20</f>
        <v>-22000</v>
      </c>
      <c r="T20" s="288">
        <f>G20-I20</f>
        <v>0</v>
      </c>
      <c r="U20" s="289">
        <v>0</v>
      </c>
      <c r="V20" s="290" t="e">
        <f t="shared" si="0"/>
        <v>#DIV/0!</v>
      </c>
      <c r="X20" s="329"/>
      <c r="Y20" s="285"/>
      <c r="Z20" s="285"/>
      <c r="AA20" s="285"/>
      <c r="AB20" s="285"/>
      <c r="AC20" s="285"/>
      <c r="AD20" s="285"/>
      <c r="AE20" s="285"/>
    </row>
    <row r="21" spans="1:31" ht="18.95" customHeight="1">
      <c r="A21" s="312"/>
      <c r="B21" s="279" t="s">
        <v>61</v>
      </c>
      <c r="C21" s="280" t="s">
        <v>57</v>
      </c>
      <c r="D21" s="281" t="s">
        <v>62</v>
      </c>
      <c r="E21" s="282">
        <v>530000</v>
      </c>
      <c r="F21" s="283"/>
      <c r="G21" s="282">
        <v>650000</v>
      </c>
      <c r="H21" s="283"/>
      <c r="I21" s="284">
        <v>650000</v>
      </c>
      <c r="J21" s="285">
        <v>0</v>
      </c>
      <c r="K21" s="285">
        <v>0</v>
      </c>
      <c r="L21" s="285">
        <v>351000</v>
      </c>
      <c r="M21" s="285">
        <v>0</v>
      </c>
      <c r="N21" s="285">
        <v>0</v>
      </c>
      <c r="O21" s="285">
        <v>0</v>
      </c>
      <c r="P21" s="285">
        <v>0</v>
      </c>
      <c r="Q21" s="285">
        <v>0</v>
      </c>
      <c r="R21" s="286">
        <f>SUM(J21:Q21)</f>
        <v>351000</v>
      </c>
      <c r="S21" s="287">
        <f>I21-R21</f>
        <v>299000</v>
      </c>
      <c r="T21" s="288">
        <f>G21-I21</f>
        <v>0</v>
      </c>
      <c r="U21" s="289">
        <v>1</v>
      </c>
      <c r="V21" s="290">
        <f t="shared" si="0"/>
        <v>351000</v>
      </c>
      <c r="X21" s="329"/>
      <c r="Y21" s="285"/>
      <c r="Z21" s="285"/>
      <c r="AA21" s="285"/>
      <c r="AB21" s="285"/>
      <c r="AC21" s="285"/>
      <c r="AD21" s="285"/>
      <c r="AE21" s="285"/>
    </row>
    <row r="22" spans="1:31" ht="18.95" customHeight="1">
      <c r="A22" s="312"/>
      <c r="B22" s="279" t="s">
        <v>61</v>
      </c>
      <c r="C22" s="280" t="s">
        <v>57</v>
      </c>
      <c r="D22" s="281" t="s">
        <v>43</v>
      </c>
      <c r="E22" s="282">
        <v>0</v>
      </c>
      <c r="F22" s="283"/>
      <c r="G22" s="282">
        <v>0</v>
      </c>
      <c r="H22" s="283"/>
      <c r="I22" s="284">
        <v>0</v>
      </c>
      <c r="J22" s="285">
        <v>0</v>
      </c>
      <c r="K22" s="285">
        <v>0</v>
      </c>
      <c r="L22" s="285">
        <v>0</v>
      </c>
      <c r="M22" s="285">
        <v>78392</v>
      </c>
      <c r="N22" s="285">
        <v>33674</v>
      </c>
      <c r="O22" s="285">
        <v>54816</v>
      </c>
      <c r="P22" s="285">
        <v>0</v>
      </c>
      <c r="Q22" s="285">
        <v>0</v>
      </c>
      <c r="R22" s="286">
        <f>SUM(J22:Q22)</f>
        <v>166882</v>
      </c>
      <c r="S22" s="287">
        <f>I22-R22</f>
        <v>-166882</v>
      </c>
      <c r="T22" s="288">
        <f>G22-I22</f>
        <v>0</v>
      </c>
      <c r="U22" s="289">
        <v>0</v>
      </c>
      <c r="V22" s="290" t="e">
        <f t="shared" si="0"/>
        <v>#DIV/0!</v>
      </c>
      <c r="X22" s="329"/>
      <c r="Y22" s="285"/>
      <c r="Z22" s="285"/>
      <c r="AA22" s="285"/>
      <c r="AB22" s="285"/>
      <c r="AC22" s="285"/>
      <c r="AD22" s="285"/>
      <c r="AE22" s="285"/>
    </row>
    <row r="23" spans="1:31" ht="18.95" customHeight="1">
      <c r="A23" s="312"/>
      <c r="B23" s="279" t="s">
        <v>63</v>
      </c>
      <c r="C23" s="280" t="s">
        <v>57</v>
      </c>
      <c r="D23" s="281" t="s">
        <v>43</v>
      </c>
      <c r="E23" s="282">
        <v>0</v>
      </c>
      <c r="F23" s="283"/>
      <c r="G23" s="282">
        <v>0</v>
      </c>
      <c r="H23" s="283"/>
      <c r="I23" s="284">
        <v>0</v>
      </c>
      <c r="J23" s="285">
        <v>0</v>
      </c>
      <c r="K23" s="285">
        <v>0</v>
      </c>
      <c r="L23" s="285">
        <v>128190</v>
      </c>
      <c r="M23" s="285">
        <v>0</v>
      </c>
      <c r="N23" s="285">
        <v>0</v>
      </c>
      <c r="O23" s="285">
        <v>0</v>
      </c>
      <c r="P23" s="285">
        <v>0</v>
      </c>
      <c r="Q23" s="285">
        <v>0</v>
      </c>
      <c r="R23" s="286">
        <f>SUM(J23:Q23)</f>
        <v>128190</v>
      </c>
      <c r="S23" s="287">
        <f>I23-R23</f>
        <v>-128190</v>
      </c>
      <c r="T23" s="288">
        <f>G23-I23</f>
        <v>0</v>
      </c>
      <c r="U23" s="289">
        <v>0</v>
      </c>
      <c r="V23" s="290" t="e">
        <f t="shared" si="0"/>
        <v>#DIV/0!</v>
      </c>
      <c r="X23" s="329"/>
      <c r="Y23" s="285"/>
      <c r="Z23" s="285"/>
      <c r="AA23" s="285"/>
      <c r="AB23" s="285"/>
      <c r="AC23" s="285"/>
      <c r="AD23" s="285"/>
      <c r="AE23" s="285"/>
    </row>
    <row r="24" spans="1:31" ht="18.95" customHeight="1">
      <c r="A24" s="312"/>
      <c r="B24" s="279"/>
      <c r="C24" s="280" t="s">
        <v>57</v>
      </c>
      <c r="D24" s="281" t="s">
        <v>43</v>
      </c>
      <c r="E24" s="282">
        <v>0</v>
      </c>
      <c r="F24" s="283"/>
      <c r="G24" s="282">
        <v>0</v>
      </c>
      <c r="H24" s="283"/>
      <c r="I24" s="284">
        <v>0</v>
      </c>
      <c r="J24" s="285">
        <v>0</v>
      </c>
      <c r="K24" s="285">
        <v>0</v>
      </c>
      <c r="L24" s="285">
        <v>0</v>
      </c>
      <c r="M24" s="285">
        <v>0</v>
      </c>
      <c r="N24" s="285">
        <v>0</v>
      </c>
      <c r="O24" s="285">
        <v>0</v>
      </c>
      <c r="P24" s="285">
        <v>0</v>
      </c>
      <c r="Q24" s="285">
        <v>0</v>
      </c>
      <c r="R24" s="286">
        <f>SUM(J24:Q24)</f>
        <v>0</v>
      </c>
      <c r="S24" s="287">
        <f>I24-R24</f>
        <v>0</v>
      </c>
      <c r="T24" s="288">
        <f>G24-I24</f>
        <v>0</v>
      </c>
      <c r="U24" s="289">
        <v>0</v>
      </c>
      <c r="V24" s="290" t="e">
        <f t="shared" si="0"/>
        <v>#DIV/0!</v>
      </c>
      <c r="X24" s="329"/>
      <c r="Y24" s="285"/>
      <c r="Z24" s="285"/>
      <c r="AA24" s="285"/>
      <c r="AB24" s="285"/>
      <c r="AC24" s="285"/>
      <c r="AD24" s="285"/>
      <c r="AE24" s="285"/>
    </row>
    <row r="25" spans="1:31" ht="18.95" customHeight="1">
      <c r="A25" s="312"/>
      <c r="B25" s="279"/>
      <c r="C25" s="280" t="s">
        <v>47</v>
      </c>
      <c r="D25" s="281" t="s">
        <v>43</v>
      </c>
      <c r="E25" s="282">
        <v>0</v>
      </c>
      <c r="F25" s="283"/>
      <c r="G25" s="282">
        <v>0</v>
      </c>
      <c r="H25" s="283"/>
      <c r="I25" s="284">
        <v>0</v>
      </c>
      <c r="J25" s="285">
        <v>0</v>
      </c>
      <c r="K25" s="285">
        <v>0</v>
      </c>
      <c r="L25" s="285">
        <v>0</v>
      </c>
      <c r="M25" s="285">
        <v>0</v>
      </c>
      <c r="N25" s="285">
        <v>0</v>
      </c>
      <c r="O25" s="285">
        <v>0</v>
      </c>
      <c r="P25" s="285">
        <v>0</v>
      </c>
      <c r="Q25" s="285">
        <v>0</v>
      </c>
      <c r="R25" s="286">
        <f>SUM(J25:Q25)</f>
        <v>0</v>
      </c>
      <c r="S25" s="287">
        <f>I25-R25</f>
        <v>0</v>
      </c>
      <c r="T25" s="288">
        <f>G25-I25</f>
        <v>0</v>
      </c>
      <c r="U25" s="289">
        <v>0</v>
      </c>
      <c r="V25" s="290" t="e">
        <f t="shared" si="0"/>
        <v>#DIV/0!</v>
      </c>
      <c r="X25" s="329"/>
      <c r="Y25" s="285"/>
      <c r="Z25" s="285"/>
      <c r="AA25" s="285"/>
      <c r="AB25" s="285"/>
      <c r="AC25" s="285"/>
      <c r="AD25" s="285"/>
      <c r="AE25" s="285"/>
    </row>
    <row r="26" spans="1:31" ht="18.95" customHeight="1">
      <c r="A26" s="312"/>
      <c r="B26" s="279"/>
      <c r="C26" s="280" t="s">
        <v>39</v>
      </c>
      <c r="D26" s="281" t="s">
        <v>43</v>
      </c>
      <c r="E26" s="282">
        <v>0</v>
      </c>
      <c r="F26" s="283"/>
      <c r="G26" s="282">
        <v>0</v>
      </c>
      <c r="H26" s="283"/>
      <c r="I26" s="284">
        <v>0</v>
      </c>
      <c r="J26" s="285">
        <v>0</v>
      </c>
      <c r="K26" s="285">
        <v>0</v>
      </c>
      <c r="L26" s="285">
        <v>0</v>
      </c>
      <c r="M26" s="285">
        <v>0</v>
      </c>
      <c r="N26" s="285">
        <v>0</v>
      </c>
      <c r="O26" s="285">
        <v>0</v>
      </c>
      <c r="P26" s="285">
        <v>0</v>
      </c>
      <c r="Q26" s="285">
        <v>0</v>
      </c>
      <c r="R26" s="286">
        <f>SUM(J26:Q26)</f>
        <v>0</v>
      </c>
      <c r="S26" s="287">
        <f>I26-R26</f>
        <v>0</v>
      </c>
      <c r="T26" s="288">
        <f>G26-I26</f>
        <v>0</v>
      </c>
      <c r="U26" s="289">
        <v>0</v>
      </c>
      <c r="V26" s="290" t="e">
        <f t="shared" si="0"/>
        <v>#DIV/0!</v>
      </c>
      <c r="X26" s="329"/>
      <c r="Y26" s="285"/>
      <c r="Z26" s="285"/>
      <c r="AA26" s="285"/>
      <c r="AB26" s="285"/>
      <c r="AC26" s="285"/>
      <c r="AD26" s="285"/>
      <c r="AE26" s="285"/>
    </row>
    <row r="27" spans="1:31" ht="18.95" customHeight="1">
      <c r="A27" s="312"/>
      <c r="B27" s="279"/>
      <c r="C27" s="280" t="s">
        <v>45</v>
      </c>
      <c r="D27" s="281" t="s">
        <v>43</v>
      </c>
      <c r="E27" s="282">
        <v>0</v>
      </c>
      <c r="F27" s="283"/>
      <c r="G27" s="282">
        <v>0</v>
      </c>
      <c r="H27" s="283"/>
      <c r="I27" s="284">
        <v>200000</v>
      </c>
      <c r="J27" s="285">
        <v>0</v>
      </c>
      <c r="K27" s="285">
        <v>0</v>
      </c>
      <c r="L27" s="285">
        <v>0</v>
      </c>
      <c r="M27" s="285">
        <v>0</v>
      </c>
      <c r="N27" s="285">
        <v>0</v>
      </c>
      <c r="O27" s="285">
        <v>0</v>
      </c>
      <c r="P27" s="285">
        <v>0</v>
      </c>
      <c r="Q27" s="285">
        <v>0</v>
      </c>
      <c r="R27" s="286">
        <f>SUM(J27:Q27)</f>
        <v>0</v>
      </c>
      <c r="S27" s="287">
        <f>I27-R27</f>
        <v>200000</v>
      </c>
      <c r="T27" s="288">
        <f>G27-I27</f>
        <v>-200000</v>
      </c>
      <c r="U27" s="289">
        <v>0</v>
      </c>
      <c r="V27" s="290" t="e">
        <f t="shared" si="0"/>
        <v>#DIV/0!</v>
      </c>
      <c r="X27" s="329"/>
      <c r="Y27" s="285"/>
      <c r="Z27" s="285"/>
      <c r="AA27" s="285"/>
      <c r="AB27" s="285"/>
      <c r="AC27" s="285"/>
      <c r="AD27" s="285"/>
      <c r="AE27" s="285"/>
    </row>
    <row r="28" spans="1:31" ht="18.95" customHeight="1">
      <c r="A28" s="312"/>
      <c r="B28" s="279"/>
      <c r="C28" s="280" t="s">
        <v>42</v>
      </c>
      <c r="D28" s="281" t="s">
        <v>43</v>
      </c>
      <c r="E28" s="282">
        <v>1609000</v>
      </c>
      <c r="F28" s="283"/>
      <c r="G28" s="282">
        <v>0</v>
      </c>
      <c r="H28" s="283"/>
      <c r="I28" s="284">
        <v>0</v>
      </c>
      <c r="J28" s="285">
        <v>0</v>
      </c>
      <c r="K28" s="285">
        <v>0</v>
      </c>
      <c r="L28" s="285">
        <v>0</v>
      </c>
      <c r="M28" s="285">
        <v>0</v>
      </c>
      <c r="N28" s="285">
        <v>0</v>
      </c>
      <c r="O28" s="285">
        <v>0</v>
      </c>
      <c r="P28" s="285">
        <v>0</v>
      </c>
      <c r="Q28" s="285">
        <v>0</v>
      </c>
      <c r="R28" s="286">
        <f>SUM(J28:Q28)</f>
        <v>0</v>
      </c>
      <c r="S28" s="287">
        <f>I28-R28</f>
        <v>0</v>
      </c>
      <c r="T28" s="288">
        <f>G28-I28</f>
        <v>0</v>
      </c>
      <c r="U28" s="289">
        <v>0</v>
      </c>
      <c r="V28" s="290" t="e">
        <f t="shared" si="0"/>
        <v>#DIV/0!</v>
      </c>
      <c r="X28" s="329"/>
      <c r="Y28" s="285"/>
      <c r="Z28" s="285"/>
      <c r="AA28" s="285"/>
      <c r="AB28" s="285"/>
      <c r="AC28" s="285"/>
      <c r="AD28" s="285"/>
      <c r="AE28" s="285"/>
    </row>
    <row r="29" spans="1:31" ht="18.95" customHeight="1">
      <c r="A29" s="312"/>
      <c r="B29" s="279"/>
      <c r="C29" s="280" t="s">
        <v>64</v>
      </c>
      <c r="D29" s="281" t="s">
        <v>43</v>
      </c>
      <c r="E29" s="282">
        <v>0</v>
      </c>
      <c r="F29" s="283"/>
      <c r="G29" s="282">
        <v>0</v>
      </c>
      <c r="H29" s="283"/>
      <c r="I29" s="284">
        <v>0</v>
      </c>
      <c r="J29" s="285">
        <v>0</v>
      </c>
      <c r="K29" s="285">
        <v>0</v>
      </c>
      <c r="L29" s="285">
        <v>0</v>
      </c>
      <c r="M29" s="285">
        <v>0</v>
      </c>
      <c r="N29" s="285">
        <v>0</v>
      </c>
      <c r="O29" s="285">
        <v>0</v>
      </c>
      <c r="P29" s="285">
        <v>0</v>
      </c>
      <c r="Q29" s="285">
        <v>0</v>
      </c>
      <c r="R29" s="286">
        <f>SUM(J29:Q29)</f>
        <v>0</v>
      </c>
      <c r="S29" s="287">
        <f>I29-R29</f>
        <v>0</v>
      </c>
      <c r="T29" s="288">
        <f>G29-I29</f>
        <v>0</v>
      </c>
      <c r="U29" s="289">
        <v>0</v>
      </c>
      <c r="V29" s="290" t="e">
        <f t="shared" si="0"/>
        <v>#DIV/0!</v>
      </c>
      <c r="X29" s="329"/>
      <c r="Y29" s="285"/>
      <c r="Z29" s="285"/>
      <c r="AA29" s="285"/>
      <c r="AB29" s="285"/>
      <c r="AC29" s="285"/>
      <c r="AD29" s="285"/>
      <c r="AE29" s="285"/>
    </row>
    <row r="30" spans="1:31" ht="18.95" customHeight="1">
      <c r="A30" s="313"/>
      <c r="B30" s="279"/>
      <c r="C30" s="280" t="s">
        <v>50</v>
      </c>
      <c r="D30" s="281" t="s">
        <v>43</v>
      </c>
      <c r="E30" s="282">
        <v>970000</v>
      </c>
      <c r="F30" s="283"/>
      <c r="G30" s="282">
        <v>900000</v>
      </c>
      <c r="H30" s="283"/>
      <c r="I30" s="284">
        <v>700000</v>
      </c>
      <c r="J30" s="285">
        <v>0</v>
      </c>
      <c r="K30" s="285">
        <v>0</v>
      </c>
      <c r="L30" s="285">
        <v>0</v>
      </c>
      <c r="M30" s="285">
        <v>0</v>
      </c>
      <c r="N30" s="285">
        <v>0</v>
      </c>
      <c r="O30" s="285">
        <v>0</v>
      </c>
      <c r="P30" s="285">
        <v>0</v>
      </c>
      <c r="Q30" s="285">
        <v>0</v>
      </c>
      <c r="R30" s="286">
        <f>SUM(J30:Q30)</f>
        <v>0</v>
      </c>
      <c r="S30" s="287">
        <f>I30-R30</f>
        <v>700000</v>
      </c>
      <c r="T30" s="288">
        <f>G30-I30</f>
        <v>200000</v>
      </c>
      <c r="U30" s="289">
        <v>0</v>
      </c>
      <c r="V30" s="290" t="e">
        <f t="shared" si="0"/>
        <v>#DIV/0!</v>
      </c>
      <c r="X30" s="329"/>
      <c r="Y30" s="285"/>
      <c r="Z30" s="285"/>
      <c r="AA30" s="285"/>
      <c r="AB30" s="285"/>
      <c r="AC30" s="285"/>
      <c r="AD30" s="285"/>
      <c r="AE30" s="285"/>
    </row>
    <row r="31" spans="1:31" ht="18.95" customHeight="1">
      <c r="A31" s="314" t="s">
        <v>65</v>
      </c>
      <c r="B31" s="291" t="s">
        <v>66</v>
      </c>
      <c r="C31" s="292" t="s">
        <v>67</v>
      </c>
      <c r="D31" s="293" t="s">
        <v>68</v>
      </c>
      <c r="E31" s="294">
        <v>10752500</v>
      </c>
      <c r="F31" s="295"/>
      <c r="G31" s="294">
        <v>10700000</v>
      </c>
      <c r="H31" s="295"/>
      <c r="I31" s="296">
        <v>10700000</v>
      </c>
      <c r="J31" s="273">
        <v>0</v>
      </c>
      <c r="K31" s="273">
        <v>0</v>
      </c>
      <c r="L31" s="273">
        <v>4333500</v>
      </c>
      <c r="M31" s="273">
        <v>1444500</v>
      </c>
      <c r="N31" s="273">
        <v>0</v>
      </c>
      <c r="O31" s="273">
        <v>0</v>
      </c>
      <c r="P31" s="273">
        <v>0</v>
      </c>
      <c r="Q31" s="273">
        <v>0</v>
      </c>
      <c r="R31" s="274">
        <f>SUM(J31:Q31)</f>
        <v>5778000</v>
      </c>
      <c r="S31" s="275">
        <f>I31-R31</f>
        <v>4922000</v>
      </c>
      <c r="T31" s="276">
        <f>G31-I31</f>
        <v>0</v>
      </c>
      <c r="U31" s="297">
        <v>106</v>
      </c>
      <c r="V31" s="278">
        <f t="shared" si="0"/>
        <v>54509.433962264149</v>
      </c>
      <c r="X31" s="328"/>
      <c r="Y31" s="273"/>
      <c r="Z31" s="273"/>
      <c r="AA31" s="273"/>
      <c r="AB31" s="273"/>
      <c r="AC31" s="273"/>
      <c r="AD31" s="273"/>
      <c r="AE31" s="273"/>
    </row>
    <row r="32" spans="1:31" ht="18.95" customHeight="1">
      <c r="A32" s="312"/>
      <c r="B32" s="279"/>
      <c r="C32" s="280" t="s">
        <v>67</v>
      </c>
      <c r="D32" s="281" t="s">
        <v>43</v>
      </c>
      <c r="E32" s="282">
        <v>0</v>
      </c>
      <c r="F32" s="283"/>
      <c r="G32" s="282">
        <v>0</v>
      </c>
      <c r="H32" s="283"/>
      <c r="I32" s="284">
        <v>0</v>
      </c>
      <c r="J32" s="285">
        <v>0</v>
      </c>
      <c r="K32" s="285">
        <v>0</v>
      </c>
      <c r="L32" s="285">
        <v>0</v>
      </c>
      <c r="M32" s="285">
        <v>0</v>
      </c>
      <c r="N32" s="285">
        <v>0</v>
      </c>
      <c r="O32" s="285">
        <v>0</v>
      </c>
      <c r="P32" s="285">
        <v>0</v>
      </c>
      <c r="Q32" s="285">
        <v>0</v>
      </c>
      <c r="R32" s="286">
        <f>SUM(J32:Q32)</f>
        <v>0</v>
      </c>
      <c r="S32" s="287">
        <f>I32-R32</f>
        <v>0</v>
      </c>
      <c r="T32" s="288">
        <f>G32-I32</f>
        <v>0</v>
      </c>
      <c r="U32" s="289">
        <v>0</v>
      </c>
      <c r="V32" s="290" t="e">
        <f t="shared" si="0"/>
        <v>#DIV/0!</v>
      </c>
      <c r="X32" s="329"/>
      <c r="Y32" s="285"/>
      <c r="Z32" s="285"/>
      <c r="AA32" s="285"/>
      <c r="AB32" s="285"/>
      <c r="AC32" s="285"/>
      <c r="AD32" s="285"/>
      <c r="AE32" s="285"/>
    </row>
    <row r="33" spans="1:31" ht="18.95" customHeight="1">
      <c r="A33" s="312"/>
      <c r="B33" s="279"/>
      <c r="C33" s="280" t="s">
        <v>69</v>
      </c>
      <c r="D33" s="281" t="s">
        <v>43</v>
      </c>
      <c r="E33" s="282">
        <v>0</v>
      </c>
      <c r="F33" s="283"/>
      <c r="G33" s="282">
        <v>0</v>
      </c>
      <c r="H33" s="283"/>
      <c r="I33" s="284">
        <v>0</v>
      </c>
      <c r="J33" s="285">
        <v>0</v>
      </c>
      <c r="K33" s="285">
        <v>0</v>
      </c>
      <c r="L33" s="285">
        <v>0</v>
      </c>
      <c r="M33" s="285">
        <v>0</v>
      </c>
      <c r="N33" s="285">
        <v>0</v>
      </c>
      <c r="O33" s="285">
        <v>0</v>
      </c>
      <c r="P33" s="285">
        <v>0</v>
      </c>
      <c r="Q33" s="285">
        <v>0</v>
      </c>
      <c r="R33" s="286">
        <f>SUM(J33:Q33)</f>
        <v>0</v>
      </c>
      <c r="S33" s="287">
        <f>I33-R33</f>
        <v>0</v>
      </c>
      <c r="T33" s="288">
        <f>G33-I33</f>
        <v>0</v>
      </c>
      <c r="U33" s="289">
        <v>0</v>
      </c>
      <c r="V33" s="290" t="e">
        <f t="shared" si="0"/>
        <v>#DIV/0!</v>
      </c>
      <c r="X33" s="329"/>
      <c r="Y33" s="285"/>
      <c r="Z33" s="285"/>
      <c r="AA33" s="285"/>
      <c r="AB33" s="285"/>
      <c r="AC33" s="285"/>
      <c r="AD33" s="285"/>
      <c r="AE33" s="285"/>
    </row>
    <row r="34" spans="1:31" ht="18.95" customHeight="1">
      <c r="A34" s="312"/>
      <c r="B34" s="279"/>
      <c r="C34" s="280" t="s">
        <v>70</v>
      </c>
      <c r="D34" s="281" t="s">
        <v>43</v>
      </c>
      <c r="E34" s="282">
        <v>126000</v>
      </c>
      <c r="F34" s="283"/>
      <c r="G34" s="282">
        <v>0</v>
      </c>
      <c r="H34" s="283"/>
      <c r="I34" s="284">
        <v>0</v>
      </c>
      <c r="J34" s="285">
        <v>0</v>
      </c>
      <c r="K34" s="285">
        <v>0</v>
      </c>
      <c r="L34" s="285">
        <v>0</v>
      </c>
      <c r="M34" s="285">
        <v>0</v>
      </c>
      <c r="N34" s="285">
        <v>0</v>
      </c>
      <c r="O34" s="285">
        <v>0</v>
      </c>
      <c r="P34" s="285">
        <v>0</v>
      </c>
      <c r="Q34" s="285">
        <v>0</v>
      </c>
      <c r="R34" s="286">
        <f>SUM(J34:Q34)</f>
        <v>0</v>
      </c>
      <c r="S34" s="287">
        <f>I34-R34</f>
        <v>0</v>
      </c>
      <c r="T34" s="288">
        <f>G34-I34</f>
        <v>0</v>
      </c>
      <c r="U34" s="289">
        <v>0</v>
      </c>
      <c r="V34" s="290" t="e">
        <f t="shared" si="0"/>
        <v>#DIV/0!</v>
      </c>
      <c r="X34" s="329"/>
      <c r="Y34" s="285"/>
      <c r="Z34" s="285"/>
      <c r="AA34" s="285"/>
      <c r="AB34" s="285"/>
      <c r="AC34" s="285"/>
      <c r="AD34" s="285"/>
      <c r="AE34" s="285"/>
    </row>
    <row r="35" spans="1:31" ht="18.95" customHeight="1">
      <c r="A35" s="312"/>
      <c r="B35" s="279"/>
      <c r="C35" s="280" t="s">
        <v>71</v>
      </c>
      <c r="D35" s="281" t="s">
        <v>43</v>
      </c>
      <c r="E35" s="282">
        <v>0</v>
      </c>
      <c r="F35" s="283"/>
      <c r="G35" s="282">
        <v>0</v>
      </c>
      <c r="H35" s="283"/>
      <c r="I35" s="284">
        <v>0</v>
      </c>
      <c r="J35" s="285">
        <v>0</v>
      </c>
      <c r="K35" s="285">
        <v>0</v>
      </c>
      <c r="L35" s="285">
        <v>0</v>
      </c>
      <c r="M35" s="285">
        <v>0</v>
      </c>
      <c r="N35" s="285">
        <v>0</v>
      </c>
      <c r="O35" s="285">
        <v>0</v>
      </c>
      <c r="P35" s="285">
        <v>0</v>
      </c>
      <c r="Q35" s="285">
        <v>0</v>
      </c>
      <c r="R35" s="286">
        <f>SUM(J35:Q35)</f>
        <v>0</v>
      </c>
      <c r="S35" s="287">
        <f>I35-R35</f>
        <v>0</v>
      </c>
      <c r="T35" s="288">
        <f>G35-I35</f>
        <v>0</v>
      </c>
      <c r="U35" s="289">
        <v>0</v>
      </c>
      <c r="V35" s="290" t="e">
        <f t="shared" si="0"/>
        <v>#DIV/0!</v>
      </c>
      <c r="X35" s="329"/>
      <c r="Y35" s="285"/>
      <c r="Z35" s="285"/>
      <c r="AA35" s="285"/>
      <c r="AB35" s="285"/>
      <c r="AC35" s="285"/>
      <c r="AD35" s="285"/>
      <c r="AE35" s="285"/>
    </row>
    <row r="36" spans="1:31" ht="18.95" customHeight="1">
      <c r="A36" s="312"/>
      <c r="B36" s="279"/>
      <c r="C36" s="280" t="s">
        <v>72</v>
      </c>
      <c r="D36" s="281" t="s">
        <v>43</v>
      </c>
      <c r="E36" s="282">
        <v>3750000</v>
      </c>
      <c r="F36" s="283"/>
      <c r="G36" s="282">
        <v>625000</v>
      </c>
      <c r="H36" s="283"/>
      <c r="I36" s="284">
        <v>375000</v>
      </c>
      <c r="J36" s="285">
        <v>0</v>
      </c>
      <c r="K36" s="285">
        <v>0</v>
      </c>
      <c r="L36" s="285">
        <v>0</v>
      </c>
      <c r="M36" s="285">
        <v>0</v>
      </c>
      <c r="N36" s="285">
        <v>0</v>
      </c>
      <c r="O36" s="285">
        <v>0</v>
      </c>
      <c r="P36" s="285">
        <v>0</v>
      </c>
      <c r="Q36" s="285">
        <v>0</v>
      </c>
      <c r="R36" s="286">
        <f>SUM(J36:Q36)</f>
        <v>0</v>
      </c>
      <c r="S36" s="287">
        <f>I36-R36</f>
        <v>375000</v>
      </c>
      <c r="T36" s="288">
        <f>G36-I36</f>
        <v>250000</v>
      </c>
      <c r="U36" s="289">
        <v>0</v>
      </c>
      <c r="V36" s="290" t="e">
        <f t="shared" si="0"/>
        <v>#DIV/0!</v>
      </c>
      <c r="X36" s="329"/>
      <c r="Y36" s="285"/>
      <c r="Z36" s="285"/>
      <c r="AA36" s="285"/>
      <c r="AB36" s="285"/>
      <c r="AC36" s="285"/>
      <c r="AD36" s="285"/>
      <c r="AE36" s="285"/>
    </row>
    <row r="37" spans="1:31" ht="18.95" customHeight="1">
      <c r="A37" s="313"/>
      <c r="B37" s="279"/>
      <c r="C37" s="280" t="s">
        <v>73</v>
      </c>
      <c r="D37" s="281" t="s">
        <v>43</v>
      </c>
      <c r="E37" s="282">
        <v>0</v>
      </c>
      <c r="F37" s="283"/>
      <c r="G37" s="282">
        <v>0</v>
      </c>
      <c r="H37" s="283"/>
      <c r="I37" s="284">
        <v>0</v>
      </c>
      <c r="J37" s="285">
        <v>0</v>
      </c>
      <c r="K37" s="285">
        <v>0</v>
      </c>
      <c r="L37" s="285">
        <v>0</v>
      </c>
      <c r="M37" s="285">
        <v>0</v>
      </c>
      <c r="N37" s="285">
        <v>0</v>
      </c>
      <c r="O37" s="285">
        <v>0</v>
      </c>
      <c r="P37" s="285">
        <v>0</v>
      </c>
      <c r="Q37" s="285">
        <v>0</v>
      </c>
      <c r="R37" s="286">
        <f>SUM(J37:Q37)</f>
        <v>0</v>
      </c>
      <c r="S37" s="287">
        <f>I37-R37</f>
        <v>0</v>
      </c>
      <c r="T37" s="288">
        <f>G37-I37</f>
        <v>0</v>
      </c>
      <c r="U37" s="289">
        <v>0</v>
      </c>
      <c r="V37" s="290" t="e">
        <f t="shared" si="0"/>
        <v>#DIV/0!</v>
      </c>
      <c r="X37" s="329"/>
      <c r="Y37" s="285"/>
      <c r="Z37" s="285"/>
      <c r="AA37" s="285"/>
      <c r="AB37" s="285"/>
      <c r="AC37" s="285"/>
      <c r="AD37" s="285"/>
      <c r="AE37" s="285"/>
    </row>
    <row r="38" spans="1:31" ht="18.95" customHeight="1">
      <c r="A38" s="314" t="s">
        <v>74</v>
      </c>
      <c r="B38" s="291" t="s">
        <v>38</v>
      </c>
      <c r="C38" s="292" t="s">
        <v>75</v>
      </c>
      <c r="D38" s="293" t="s">
        <v>40</v>
      </c>
      <c r="E38" s="294">
        <v>8049475</v>
      </c>
      <c r="F38" s="295"/>
      <c r="G38" s="294">
        <v>8583000</v>
      </c>
      <c r="H38" s="295"/>
      <c r="I38" s="296">
        <v>8583000</v>
      </c>
      <c r="J38" s="273">
        <v>0</v>
      </c>
      <c r="K38" s="273">
        <v>0</v>
      </c>
      <c r="L38" s="273">
        <v>1900000</v>
      </c>
      <c r="M38" s="273">
        <v>4270000</v>
      </c>
      <c r="N38" s="273">
        <v>1470000</v>
      </c>
      <c r="O38" s="273">
        <v>0</v>
      </c>
      <c r="P38" s="273">
        <v>0</v>
      </c>
      <c r="Q38" s="273">
        <v>0</v>
      </c>
      <c r="R38" s="274">
        <f>SUM(J38:Q38)</f>
        <v>7640000</v>
      </c>
      <c r="S38" s="275">
        <f>I38-R38</f>
        <v>943000</v>
      </c>
      <c r="T38" s="276">
        <f>G38-I38</f>
        <v>0</v>
      </c>
      <c r="U38" s="297">
        <v>128</v>
      </c>
      <c r="V38" s="278">
        <f t="shared" si="0"/>
        <v>59687.5</v>
      </c>
      <c r="X38" s="328"/>
      <c r="Y38" s="273"/>
      <c r="Z38" s="273"/>
      <c r="AA38" s="273"/>
      <c r="AB38" s="273"/>
      <c r="AC38" s="273"/>
      <c r="AD38" s="273"/>
      <c r="AE38" s="273"/>
    </row>
    <row r="39" spans="1:31" ht="18.95" customHeight="1">
      <c r="A39" s="312"/>
      <c r="B39" s="279" t="s">
        <v>38</v>
      </c>
      <c r="C39" s="280" t="s">
        <v>75</v>
      </c>
      <c r="D39" s="281" t="s">
        <v>43</v>
      </c>
      <c r="E39" s="282">
        <v>0</v>
      </c>
      <c r="F39" s="283"/>
      <c r="G39" s="282">
        <v>0</v>
      </c>
      <c r="H39" s="283"/>
      <c r="I39" s="284">
        <v>0</v>
      </c>
      <c r="J39" s="285">
        <v>0</v>
      </c>
      <c r="K39" s="285">
        <v>0</v>
      </c>
      <c r="L39" s="285">
        <v>0</v>
      </c>
      <c r="M39" s="285">
        <v>-235800</v>
      </c>
      <c r="N39" s="285">
        <v>-527600</v>
      </c>
      <c r="O39" s="285">
        <v>-399200</v>
      </c>
      <c r="P39" s="285">
        <v>0</v>
      </c>
      <c r="Q39" s="285">
        <v>0</v>
      </c>
      <c r="R39" s="286">
        <f>SUM(J39:Q39)</f>
        <v>-1162600</v>
      </c>
      <c r="S39" s="287">
        <f>I39-R39</f>
        <v>1162600</v>
      </c>
      <c r="T39" s="288">
        <f>G39-I39</f>
        <v>0</v>
      </c>
      <c r="U39" s="289">
        <v>0</v>
      </c>
      <c r="V39" s="290" t="e">
        <f t="shared" si="0"/>
        <v>#DIV/0!</v>
      </c>
      <c r="X39" s="329"/>
      <c r="Y39" s="285"/>
      <c r="Z39" s="285"/>
      <c r="AA39" s="285"/>
      <c r="AB39" s="285"/>
      <c r="AC39" s="285"/>
      <c r="AD39" s="285"/>
      <c r="AE39" s="285"/>
    </row>
    <row r="40" spans="1:31" ht="18.95" customHeight="1">
      <c r="A40" s="312"/>
      <c r="B40" s="279" t="s">
        <v>53</v>
      </c>
      <c r="C40" s="280" t="s">
        <v>76</v>
      </c>
      <c r="D40" s="281" t="s">
        <v>43</v>
      </c>
      <c r="E40" s="282">
        <v>0</v>
      </c>
      <c r="F40" s="283"/>
      <c r="G40" s="282">
        <v>0</v>
      </c>
      <c r="H40" s="283"/>
      <c r="I40" s="284">
        <v>0</v>
      </c>
      <c r="J40" s="285">
        <v>0</v>
      </c>
      <c r="K40" s="285">
        <v>0</v>
      </c>
      <c r="L40" s="285">
        <v>221600</v>
      </c>
      <c r="M40" s="285">
        <v>495200</v>
      </c>
      <c r="N40" s="285">
        <v>376200</v>
      </c>
      <c r="O40" s="285">
        <v>0</v>
      </c>
      <c r="P40" s="285">
        <v>0</v>
      </c>
      <c r="Q40" s="285">
        <v>0</v>
      </c>
      <c r="R40" s="286">
        <f>SUM(J40:Q40)</f>
        <v>1093000</v>
      </c>
      <c r="S40" s="287">
        <f>I40-R40</f>
        <v>-1093000</v>
      </c>
      <c r="T40" s="288">
        <f>G40-I40</f>
        <v>0</v>
      </c>
      <c r="U40" s="289">
        <v>0</v>
      </c>
      <c r="V40" s="290" t="e">
        <f t="shared" si="0"/>
        <v>#DIV/0!</v>
      </c>
      <c r="X40" s="329"/>
      <c r="Y40" s="285"/>
      <c r="Z40" s="285"/>
      <c r="AA40" s="285"/>
      <c r="AB40" s="285"/>
      <c r="AC40" s="285"/>
      <c r="AD40" s="285"/>
      <c r="AE40" s="285"/>
    </row>
    <row r="41" spans="1:31" ht="18.95" customHeight="1">
      <c r="A41" s="312"/>
      <c r="B41" s="279"/>
      <c r="C41" s="280" t="s">
        <v>75</v>
      </c>
      <c r="D41" s="281" t="s">
        <v>43</v>
      </c>
      <c r="E41" s="282">
        <v>0</v>
      </c>
      <c r="F41" s="283"/>
      <c r="G41" s="282">
        <v>0</v>
      </c>
      <c r="H41" s="283"/>
      <c r="I41" s="284">
        <v>0</v>
      </c>
      <c r="J41" s="285">
        <v>0</v>
      </c>
      <c r="K41" s="285">
        <v>0</v>
      </c>
      <c r="L41" s="285">
        <v>0</v>
      </c>
      <c r="M41" s="285">
        <v>0</v>
      </c>
      <c r="N41" s="285">
        <v>0</v>
      </c>
      <c r="O41" s="285">
        <v>0</v>
      </c>
      <c r="P41" s="285">
        <v>0</v>
      </c>
      <c r="Q41" s="285">
        <v>0</v>
      </c>
      <c r="R41" s="286">
        <f>SUM(J41:Q41)</f>
        <v>0</v>
      </c>
      <c r="S41" s="287">
        <f>I41-R41</f>
        <v>0</v>
      </c>
      <c r="T41" s="288">
        <f>G41-I41</f>
        <v>0</v>
      </c>
      <c r="U41" s="289">
        <v>0</v>
      </c>
      <c r="V41" s="290" t="e">
        <f t="shared" si="0"/>
        <v>#DIV/0!</v>
      </c>
      <c r="X41" s="329"/>
      <c r="Y41" s="285"/>
      <c r="Z41" s="285"/>
      <c r="AA41" s="285"/>
      <c r="AB41" s="285"/>
      <c r="AC41" s="285"/>
      <c r="AD41" s="285"/>
      <c r="AE41" s="285"/>
    </row>
    <row r="42" spans="1:31" ht="18.95" customHeight="1">
      <c r="A42" s="313"/>
      <c r="B42" s="279"/>
      <c r="C42" s="280" t="s">
        <v>76</v>
      </c>
      <c r="D42" s="281" t="s">
        <v>43</v>
      </c>
      <c r="E42" s="282">
        <v>0</v>
      </c>
      <c r="F42" s="283"/>
      <c r="G42" s="282">
        <v>0</v>
      </c>
      <c r="H42" s="283"/>
      <c r="I42" s="284">
        <v>0</v>
      </c>
      <c r="J42" s="285">
        <v>0</v>
      </c>
      <c r="K42" s="285">
        <v>0</v>
      </c>
      <c r="L42" s="285">
        <v>0</v>
      </c>
      <c r="M42" s="285">
        <v>0</v>
      </c>
      <c r="N42" s="285">
        <v>0</v>
      </c>
      <c r="O42" s="285">
        <v>0</v>
      </c>
      <c r="P42" s="285">
        <v>0</v>
      </c>
      <c r="Q42" s="285">
        <v>0</v>
      </c>
      <c r="R42" s="286">
        <f>SUM(J42:Q42)</f>
        <v>0</v>
      </c>
      <c r="S42" s="287">
        <f>I42-R42</f>
        <v>0</v>
      </c>
      <c r="T42" s="288">
        <f>G42-I42</f>
        <v>0</v>
      </c>
      <c r="U42" s="289">
        <v>0</v>
      </c>
      <c r="V42" s="290" t="e">
        <f t="shared" si="0"/>
        <v>#DIV/0!</v>
      </c>
      <c r="X42" s="329"/>
      <c r="Y42" s="285"/>
      <c r="Z42" s="285"/>
      <c r="AA42" s="285"/>
      <c r="AB42" s="285"/>
      <c r="AC42" s="285"/>
      <c r="AD42" s="285"/>
      <c r="AE42" s="285"/>
    </row>
    <row r="43" spans="1:31" ht="18.95" customHeight="1">
      <c r="A43" s="314" t="s">
        <v>77</v>
      </c>
      <c r="B43" s="291" t="s">
        <v>38</v>
      </c>
      <c r="C43" s="292" t="s">
        <v>78</v>
      </c>
      <c r="D43" s="293" t="s">
        <v>40</v>
      </c>
      <c r="E43" s="294">
        <v>822100</v>
      </c>
      <c r="F43" s="295"/>
      <c r="G43" s="294">
        <v>679200</v>
      </c>
      <c r="H43" s="295"/>
      <c r="I43" s="296">
        <v>679200</v>
      </c>
      <c r="J43" s="273">
        <v>0</v>
      </c>
      <c r="K43" s="273">
        <v>0</v>
      </c>
      <c r="L43" s="273">
        <v>0</v>
      </c>
      <c r="M43" s="273">
        <v>679200</v>
      </c>
      <c r="N43" s="273">
        <v>0</v>
      </c>
      <c r="O43" s="273">
        <v>0</v>
      </c>
      <c r="P43" s="273">
        <v>0</v>
      </c>
      <c r="Q43" s="273">
        <v>0</v>
      </c>
      <c r="R43" s="274">
        <f>SUM(J43:Q43)</f>
        <v>679200</v>
      </c>
      <c r="S43" s="275">
        <f>I43-R43</f>
        <v>0</v>
      </c>
      <c r="T43" s="276">
        <f>G43-I43</f>
        <v>0</v>
      </c>
      <c r="U43" s="297">
        <v>35</v>
      </c>
      <c r="V43" s="278">
        <f t="shared" si="0"/>
        <v>19405.714285714286</v>
      </c>
      <c r="X43" s="328"/>
      <c r="Y43" s="273"/>
      <c r="Z43" s="273"/>
      <c r="AA43" s="273"/>
      <c r="AB43" s="273"/>
      <c r="AC43" s="273"/>
      <c r="AD43" s="273"/>
      <c r="AE43" s="273"/>
    </row>
    <row r="44" spans="1:31" ht="18.95" customHeight="1">
      <c r="A44" s="312"/>
      <c r="B44" s="279" t="s">
        <v>38</v>
      </c>
      <c r="C44" s="280" t="s">
        <v>78</v>
      </c>
      <c r="D44" s="281" t="s">
        <v>43</v>
      </c>
      <c r="E44" s="282">
        <v>0</v>
      </c>
      <c r="F44" s="283"/>
      <c r="G44" s="282">
        <v>0</v>
      </c>
      <c r="H44" s="283"/>
      <c r="I44" s="284">
        <v>0</v>
      </c>
      <c r="J44" s="285">
        <v>0</v>
      </c>
      <c r="K44" s="285">
        <v>0</v>
      </c>
      <c r="L44" s="285">
        <v>325000</v>
      </c>
      <c r="M44" s="285">
        <v>0</v>
      </c>
      <c r="N44" s="285">
        <v>-54300</v>
      </c>
      <c r="O44" s="285">
        <v>0</v>
      </c>
      <c r="P44" s="285">
        <v>0</v>
      </c>
      <c r="Q44" s="285">
        <v>0</v>
      </c>
      <c r="R44" s="286">
        <f>SUM(J44:Q44)</f>
        <v>270700</v>
      </c>
      <c r="S44" s="287">
        <f>I44-R44</f>
        <v>-270700</v>
      </c>
      <c r="T44" s="288">
        <f>G44-I44</f>
        <v>0</v>
      </c>
      <c r="U44" s="289">
        <v>0</v>
      </c>
      <c r="V44" s="290" t="e">
        <f t="shared" si="0"/>
        <v>#DIV/0!</v>
      </c>
      <c r="X44" s="329"/>
      <c r="Y44" s="285"/>
      <c r="Z44" s="285"/>
      <c r="AA44" s="285"/>
      <c r="AB44" s="285"/>
      <c r="AC44" s="285"/>
      <c r="AD44" s="285"/>
      <c r="AE44" s="285"/>
    </row>
    <row r="45" spans="1:31" ht="18.95" customHeight="1">
      <c r="A45" s="312"/>
      <c r="B45" s="279" t="s">
        <v>38</v>
      </c>
      <c r="C45" s="280" t="s">
        <v>79</v>
      </c>
      <c r="D45" s="281" t="s">
        <v>40</v>
      </c>
      <c r="E45" s="282">
        <v>3684600</v>
      </c>
      <c r="F45" s="283"/>
      <c r="G45" s="282">
        <v>3756250</v>
      </c>
      <c r="H45" s="283"/>
      <c r="I45" s="284">
        <v>3756250</v>
      </c>
      <c r="J45" s="285">
        <v>0</v>
      </c>
      <c r="K45" s="285">
        <v>0</v>
      </c>
      <c r="L45" s="285">
        <v>0</v>
      </c>
      <c r="M45" s="285">
        <v>1280800</v>
      </c>
      <c r="N45" s="285">
        <v>1680000</v>
      </c>
      <c r="O45" s="285">
        <v>0</v>
      </c>
      <c r="P45" s="285">
        <v>0</v>
      </c>
      <c r="Q45" s="285">
        <v>0</v>
      </c>
      <c r="R45" s="286">
        <f>SUM(J45:Q45)</f>
        <v>2960800</v>
      </c>
      <c r="S45" s="287">
        <f>I45-R45</f>
        <v>795450</v>
      </c>
      <c r="T45" s="288">
        <f>G45-I45</f>
        <v>0</v>
      </c>
      <c r="U45" s="289">
        <v>30</v>
      </c>
      <c r="V45" s="290">
        <f t="shared" si="0"/>
        <v>98693.333333333328</v>
      </c>
      <c r="X45" s="329"/>
      <c r="Y45" s="285"/>
      <c r="Z45" s="285"/>
      <c r="AA45" s="285"/>
      <c r="AB45" s="285"/>
      <c r="AC45" s="285"/>
      <c r="AD45" s="285"/>
      <c r="AE45" s="285"/>
    </row>
    <row r="46" spans="1:31" ht="18.95" customHeight="1">
      <c r="A46" s="312"/>
      <c r="B46" s="279" t="s">
        <v>38</v>
      </c>
      <c r="C46" s="280" t="s">
        <v>79</v>
      </c>
      <c r="D46" s="281" t="s">
        <v>43</v>
      </c>
      <c r="E46" s="282">
        <v>0</v>
      </c>
      <c r="F46" s="283"/>
      <c r="G46" s="282">
        <v>0</v>
      </c>
      <c r="H46" s="283"/>
      <c r="I46" s="284">
        <v>0</v>
      </c>
      <c r="J46" s="285">
        <v>0</v>
      </c>
      <c r="K46" s="285">
        <v>0</v>
      </c>
      <c r="L46" s="285">
        <v>0</v>
      </c>
      <c r="M46" s="285">
        <v>259400</v>
      </c>
      <c r="N46" s="285">
        <v>0</v>
      </c>
      <c r="O46" s="285">
        <v>0</v>
      </c>
      <c r="P46" s="285">
        <v>0</v>
      </c>
      <c r="Q46" s="285">
        <v>0</v>
      </c>
      <c r="R46" s="286">
        <f>SUM(J46:Q46)</f>
        <v>259400</v>
      </c>
      <c r="S46" s="287">
        <f>I46-R46</f>
        <v>-259400</v>
      </c>
      <c r="T46" s="288">
        <f>G46-I46</f>
        <v>0</v>
      </c>
      <c r="U46" s="289">
        <v>0</v>
      </c>
      <c r="V46" s="290" t="e">
        <f t="shared" si="0"/>
        <v>#DIV/0!</v>
      </c>
      <c r="X46" s="329"/>
      <c r="Y46" s="285"/>
      <c r="Z46" s="285"/>
      <c r="AA46" s="285"/>
      <c r="AB46" s="285"/>
      <c r="AC46" s="285"/>
      <c r="AD46" s="285"/>
      <c r="AE46" s="285"/>
    </row>
    <row r="47" spans="1:31" ht="18.95" customHeight="1">
      <c r="A47" s="312"/>
      <c r="B47" s="279" t="s">
        <v>38</v>
      </c>
      <c r="C47" s="280" t="s">
        <v>80</v>
      </c>
      <c r="D47" s="281" t="s">
        <v>40</v>
      </c>
      <c r="E47" s="282">
        <v>1771450</v>
      </c>
      <c r="F47" s="283"/>
      <c r="G47" s="282">
        <v>1879290</v>
      </c>
      <c r="H47" s="283"/>
      <c r="I47" s="284">
        <v>1879290</v>
      </c>
      <c r="J47" s="285">
        <v>0</v>
      </c>
      <c r="K47" s="285">
        <v>0</v>
      </c>
      <c r="L47" s="285">
        <v>0</v>
      </c>
      <c r="M47" s="285">
        <v>0</v>
      </c>
      <c r="N47" s="285">
        <v>0</v>
      </c>
      <c r="O47" s="285">
        <v>0</v>
      </c>
      <c r="P47" s="285">
        <v>0</v>
      </c>
      <c r="Q47" s="285">
        <v>0</v>
      </c>
      <c r="R47" s="286">
        <f>SUM(J47:Q47)</f>
        <v>0</v>
      </c>
      <c r="S47" s="287">
        <f>I47-R47</f>
        <v>1879290</v>
      </c>
      <c r="T47" s="288">
        <f>G47-I47</f>
        <v>0</v>
      </c>
      <c r="U47" s="289">
        <v>10</v>
      </c>
      <c r="V47" s="290">
        <f t="shared" si="0"/>
        <v>0</v>
      </c>
      <c r="X47" s="329"/>
      <c r="Y47" s="285"/>
      <c r="Z47" s="285"/>
      <c r="AA47" s="285"/>
      <c r="AB47" s="285"/>
      <c r="AC47" s="285"/>
      <c r="AD47" s="285"/>
      <c r="AE47" s="285"/>
    </row>
    <row r="48" spans="1:31" ht="18.95" customHeight="1">
      <c r="A48" s="312"/>
      <c r="B48" s="279" t="s">
        <v>53</v>
      </c>
      <c r="C48" s="280" t="s">
        <v>81</v>
      </c>
      <c r="D48" s="281" t="s">
        <v>43</v>
      </c>
      <c r="E48" s="282">
        <v>0</v>
      </c>
      <c r="F48" s="283"/>
      <c r="G48" s="282">
        <v>0</v>
      </c>
      <c r="H48" s="283"/>
      <c r="I48" s="284">
        <v>0</v>
      </c>
      <c r="J48" s="285">
        <v>0</v>
      </c>
      <c r="K48" s="285">
        <v>0</v>
      </c>
      <c r="L48" s="285">
        <v>0</v>
      </c>
      <c r="M48" s="285">
        <v>48280</v>
      </c>
      <c r="N48" s="285">
        <v>0</v>
      </c>
      <c r="O48" s="285">
        <v>0</v>
      </c>
      <c r="P48" s="285">
        <v>0</v>
      </c>
      <c r="Q48" s="285">
        <v>0</v>
      </c>
      <c r="R48" s="286">
        <f>SUM(J48:Q48)</f>
        <v>48280</v>
      </c>
      <c r="S48" s="287">
        <f>I48-R48</f>
        <v>-48280</v>
      </c>
      <c r="T48" s="288">
        <f>G48-I48</f>
        <v>0</v>
      </c>
      <c r="U48" s="289">
        <v>0</v>
      </c>
      <c r="V48" s="290" t="e">
        <f t="shared" si="0"/>
        <v>#DIV/0!</v>
      </c>
      <c r="X48" s="329"/>
      <c r="Y48" s="285"/>
      <c r="Z48" s="285"/>
      <c r="AA48" s="285"/>
      <c r="AB48" s="285"/>
      <c r="AC48" s="285"/>
      <c r="AD48" s="285"/>
      <c r="AE48" s="285"/>
    </row>
    <row r="49" spans="1:31" ht="18.95" customHeight="1">
      <c r="A49" s="312"/>
      <c r="B49" s="279" t="s">
        <v>53</v>
      </c>
      <c r="C49" s="280" t="s">
        <v>82</v>
      </c>
      <c r="D49" s="281" t="s">
        <v>43</v>
      </c>
      <c r="E49" s="282">
        <v>0</v>
      </c>
      <c r="F49" s="283"/>
      <c r="G49" s="282">
        <v>0</v>
      </c>
      <c r="H49" s="283"/>
      <c r="I49" s="284">
        <v>0</v>
      </c>
      <c r="J49" s="285">
        <v>0</v>
      </c>
      <c r="K49" s="285">
        <v>0</v>
      </c>
      <c r="L49" s="285">
        <v>14700</v>
      </c>
      <c r="M49" s="285">
        <v>33880</v>
      </c>
      <c r="N49" s="285">
        <v>0</v>
      </c>
      <c r="O49" s="285">
        <v>0</v>
      </c>
      <c r="P49" s="285">
        <v>0</v>
      </c>
      <c r="Q49" s="285">
        <v>0</v>
      </c>
      <c r="R49" s="286">
        <f>SUM(J49:Q49)</f>
        <v>48580</v>
      </c>
      <c r="S49" s="287">
        <f>I49-R49</f>
        <v>-48580</v>
      </c>
      <c r="T49" s="288">
        <f>G49-I49</f>
        <v>0</v>
      </c>
      <c r="U49" s="289">
        <v>0</v>
      </c>
      <c r="V49" s="290" t="e">
        <f t="shared" si="0"/>
        <v>#DIV/0!</v>
      </c>
      <c r="X49" s="329"/>
      <c r="Y49" s="285"/>
      <c r="Z49" s="285"/>
      <c r="AA49" s="285"/>
      <c r="AB49" s="285"/>
      <c r="AC49" s="285"/>
      <c r="AD49" s="285"/>
      <c r="AE49" s="285"/>
    </row>
    <row r="50" spans="1:31" ht="18.95" customHeight="1">
      <c r="A50" s="312"/>
      <c r="B50" s="279" t="s">
        <v>83</v>
      </c>
      <c r="C50" s="280" t="s">
        <v>82</v>
      </c>
      <c r="D50" s="281" t="s">
        <v>43</v>
      </c>
      <c r="E50" s="282">
        <v>0</v>
      </c>
      <c r="F50" s="283"/>
      <c r="G50" s="282">
        <v>0</v>
      </c>
      <c r="H50" s="283"/>
      <c r="I50" s="284">
        <v>0</v>
      </c>
      <c r="J50" s="285">
        <v>0</v>
      </c>
      <c r="K50" s="285">
        <v>0</v>
      </c>
      <c r="L50" s="285">
        <v>0</v>
      </c>
      <c r="M50" s="285">
        <v>510900</v>
      </c>
      <c r="N50" s="285">
        <v>0</v>
      </c>
      <c r="O50" s="285">
        <v>0</v>
      </c>
      <c r="P50" s="285">
        <v>0</v>
      </c>
      <c r="Q50" s="285">
        <v>0</v>
      </c>
      <c r="R50" s="286">
        <f>SUM(J50:Q50)</f>
        <v>510900</v>
      </c>
      <c r="S50" s="287">
        <f>I50-R50</f>
        <v>-510900</v>
      </c>
      <c r="T50" s="288">
        <f>G50-I50</f>
        <v>0</v>
      </c>
      <c r="U50" s="289">
        <v>0</v>
      </c>
      <c r="V50" s="290" t="e">
        <f t="shared" si="0"/>
        <v>#DIV/0!</v>
      </c>
      <c r="X50" s="329"/>
      <c r="Y50" s="285"/>
      <c r="Z50" s="285"/>
      <c r="AA50" s="285"/>
      <c r="AB50" s="285"/>
      <c r="AC50" s="285"/>
      <c r="AD50" s="285"/>
      <c r="AE50" s="285"/>
    </row>
    <row r="51" spans="1:31" ht="18.95" customHeight="1">
      <c r="A51" s="312"/>
      <c r="B51" s="279" t="s">
        <v>55</v>
      </c>
      <c r="C51" s="280" t="s">
        <v>82</v>
      </c>
      <c r="D51" s="281" t="s">
        <v>43</v>
      </c>
      <c r="E51" s="282">
        <v>0</v>
      </c>
      <c r="F51" s="283"/>
      <c r="G51" s="282">
        <v>0</v>
      </c>
      <c r="H51" s="283"/>
      <c r="I51" s="284">
        <v>0</v>
      </c>
      <c r="J51" s="285">
        <v>0</v>
      </c>
      <c r="K51" s="285">
        <v>0</v>
      </c>
      <c r="L51" s="285">
        <v>0</v>
      </c>
      <c r="M51" s="285">
        <v>0</v>
      </c>
      <c r="N51" s="285">
        <v>17420</v>
      </c>
      <c r="O51" s="285">
        <v>0</v>
      </c>
      <c r="P51" s="285">
        <v>0</v>
      </c>
      <c r="Q51" s="285">
        <v>0</v>
      </c>
      <c r="R51" s="286">
        <f>SUM(J51:Q51)</f>
        <v>17420</v>
      </c>
      <c r="S51" s="287">
        <f>I51-R51</f>
        <v>-17420</v>
      </c>
      <c r="T51" s="288">
        <f>G51-I51</f>
        <v>0</v>
      </c>
      <c r="U51" s="289">
        <v>0</v>
      </c>
      <c r="V51" s="290" t="e">
        <f t="shared" si="0"/>
        <v>#DIV/0!</v>
      </c>
      <c r="X51" s="329"/>
      <c r="Y51" s="285"/>
      <c r="Z51" s="285"/>
      <c r="AA51" s="285"/>
      <c r="AB51" s="285"/>
      <c r="AC51" s="285"/>
      <c r="AD51" s="285"/>
      <c r="AE51" s="285"/>
    </row>
    <row r="52" spans="1:31" ht="18.95" customHeight="1">
      <c r="A52" s="312"/>
      <c r="B52" s="279" t="s">
        <v>84</v>
      </c>
      <c r="C52" s="280" t="s">
        <v>79</v>
      </c>
      <c r="D52" s="281" t="s">
        <v>43</v>
      </c>
      <c r="E52" s="282">
        <v>0</v>
      </c>
      <c r="F52" s="283"/>
      <c r="G52" s="282">
        <v>0</v>
      </c>
      <c r="H52" s="283"/>
      <c r="I52" s="284">
        <v>220000</v>
      </c>
      <c r="J52" s="285">
        <v>0</v>
      </c>
      <c r="K52" s="285">
        <v>0</v>
      </c>
      <c r="L52" s="285">
        <v>0</v>
      </c>
      <c r="M52" s="285">
        <v>0</v>
      </c>
      <c r="N52" s="285">
        <v>0</v>
      </c>
      <c r="O52" s="285">
        <v>220000</v>
      </c>
      <c r="P52" s="285">
        <v>0</v>
      </c>
      <c r="Q52" s="285">
        <v>0</v>
      </c>
      <c r="R52" s="286">
        <f>SUM(J52:Q52)</f>
        <v>220000</v>
      </c>
      <c r="S52" s="287">
        <f>I52-R52</f>
        <v>0</v>
      </c>
      <c r="T52" s="288">
        <f>G52-I52</f>
        <v>-220000</v>
      </c>
      <c r="U52" s="289">
        <v>0</v>
      </c>
      <c r="V52" s="290" t="e">
        <f t="shared" si="0"/>
        <v>#DIV/0!</v>
      </c>
      <c r="X52" s="329"/>
      <c r="Y52" s="285"/>
      <c r="Z52" s="285"/>
      <c r="AA52" s="285"/>
      <c r="AB52" s="285"/>
      <c r="AC52" s="285"/>
      <c r="AD52" s="285"/>
      <c r="AE52" s="285"/>
    </row>
    <row r="53" spans="1:31" ht="18.95" customHeight="1">
      <c r="A53" s="312"/>
      <c r="B53" s="279"/>
      <c r="C53" s="280" t="s">
        <v>78</v>
      </c>
      <c r="D53" s="281" t="s">
        <v>43</v>
      </c>
      <c r="E53" s="282">
        <v>0</v>
      </c>
      <c r="F53" s="283"/>
      <c r="G53" s="282">
        <v>250000</v>
      </c>
      <c r="H53" s="283"/>
      <c r="I53" s="284">
        <v>325000</v>
      </c>
      <c r="J53" s="285">
        <v>0</v>
      </c>
      <c r="K53" s="285">
        <v>0</v>
      </c>
      <c r="L53" s="285">
        <v>0</v>
      </c>
      <c r="M53" s="285">
        <v>0</v>
      </c>
      <c r="N53" s="285">
        <v>0</v>
      </c>
      <c r="O53" s="285">
        <v>0</v>
      </c>
      <c r="P53" s="285">
        <v>0</v>
      </c>
      <c r="Q53" s="285">
        <v>0</v>
      </c>
      <c r="R53" s="286">
        <f>SUM(J53:Q53)</f>
        <v>0</v>
      </c>
      <c r="S53" s="287">
        <f>I53-R53</f>
        <v>325000</v>
      </c>
      <c r="T53" s="288">
        <f>G53-I53</f>
        <v>-75000</v>
      </c>
      <c r="U53" s="289">
        <v>0</v>
      </c>
      <c r="V53" s="290" t="e">
        <f t="shared" si="0"/>
        <v>#DIV/0!</v>
      </c>
      <c r="X53" s="329"/>
      <c r="Y53" s="285"/>
      <c r="Z53" s="285"/>
      <c r="AA53" s="285"/>
      <c r="AB53" s="285"/>
      <c r="AC53" s="285"/>
      <c r="AD53" s="285"/>
      <c r="AE53" s="285"/>
    </row>
    <row r="54" spans="1:31" ht="18.95" customHeight="1">
      <c r="A54" s="312"/>
      <c r="B54" s="279"/>
      <c r="C54" s="280" t="s">
        <v>81</v>
      </c>
      <c r="D54" s="281" t="s">
        <v>43</v>
      </c>
      <c r="E54" s="282">
        <v>0</v>
      </c>
      <c r="F54" s="283"/>
      <c r="G54" s="282">
        <v>0</v>
      </c>
      <c r="H54" s="283"/>
      <c r="I54" s="284">
        <v>0</v>
      </c>
      <c r="J54" s="285">
        <v>0</v>
      </c>
      <c r="K54" s="285">
        <v>0</v>
      </c>
      <c r="L54" s="285">
        <v>0</v>
      </c>
      <c r="M54" s="285">
        <v>0</v>
      </c>
      <c r="N54" s="285">
        <v>0</v>
      </c>
      <c r="O54" s="285">
        <v>0</v>
      </c>
      <c r="P54" s="285">
        <v>0</v>
      </c>
      <c r="Q54" s="285">
        <v>0</v>
      </c>
      <c r="R54" s="286">
        <f>SUM(J54:Q54)</f>
        <v>0</v>
      </c>
      <c r="S54" s="287">
        <f>I54-R54</f>
        <v>0</v>
      </c>
      <c r="T54" s="288">
        <f>G54-I54</f>
        <v>0</v>
      </c>
      <c r="U54" s="289">
        <v>0</v>
      </c>
      <c r="V54" s="290" t="e">
        <f t="shared" si="0"/>
        <v>#DIV/0!</v>
      </c>
      <c r="X54" s="329"/>
      <c r="Y54" s="285"/>
      <c r="Z54" s="285"/>
      <c r="AA54" s="285"/>
      <c r="AB54" s="285"/>
      <c r="AC54" s="285"/>
      <c r="AD54" s="285"/>
      <c r="AE54" s="285"/>
    </row>
    <row r="55" spans="1:31" ht="18.95" customHeight="1">
      <c r="A55" s="312"/>
      <c r="B55" s="279"/>
      <c r="C55" s="280" t="s">
        <v>79</v>
      </c>
      <c r="D55" s="281" t="s">
        <v>43</v>
      </c>
      <c r="E55" s="282">
        <v>911360</v>
      </c>
      <c r="F55" s="283"/>
      <c r="G55" s="282">
        <v>945000</v>
      </c>
      <c r="H55" s="283"/>
      <c r="I55" s="284">
        <v>945000</v>
      </c>
      <c r="J55" s="285">
        <v>0</v>
      </c>
      <c r="K55" s="285">
        <v>0</v>
      </c>
      <c r="L55" s="285">
        <v>0</v>
      </c>
      <c r="M55" s="285">
        <v>0</v>
      </c>
      <c r="N55" s="285">
        <v>0</v>
      </c>
      <c r="O55" s="285">
        <v>0</v>
      </c>
      <c r="P55" s="285">
        <v>0</v>
      </c>
      <c r="Q55" s="285">
        <v>0</v>
      </c>
      <c r="R55" s="286">
        <f>SUM(J55:Q55)</f>
        <v>0</v>
      </c>
      <c r="S55" s="287">
        <f>I55-R55</f>
        <v>945000</v>
      </c>
      <c r="T55" s="288">
        <f>G55-I55</f>
        <v>0</v>
      </c>
      <c r="U55" s="289">
        <v>0</v>
      </c>
      <c r="V55" s="290" t="e">
        <f t="shared" si="0"/>
        <v>#DIV/0!</v>
      </c>
      <c r="X55" s="329"/>
      <c r="Y55" s="285"/>
      <c r="Z55" s="285"/>
      <c r="AA55" s="285"/>
      <c r="AB55" s="285"/>
      <c r="AC55" s="285"/>
      <c r="AD55" s="285"/>
      <c r="AE55" s="285"/>
    </row>
    <row r="56" spans="1:31" ht="18.95" customHeight="1">
      <c r="A56" s="312"/>
      <c r="B56" s="279"/>
      <c r="C56" s="280" t="s">
        <v>82</v>
      </c>
      <c r="D56" s="281" t="s">
        <v>43</v>
      </c>
      <c r="E56" s="282">
        <v>0</v>
      </c>
      <c r="F56" s="283"/>
      <c r="G56" s="282">
        <v>0</v>
      </c>
      <c r="H56" s="283"/>
      <c r="I56" s="284">
        <v>60000</v>
      </c>
      <c r="J56" s="285">
        <v>0</v>
      </c>
      <c r="K56" s="285">
        <v>0</v>
      </c>
      <c r="L56" s="285">
        <v>0</v>
      </c>
      <c r="M56" s="285">
        <v>0</v>
      </c>
      <c r="N56" s="285">
        <v>0</v>
      </c>
      <c r="O56" s="285">
        <v>0</v>
      </c>
      <c r="P56" s="285">
        <v>0</v>
      </c>
      <c r="Q56" s="285">
        <v>0</v>
      </c>
      <c r="R56" s="286">
        <f>SUM(J56:Q56)</f>
        <v>0</v>
      </c>
      <c r="S56" s="287">
        <f>I56-R56</f>
        <v>60000</v>
      </c>
      <c r="T56" s="288">
        <f>G56-I56</f>
        <v>-60000</v>
      </c>
      <c r="U56" s="289">
        <v>0</v>
      </c>
      <c r="V56" s="290" t="e">
        <f t="shared" si="0"/>
        <v>#DIV/0!</v>
      </c>
      <c r="X56" s="329"/>
      <c r="Y56" s="285"/>
      <c r="Z56" s="285"/>
      <c r="AA56" s="285"/>
      <c r="AB56" s="285"/>
      <c r="AC56" s="285"/>
      <c r="AD56" s="285"/>
      <c r="AE56" s="285"/>
    </row>
    <row r="57" spans="1:31" ht="18.95" customHeight="1">
      <c r="A57" s="312"/>
      <c r="B57" s="279"/>
      <c r="C57" s="280" t="s">
        <v>80</v>
      </c>
      <c r="D57" s="281" t="s">
        <v>43</v>
      </c>
      <c r="E57" s="282">
        <v>0</v>
      </c>
      <c r="F57" s="283"/>
      <c r="G57" s="282">
        <v>0</v>
      </c>
      <c r="H57" s="283"/>
      <c r="I57" s="284">
        <v>0</v>
      </c>
      <c r="J57" s="285">
        <v>0</v>
      </c>
      <c r="K57" s="285">
        <v>0</v>
      </c>
      <c r="L57" s="285">
        <v>0</v>
      </c>
      <c r="M57" s="285">
        <v>0</v>
      </c>
      <c r="N57" s="285">
        <v>0</v>
      </c>
      <c r="O57" s="285">
        <v>0</v>
      </c>
      <c r="P57" s="285">
        <v>0</v>
      </c>
      <c r="Q57" s="285">
        <v>0</v>
      </c>
      <c r="R57" s="286">
        <f>SUM(J57:Q57)</f>
        <v>0</v>
      </c>
      <c r="S57" s="287">
        <f>I57-R57</f>
        <v>0</v>
      </c>
      <c r="T57" s="288">
        <f>G57-I57</f>
        <v>0</v>
      </c>
      <c r="U57" s="289">
        <v>0</v>
      </c>
      <c r="V57" s="290" t="e">
        <f t="shared" si="0"/>
        <v>#DIV/0!</v>
      </c>
      <c r="X57" s="329"/>
      <c r="Y57" s="285"/>
      <c r="Z57" s="285"/>
      <c r="AA57" s="285"/>
      <c r="AB57" s="285"/>
      <c r="AC57" s="285"/>
      <c r="AD57" s="285"/>
      <c r="AE57" s="285"/>
    </row>
    <row r="58" spans="1:31" ht="18.95" customHeight="1">
      <c r="A58" s="313"/>
      <c r="B58" s="279"/>
      <c r="C58" s="280" t="s">
        <v>85</v>
      </c>
      <c r="D58" s="281" t="s">
        <v>43</v>
      </c>
      <c r="E58" s="282">
        <v>0</v>
      </c>
      <c r="F58" s="283"/>
      <c r="G58" s="282">
        <v>0</v>
      </c>
      <c r="H58" s="283"/>
      <c r="I58" s="284">
        <v>0</v>
      </c>
      <c r="J58" s="285">
        <v>0</v>
      </c>
      <c r="K58" s="285">
        <v>0</v>
      </c>
      <c r="L58" s="285">
        <v>0</v>
      </c>
      <c r="M58" s="285">
        <v>0</v>
      </c>
      <c r="N58" s="285">
        <v>0</v>
      </c>
      <c r="O58" s="285">
        <v>0</v>
      </c>
      <c r="P58" s="285">
        <v>0</v>
      </c>
      <c r="Q58" s="285">
        <v>0</v>
      </c>
      <c r="R58" s="286">
        <f>SUM(J58:Q58)</f>
        <v>0</v>
      </c>
      <c r="S58" s="287">
        <f>I58-R58</f>
        <v>0</v>
      </c>
      <c r="T58" s="288">
        <f>G58-I58</f>
        <v>0</v>
      </c>
      <c r="U58" s="289">
        <v>0</v>
      </c>
      <c r="V58" s="290" t="e">
        <f t="shared" si="0"/>
        <v>#DIV/0!</v>
      </c>
      <c r="X58" s="329"/>
      <c r="Y58" s="285"/>
      <c r="Z58" s="285"/>
      <c r="AA58" s="285"/>
      <c r="AB58" s="285"/>
      <c r="AC58" s="285"/>
      <c r="AD58" s="285"/>
      <c r="AE58" s="285"/>
    </row>
    <row r="59" spans="1:31" ht="18.95" customHeight="1">
      <c r="A59" s="314" t="s">
        <v>86</v>
      </c>
      <c r="B59" s="291" t="s">
        <v>38</v>
      </c>
      <c r="C59" s="292" t="s">
        <v>87</v>
      </c>
      <c r="D59" s="293" t="s">
        <v>40</v>
      </c>
      <c r="E59" s="294">
        <v>2752050</v>
      </c>
      <c r="F59" s="295"/>
      <c r="G59" s="294">
        <v>2659000</v>
      </c>
      <c r="H59" s="295"/>
      <c r="I59" s="296">
        <v>2659000</v>
      </c>
      <c r="J59" s="273">
        <v>0</v>
      </c>
      <c r="K59" s="273">
        <v>0</v>
      </c>
      <c r="L59" s="273">
        <v>0</v>
      </c>
      <c r="M59" s="273">
        <v>0</v>
      </c>
      <c r="N59" s="273">
        <v>710000</v>
      </c>
      <c r="O59" s="273">
        <v>1910000</v>
      </c>
      <c r="P59" s="273">
        <v>0</v>
      </c>
      <c r="Q59" s="273">
        <v>0</v>
      </c>
      <c r="R59" s="274">
        <f>SUM(J59:Q59)</f>
        <v>2620000</v>
      </c>
      <c r="S59" s="275">
        <f>I59-R59</f>
        <v>39000</v>
      </c>
      <c r="T59" s="276">
        <f>G59-I59</f>
        <v>0</v>
      </c>
      <c r="U59" s="297">
        <v>0</v>
      </c>
      <c r="V59" s="278" t="e">
        <f t="shared" si="0"/>
        <v>#DIV/0!</v>
      </c>
      <c r="X59" s="328"/>
      <c r="Y59" s="273"/>
      <c r="Z59" s="273"/>
      <c r="AA59" s="273"/>
      <c r="AB59" s="273"/>
      <c r="AC59" s="273"/>
      <c r="AD59" s="273"/>
      <c r="AE59" s="273"/>
    </row>
    <row r="60" spans="1:31" ht="18.95" customHeight="1">
      <c r="A60" s="312"/>
      <c r="B60" s="279" t="s">
        <v>53</v>
      </c>
      <c r="C60" s="280" t="s">
        <v>88</v>
      </c>
      <c r="D60" s="281" t="s">
        <v>43</v>
      </c>
      <c r="E60" s="282">
        <v>0</v>
      </c>
      <c r="F60" s="283"/>
      <c r="G60" s="282">
        <v>0</v>
      </c>
      <c r="H60" s="283"/>
      <c r="I60" s="284">
        <v>0</v>
      </c>
      <c r="J60" s="285">
        <v>0</v>
      </c>
      <c r="K60" s="285">
        <v>0</v>
      </c>
      <c r="L60" s="285">
        <v>0</v>
      </c>
      <c r="M60" s="285">
        <v>0</v>
      </c>
      <c r="N60" s="285">
        <v>0</v>
      </c>
      <c r="O60" s="285">
        <v>1260</v>
      </c>
      <c r="P60" s="285">
        <v>0</v>
      </c>
      <c r="Q60" s="285">
        <v>0</v>
      </c>
      <c r="R60" s="286">
        <f>SUM(J60:Q60)</f>
        <v>1260</v>
      </c>
      <c r="S60" s="287">
        <f>I60-R60</f>
        <v>-1260</v>
      </c>
      <c r="T60" s="288">
        <f>G60-I60</f>
        <v>0</v>
      </c>
      <c r="U60" s="289">
        <v>0</v>
      </c>
      <c r="V60" s="290" t="e">
        <f t="shared" si="0"/>
        <v>#DIV/0!</v>
      </c>
      <c r="X60" s="329"/>
      <c r="Y60" s="285"/>
      <c r="Z60" s="285"/>
      <c r="AA60" s="285"/>
      <c r="AB60" s="285"/>
      <c r="AC60" s="285"/>
      <c r="AD60" s="285"/>
      <c r="AE60" s="285"/>
    </row>
    <row r="61" spans="1:31" ht="18.95" customHeight="1">
      <c r="A61" s="312"/>
      <c r="B61" s="279" t="s">
        <v>89</v>
      </c>
      <c r="C61" s="280" t="s">
        <v>88</v>
      </c>
      <c r="D61" s="281" t="s">
        <v>43</v>
      </c>
      <c r="E61" s="282">
        <v>0</v>
      </c>
      <c r="F61" s="283"/>
      <c r="G61" s="282">
        <v>0</v>
      </c>
      <c r="H61" s="283"/>
      <c r="I61" s="284">
        <v>0</v>
      </c>
      <c r="J61" s="285">
        <v>0</v>
      </c>
      <c r="K61" s="285">
        <v>0</v>
      </c>
      <c r="L61" s="285">
        <v>19900</v>
      </c>
      <c r="M61" s="285">
        <v>0</v>
      </c>
      <c r="N61" s="285">
        <v>474400</v>
      </c>
      <c r="O61" s="285">
        <v>217600</v>
      </c>
      <c r="P61" s="285">
        <v>0</v>
      </c>
      <c r="Q61" s="285">
        <v>0</v>
      </c>
      <c r="R61" s="286">
        <f>SUM(J61:Q61)</f>
        <v>711900</v>
      </c>
      <c r="S61" s="287">
        <f>I61-R61</f>
        <v>-711900</v>
      </c>
      <c r="T61" s="288">
        <f>G61-I61</f>
        <v>0</v>
      </c>
      <c r="U61" s="289">
        <v>0</v>
      </c>
      <c r="V61" s="290" t="e">
        <f t="shared" si="0"/>
        <v>#DIV/0!</v>
      </c>
      <c r="X61" s="329"/>
      <c r="Y61" s="285"/>
      <c r="Z61" s="285"/>
      <c r="AA61" s="285"/>
      <c r="AB61" s="285"/>
      <c r="AC61" s="285"/>
      <c r="AD61" s="285"/>
      <c r="AE61" s="285"/>
    </row>
    <row r="62" spans="1:31" ht="18.95" customHeight="1">
      <c r="A62" s="312"/>
      <c r="B62" s="279"/>
      <c r="C62" s="280" t="s">
        <v>87</v>
      </c>
      <c r="D62" s="281" t="s">
        <v>43</v>
      </c>
      <c r="E62" s="282">
        <v>0</v>
      </c>
      <c r="F62" s="283"/>
      <c r="G62" s="282">
        <v>50000</v>
      </c>
      <c r="H62" s="283"/>
      <c r="I62" s="284">
        <v>50000</v>
      </c>
      <c r="J62" s="285">
        <v>0</v>
      </c>
      <c r="K62" s="285">
        <v>0</v>
      </c>
      <c r="L62" s="285">
        <v>0</v>
      </c>
      <c r="M62" s="285">
        <v>0</v>
      </c>
      <c r="N62" s="285">
        <v>0</v>
      </c>
      <c r="O62" s="285">
        <v>0</v>
      </c>
      <c r="P62" s="285">
        <v>0</v>
      </c>
      <c r="Q62" s="285">
        <v>0</v>
      </c>
      <c r="R62" s="286">
        <f>SUM(J62:Q62)</f>
        <v>0</v>
      </c>
      <c r="S62" s="287">
        <f>I62-R62</f>
        <v>50000</v>
      </c>
      <c r="T62" s="288">
        <f>G62-I62</f>
        <v>0</v>
      </c>
      <c r="U62" s="289">
        <v>0</v>
      </c>
      <c r="V62" s="290" t="e">
        <f t="shared" si="0"/>
        <v>#DIV/0!</v>
      </c>
      <c r="X62" s="329"/>
      <c r="Y62" s="285"/>
      <c r="Z62" s="285"/>
      <c r="AA62" s="285"/>
      <c r="AB62" s="285"/>
      <c r="AC62" s="285"/>
      <c r="AD62" s="285"/>
      <c r="AE62" s="285"/>
    </row>
    <row r="63" spans="1:31" ht="18.95" customHeight="1">
      <c r="A63" s="313"/>
      <c r="B63" s="279"/>
      <c r="C63" s="280" t="s">
        <v>88</v>
      </c>
      <c r="D63" s="281" t="s">
        <v>43</v>
      </c>
      <c r="E63" s="282">
        <v>715800</v>
      </c>
      <c r="F63" s="283"/>
      <c r="G63" s="282">
        <v>715800</v>
      </c>
      <c r="H63" s="283"/>
      <c r="I63" s="284">
        <v>815800</v>
      </c>
      <c r="J63" s="285">
        <v>0</v>
      </c>
      <c r="K63" s="285">
        <v>0</v>
      </c>
      <c r="L63" s="285">
        <v>0</v>
      </c>
      <c r="M63" s="285">
        <v>0</v>
      </c>
      <c r="N63" s="285">
        <v>0</v>
      </c>
      <c r="O63" s="285">
        <v>0</v>
      </c>
      <c r="P63" s="285">
        <v>0</v>
      </c>
      <c r="Q63" s="285">
        <v>0</v>
      </c>
      <c r="R63" s="286">
        <f>SUM(J63:Q63)</f>
        <v>0</v>
      </c>
      <c r="S63" s="287">
        <f>I63-R63</f>
        <v>815800</v>
      </c>
      <c r="T63" s="288">
        <f>G63-I63</f>
        <v>-100000</v>
      </c>
      <c r="U63" s="289">
        <v>0</v>
      </c>
      <c r="V63" s="290" t="e">
        <f t="shared" si="0"/>
        <v>#DIV/0!</v>
      </c>
      <c r="X63" s="329"/>
      <c r="Y63" s="285"/>
      <c r="Z63" s="285"/>
      <c r="AA63" s="285"/>
      <c r="AB63" s="285"/>
      <c r="AC63" s="285"/>
      <c r="AD63" s="285"/>
      <c r="AE63" s="285"/>
    </row>
    <row r="64" spans="1:31" ht="18.95" customHeight="1">
      <c r="A64" s="314" t="s">
        <v>90</v>
      </c>
      <c r="B64" s="291" t="s">
        <v>38</v>
      </c>
      <c r="C64" s="292" t="s">
        <v>91</v>
      </c>
      <c r="D64" s="293" t="s">
        <v>40</v>
      </c>
      <c r="E64" s="294">
        <v>2083500</v>
      </c>
      <c r="F64" s="295"/>
      <c r="G64" s="294">
        <v>2152500</v>
      </c>
      <c r="H64" s="295"/>
      <c r="I64" s="296">
        <v>2152500</v>
      </c>
      <c r="J64" s="273">
        <v>0</v>
      </c>
      <c r="K64" s="273">
        <v>0</v>
      </c>
      <c r="L64" s="273">
        <v>500000</v>
      </c>
      <c r="M64" s="273">
        <v>1080000</v>
      </c>
      <c r="N64" s="273">
        <v>100000</v>
      </c>
      <c r="O64" s="273">
        <v>120000</v>
      </c>
      <c r="P64" s="273">
        <v>0</v>
      </c>
      <c r="Q64" s="273">
        <v>0</v>
      </c>
      <c r="R64" s="274">
        <f>SUM(J64:Q64)</f>
        <v>1800000</v>
      </c>
      <c r="S64" s="275">
        <f>I64-R64</f>
        <v>352500</v>
      </c>
      <c r="T64" s="276">
        <f>G64-I64</f>
        <v>0</v>
      </c>
      <c r="U64" s="297">
        <v>86</v>
      </c>
      <c r="V64" s="278">
        <f t="shared" si="0"/>
        <v>20930.232558139534</v>
      </c>
      <c r="X64" s="328"/>
      <c r="Y64" s="273"/>
      <c r="Z64" s="273"/>
      <c r="AA64" s="273"/>
      <c r="AB64" s="273"/>
      <c r="AC64" s="273"/>
      <c r="AD64" s="273"/>
      <c r="AE64" s="273"/>
    </row>
    <row r="65" spans="1:31" ht="18.95" customHeight="1">
      <c r="A65" s="312"/>
      <c r="B65" s="279" t="s">
        <v>38</v>
      </c>
      <c r="C65" s="280" t="s">
        <v>92</v>
      </c>
      <c r="D65" s="281" t="s">
        <v>40</v>
      </c>
      <c r="E65" s="282">
        <v>60000</v>
      </c>
      <c r="F65" s="283"/>
      <c r="G65" s="282">
        <v>52500</v>
      </c>
      <c r="H65" s="283"/>
      <c r="I65" s="284">
        <v>52500</v>
      </c>
      <c r="J65" s="285">
        <v>0</v>
      </c>
      <c r="K65" s="285">
        <v>0</v>
      </c>
      <c r="L65" s="285">
        <v>0</v>
      </c>
      <c r="M65" s="285">
        <v>0</v>
      </c>
      <c r="N65" s="285">
        <v>0</v>
      </c>
      <c r="O65" s="285">
        <v>0</v>
      </c>
      <c r="P65" s="285">
        <v>0</v>
      </c>
      <c r="Q65" s="285">
        <v>0</v>
      </c>
      <c r="R65" s="286">
        <f>SUM(J65:Q65)</f>
        <v>0</v>
      </c>
      <c r="S65" s="287">
        <f>I65-R65</f>
        <v>52500</v>
      </c>
      <c r="T65" s="288">
        <f>G65-I65</f>
        <v>0</v>
      </c>
      <c r="U65" s="289">
        <v>0</v>
      </c>
      <c r="V65" s="290" t="e">
        <f t="shared" si="0"/>
        <v>#DIV/0!</v>
      </c>
      <c r="X65" s="329"/>
      <c r="Y65" s="285"/>
      <c r="Z65" s="285"/>
      <c r="AA65" s="285"/>
      <c r="AB65" s="285"/>
      <c r="AC65" s="285"/>
      <c r="AD65" s="285"/>
      <c r="AE65" s="285"/>
    </row>
    <row r="66" spans="1:31" ht="18.95" customHeight="1">
      <c r="A66" s="312"/>
      <c r="B66" s="279" t="s">
        <v>89</v>
      </c>
      <c r="C66" s="280" t="s">
        <v>93</v>
      </c>
      <c r="D66" s="281" t="s">
        <v>43</v>
      </c>
      <c r="E66" s="282">
        <v>0</v>
      </c>
      <c r="F66" s="283"/>
      <c r="G66" s="282">
        <v>0</v>
      </c>
      <c r="H66" s="283"/>
      <c r="I66" s="284">
        <v>0</v>
      </c>
      <c r="J66" s="285">
        <v>0</v>
      </c>
      <c r="K66" s="285">
        <v>0</v>
      </c>
      <c r="L66" s="285">
        <v>123300</v>
      </c>
      <c r="M66" s="285">
        <v>185400</v>
      </c>
      <c r="N66" s="285">
        <v>0</v>
      </c>
      <c r="O66" s="285">
        <v>0</v>
      </c>
      <c r="P66" s="285">
        <v>0</v>
      </c>
      <c r="Q66" s="285">
        <v>0</v>
      </c>
      <c r="R66" s="286">
        <f>SUM(J66:Q66)</f>
        <v>308700</v>
      </c>
      <c r="S66" s="287">
        <f>I66-R66</f>
        <v>-308700</v>
      </c>
      <c r="T66" s="288">
        <f>G66-I66</f>
        <v>0</v>
      </c>
      <c r="U66" s="289">
        <v>0</v>
      </c>
      <c r="V66" s="290" t="e">
        <f t="shared" si="0"/>
        <v>#DIV/0!</v>
      </c>
      <c r="X66" s="329"/>
      <c r="Y66" s="285"/>
      <c r="Z66" s="285"/>
      <c r="AA66" s="285"/>
      <c r="AB66" s="285"/>
      <c r="AC66" s="285"/>
      <c r="AD66" s="285"/>
      <c r="AE66" s="285"/>
    </row>
    <row r="67" spans="1:31" ht="18.95" customHeight="1">
      <c r="A67" s="312"/>
      <c r="B67" s="279"/>
      <c r="C67" s="280" t="s">
        <v>91</v>
      </c>
      <c r="D67" s="281" t="s">
        <v>43</v>
      </c>
      <c r="E67" s="282">
        <v>0</v>
      </c>
      <c r="F67" s="283"/>
      <c r="G67" s="282">
        <v>0</v>
      </c>
      <c r="H67" s="283"/>
      <c r="I67" s="284">
        <v>0</v>
      </c>
      <c r="J67" s="285">
        <v>0</v>
      </c>
      <c r="K67" s="285">
        <v>0</v>
      </c>
      <c r="L67" s="285">
        <v>0</v>
      </c>
      <c r="M67" s="285">
        <v>0</v>
      </c>
      <c r="N67" s="285">
        <v>0</v>
      </c>
      <c r="O67" s="285">
        <v>0</v>
      </c>
      <c r="P67" s="285">
        <v>0</v>
      </c>
      <c r="Q67" s="285">
        <v>0</v>
      </c>
      <c r="R67" s="286">
        <f>SUM(J67:Q67)</f>
        <v>0</v>
      </c>
      <c r="S67" s="287">
        <f>I67-R67</f>
        <v>0</v>
      </c>
      <c r="T67" s="288">
        <f>G67-I67</f>
        <v>0</v>
      </c>
      <c r="U67" s="289">
        <v>0</v>
      </c>
      <c r="V67" s="290" t="e">
        <f t="shared" si="0"/>
        <v>#DIV/0!</v>
      </c>
      <c r="X67" s="329"/>
      <c r="Y67" s="285"/>
      <c r="Z67" s="285"/>
      <c r="AA67" s="285"/>
      <c r="AB67" s="285"/>
      <c r="AC67" s="285"/>
      <c r="AD67" s="285"/>
      <c r="AE67" s="285"/>
    </row>
    <row r="68" spans="1:31" ht="18.95" customHeight="1">
      <c r="A68" s="312"/>
      <c r="B68" s="279"/>
      <c r="C68" s="280" t="s">
        <v>93</v>
      </c>
      <c r="D68" s="281" t="s">
        <v>43</v>
      </c>
      <c r="E68" s="282">
        <v>118300</v>
      </c>
      <c r="F68" s="283"/>
      <c r="G68" s="282">
        <v>539300</v>
      </c>
      <c r="H68" s="283"/>
      <c r="I68" s="284">
        <v>439300</v>
      </c>
      <c r="J68" s="285">
        <v>0</v>
      </c>
      <c r="K68" s="285">
        <v>0</v>
      </c>
      <c r="L68" s="285">
        <v>0</v>
      </c>
      <c r="M68" s="285">
        <v>0</v>
      </c>
      <c r="N68" s="285">
        <v>0</v>
      </c>
      <c r="O68" s="285">
        <v>0</v>
      </c>
      <c r="P68" s="285">
        <v>0</v>
      </c>
      <c r="Q68" s="285">
        <v>0</v>
      </c>
      <c r="R68" s="286">
        <f>SUM(J68:Q68)</f>
        <v>0</v>
      </c>
      <c r="S68" s="287">
        <f>I68-R68</f>
        <v>439300</v>
      </c>
      <c r="T68" s="288">
        <f>G68-I68</f>
        <v>100000</v>
      </c>
      <c r="U68" s="289">
        <v>0</v>
      </c>
      <c r="V68" s="290" t="e">
        <f t="shared" si="0"/>
        <v>#DIV/0!</v>
      </c>
      <c r="X68" s="329"/>
      <c r="Y68" s="285"/>
      <c r="Z68" s="285"/>
      <c r="AA68" s="285"/>
      <c r="AB68" s="285"/>
      <c r="AC68" s="285"/>
      <c r="AD68" s="285"/>
      <c r="AE68" s="285"/>
    </row>
    <row r="69" spans="1:31" ht="18.95" customHeight="1">
      <c r="A69" s="312"/>
      <c r="B69" s="279"/>
      <c r="C69" s="280" t="s">
        <v>92</v>
      </c>
      <c r="D69" s="281" t="s">
        <v>43</v>
      </c>
      <c r="E69" s="282">
        <v>0</v>
      </c>
      <c r="F69" s="283"/>
      <c r="G69" s="282">
        <v>0</v>
      </c>
      <c r="H69" s="283"/>
      <c r="I69" s="284">
        <v>0</v>
      </c>
      <c r="J69" s="285">
        <v>0</v>
      </c>
      <c r="K69" s="285">
        <v>0</v>
      </c>
      <c r="L69" s="285">
        <v>0</v>
      </c>
      <c r="M69" s="285">
        <v>0</v>
      </c>
      <c r="N69" s="285">
        <v>0</v>
      </c>
      <c r="O69" s="285">
        <v>0</v>
      </c>
      <c r="P69" s="285">
        <v>0</v>
      </c>
      <c r="Q69" s="285">
        <v>0</v>
      </c>
      <c r="R69" s="286">
        <f>SUM(J69:Q69)</f>
        <v>0</v>
      </c>
      <c r="S69" s="287">
        <f>I69-R69</f>
        <v>0</v>
      </c>
      <c r="T69" s="288">
        <f>G69-I69</f>
        <v>0</v>
      </c>
      <c r="U69" s="289">
        <v>0</v>
      </c>
      <c r="V69" s="290" t="e">
        <f t="shared" si="0"/>
        <v>#DIV/0!</v>
      </c>
      <c r="X69" s="329"/>
      <c r="Y69" s="285"/>
      <c r="Z69" s="285"/>
      <c r="AA69" s="285"/>
      <c r="AB69" s="285"/>
      <c r="AC69" s="285"/>
      <c r="AD69" s="285"/>
      <c r="AE69" s="285"/>
    </row>
    <row r="70" spans="1:31" ht="18.95" customHeight="1">
      <c r="A70" s="313"/>
      <c r="B70" s="279"/>
      <c r="C70" s="280" t="s">
        <v>94</v>
      </c>
      <c r="D70" s="281" t="s">
        <v>43</v>
      </c>
      <c r="E70" s="282">
        <v>0</v>
      </c>
      <c r="F70" s="283"/>
      <c r="G70" s="282">
        <v>0</v>
      </c>
      <c r="H70" s="283"/>
      <c r="I70" s="284">
        <v>0</v>
      </c>
      <c r="J70" s="285">
        <v>0</v>
      </c>
      <c r="K70" s="285">
        <v>0</v>
      </c>
      <c r="L70" s="285">
        <v>0</v>
      </c>
      <c r="M70" s="285">
        <v>0</v>
      </c>
      <c r="N70" s="285">
        <v>0</v>
      </c>
      <c r="O70" s="285">
        <v>0</v>
      </c>
      <c r="P70" s="285">
        <v>0</v>
      </c>
      <c r="Q70" s="285">
        <v>0</v>
      </c>
      <c r="R70" s="286">
        <f>SUM(J70:Q70)</f>
        <v>0</v>
      </c>
      <c r="S70" s="287">
        <f>I70-R70</f>
        <v>0</v>
      </c>
      <c r="T70" s="288">
        <f>G70-I70</f>
        <v>0</v>
      </c>
      <c r="U70" s="289">
        <v>0</v>
      </c>
      <c r="V70" s="290" t="e">
        <f t="shared" si="0"/>
        <v>#DIV/0!</v>
      </c>
      <c r="X70" s="329"/>
      <c r="Y70" s="285"/>
      <c r="Z70" s="285"/>
      <c r="AA70" s="285"/>
      <c r="AB70" s="285"/>
      <c r="AC70" s="285"/>
      <c r="AD70" s="285"/>
      <c r="AE70" s="285"/>
    </row>
    <row r="71" spans="1:31" ht="18.95" customHeight="1">
      <c r="A71" s="314" t="s">
        <v>95</v>
      </c>
      <c r="B71" s="291" t="s">
        <v>38</v>
      </c>
      <c r="C71" s="292" t="s">
        <v>96</v>
      </c>
      <c r="D71" s="293" t="s">
        <v>40</v>
      </c>
      <c r="E71" s="294">
        <v>267800</v>
      </c>
      <c r="F71" s="295"/>
      <c r="G71" s="294">
        <v>282240</v>
      </c>
      <c r="H71" s="295"/>
      <c r="I71" s="296">
        <v>282240</v>
      </c>
      <c r="J71" s="273">
        <v>0</v>
      </c>
      <c r="K71" s="273">
        <v>0</v>
      </c>
      <c r="L71" s="273">
        <v>0</v>
      </c>
      <c r="M71" s="273">
        <v>0</v>
      </c>
      <c r="N71" s="273">
        <v>0</v>
      </c>
      <c r="O71" s="273">
        <v>0</v>
      </c>
      <c r="P71" s="273">
        <v>0</v>
      </c>
      <c r="Q71" s="273">
        <v>0</v>
      </c>
      <c r="R71" s="274">
        <f>SUM(J71:Q71)</f>
        <v>0</v>
      </c>
      <c r="S71" s="275">
        <f>I71-R71</f>
        <v>282240</v>
      </c>
      <c r="T71" s="276">
        <f>G71-I71</f>
        <v>0</v>
      </c>
      <c r="U71" s="297">
        <v>0</v>
      </c>
      <c r="V71" s="278" t="e">
        <f t="shared" si="0"/>
        <v>#DIV/0!</v>
      </c>
      <c r="X71" s="328"/>
      <c r="Y71" s="273"/>
      <c r="Z71" s="273"/>
      <c r="AA71" s="273"/>
      <c r="AB71" s="273"/>
      <c r="AC71" s="273"/>
      <c r="AD71" s="273"/>
      <c r="AE71" s="273"/>
    </row>
    <row r="72" spans="1:31" ht="18.95" customHeight="1">
      <c r="A72" s="312"/>
      <c r="B72" s="279" t="s">
        <v>38</v>
      </c>
      <c r="C72" s="280" t="s">
        <v>97</v>
      </c>
      <c r="D72" s="281" t="s">
        <v>40</v>
      </c>
      <c r="E72" s="282">
        <v>1378700</v>
      </c>
      <c r="F72" s="283"/>
      <c r="G72" s="282">
        <v>3052820</v>
      </c>
      <c r="H72" s="283"/>
      <c r="I72" s="284">
        <v>1652820</v>
      </c>
      <c r="J72" s="285">
        <v>0</v>
      </c>
      <c r="K72" s="285">
        <v>0</v>
      </c>
      <c r="L72" s="285">
        <v>0</v>
      </c>
      <c r="M72" s="285">
        <v>0</v>
      </c>
      <c r="N72" s="285">
        <v>0</v>
      </c>
      <c r="O72" s="285">
        <v>0</v>
      </c>
      <c r="P72" s="285">
        <v>0</v>
      </c>
      <c r="Q72" s="285">
        <v>0</v>
      </c>
      <c r="R72" s="286">
        <f>SUM(J72:Q72)</f>
        <v>0</v>
      </c>
      <c r="S72" s="287">
        <f>I72-R72</f>
        <v>1652820</v>
      </c>
      <c r="T72" s="288">
        <f>G72-I72</f>
        <v>1400000</v>
      </c>
      <c r="U72" s="289">
        <v>0</v>
      </c>
      <c r="V72" s="290" t="e">
        <f t="shared" ref="V72:V117" si="1">R72/U72</f>
        <v>#DIV/0!</v>
      </c>
      <c r="X72" s="329"/>
      <c r="Y72" s="285"/>
      <c r="Z72" s="285"/>
      <c r="AA72" s="285"/>
      <c r="AB72" s="285"/>
      <c r="AC72" s="285"/>
      <c r="AD72" s="285"/>
      <c r="AE72" s="285"/>
    </row>
    <row r="73" spans="1:31" ht="18.95" customHeight="1">
      <c r="A73" s="312"/>
      <c r="B73" s="279" t="s">
        <v>53</v>
      </c>
      <c r="C73" s="280" t="s">
        <v>98</v>
      </c>
      <c r="D73" s="281" t="s">
        <v>43</v>
      </c>
      <c r="E73" s="282">
        <v>0</v>
      </c>
      <c r="F73" s="283"/>
      <c r="G73" s="282">
        <v>0</v>
      </c>
      <c r="H73" s="283"/>
      <c r="I73" s="284">
        <v>0</v>
      </c>
      <c r="J73" s="285">
        <v>0</v>
      </c>
      <c r="K73" s="285">
        <v>0</v>
      </c>
      <c r="L73" s="285">
        <v>0</v>
      </c>
      <c r="M73" s="285">
        <v>0</v>
      </c>
      <c r="N73" s="285">
        <v>0</v>
      </c>
      <c r="O73" s="285">
        <v>69620</v>
      </c>
      <c r="P73" s="285">
        <v>0</v>
      </c>
      <c r="Q73" s="285">
        <v>0</v>
      </c>
      <c r="R73" s="286">
        <f>SUM(J73:Q73)</f>
        <v>69620</v>
      </c>
      <c r="S73" s="287">
        <f>I73-R73</f>
        <v>-69620</v>
      </c>
      <c r="T73" s="288">
        <f>G73-I73</f>
        <v>0</v>
      </c>
      <c r="U73" s="289">
        <v>0</v>
      </c>
      <c r="V73" s="290" t="e">
        <f t="shared" si="1"/>
        <v>#DIV/0!</v>
      </c>
      <c r="X73" s="329"/>
      <c r="Y73" s="285"/>
      <c r="Z73" s="285"/>
      <c r="AA73" s="285"/>
      <c r="AB73" s="285"/>
      <c r="AC73" s="285"/>
      <c r="AD73" s="285"/>
      <c r="AE73" s="285"/>
    </row>
    <row r="74" spans="1:31" ht="18.95" customHeight="1">
      <c r="A74" s="312"/>
      <c r="B74" s="279" t="s">
        <v>99</v>
      </c>
      <c r="C74" s="280" t="s">
        <v>97</v>
      </c>
      <c r="D74" s="281" t="s">
        <v>100</v>
      </c>
      <c r="E74" s="282">
        <v>540000</v>
      </c>
      <c r="F74" s="283"/>
      <c r="G74" s="282">
        <v>0</v>
      </c>
      <c r="H74" s="283"/>
      <c r="I74" s="284">
        <v>331000</v>
      </c>
      <c r="J74" s="285">
        <v>0</v>
      </c>
      <c r="K74" s="285">
        <v>0</v>
      </c>
      <c r="L74" s="285">
        <v>0</v>
      </c>
      <c r="M74" s="285">
        <v>0</v>
      </c>
      <c r="N74" s="285">
        <v>331000</v>
      </c>
      <c r="O74" s="285">
        <v>0</v>
      </c>
      <c r="P74" s="285">
        <v>0</v>
      </c>
      <c r="Q74" s="285">
        <v>0</v>
      </c>
      <c r="R74" s="286">
        <f>SUM(J74:Q74)</f>
        <v>331000</v>
      </c>
      <c r="S74" s="287">
        <f>I74-R74</f>
        <v>0</v>
      </c>
      <c r="T74" s="288">
        <f>G74-I74</f>
        <v>-331000</v>
      </c>
      <c r="U74" s="289">
        <v>0</v>
      </c>
      <c r="V74" s="290" t="e">
        <f t="shared" si="1"/>
        <v>#DIV/0!</v>
      </c>
      <c r="X74" s="329"/>
      <c r="Y74" s="285"/>
      <c r="Z74" s="285"/>
      <c r="AA74" s="285"/>
      <c r="AB74" s="285"/>
      <c r="AC74" s="285"/>
      <c r="AD74" s="285"/>
      <c r="AE74" s="285"/>
    </row>
    <row r="75" spans="1:31" ht="18.95" customHeight="1">
      <c r="A75" s="312"/>
      <c r="B75" s="279" t="s">
        <v>99</v>
      </c>
      <c r="C75" s="280" t="s">
        <v>97</v>
      </c>
      <c r="D75" s="281" t="s">
        <v>101</v>
      </c>
      <c r="E75" s="282">
        <v>0</v>
      </c>
      <c r="F75" s="283"/>
      <c r="G75" s="282">
        <v>0</v>
      </c>
      <c r="H75" s="283"/>
      <c r="I75" s="284">
        <v>603000</v>
      </c>
      <c r="J75" s="285">
        <v>0</v>
      </c>
      <c r="K75" s="285">
        <v>0</v>
      </c>
      <c r="L75" s="285">
        <v>0</v>
      </c>
      <c r="M75" s="285">
        <v>0</v>
      </c>
      <c r="N75" s="285">
        <v>0</v>
      </c>
      <c r="O75" s="285">
        <v>603000</v>
      </c>
      <c r="P75" s="285">
        <v>0</v>
      </c>
      <c r="Q75" s="285">
        <v>0</v>
      </c>
      <c r="R75" s="286">
        <f>SUM(J75:Q75)</f>
        <v>603000</v>
      </c>
      <c r="S75" s="287">
        <f>I75-R75</f>
        <v>0</v>
      </c>
      <c r="T75" s="288">
        <f>G75-I75</f>
        <v>-603000</v>
      </c>
      <c r="U75" s="289">
        <v>0</v>
      </c>
      <c r="V75" s="290" t="e">
        <f t="shared" si="1"/>
        <v>#DIV/0!</v>
      </c>
      <c r="X75" s="329"/>
      <c r="Y75" s="285"/>
      <c r="Z75" s="285"/>
      <c r="AA75" s="285"/>
      <c r="AB75" s="285"/>
      <c r="AC75" s="285"/>
      <c r="AD75" s="285"/>
      <c r="AE75" s="285"/>
    </row>
    <row r="76" spans="1:31" ht="18.95" customHeight="1">
      <c r="A76" s="312"/>
      <c r="B76" s="279" t="s">
        <v>102</v>
      </c>
      <c r="C76" s="280" t="s">
        <v>96</v>
      </c>
      <c r="D76" s="281" t="s">
        <v>43</v>
      </c>
      <c r="E76" s="282">
        <v>0</v>
      </c>
      <c r="F76" s="283"/>
      <c r="G76" s="282">
        <v>0</v>
      </c>
      <c r="H76" s="283"/>
      <c r="I76" s="284">
        <v>0</v>
      </c>
      <c r="J76" s="285">
        <v>0</v>
      </c>
      <c r="K76" s="285">
        <v>0</v>
      </c>
      <c r="L76" s="285">
        <v>0</v>
      </c>
      <c r="M76" s="285">
        <v>0</v>
      </c>
      <c r="N76" s="285">
        <v>0</v>
      </c>
      <c r="O76" s="285">
        <v>0</v>
      </c>
      <c r="P76" s="285">
        <v>-74360</v>
      </c>
      <c r="Q76" s="285">
        <v>0</v>
      </c>
      <c r="R76" s="286">
        <f>SUM(J76:Q76)</f>
        <v>-74360</v>
      </c>
      <c r="S76" s="287">
        <f>I76-R76</f>
        <v>74360</v>
      </c>
      <c r="T76" s="288">
        <f>G76-I76</f>
        <v>0</v>
      </c>
      <c r="U76" s="289">
        <v>0</v>
      </c>
      <c r="V76" s="290" t="e">
        <f t="shared" si="1"/>
        <v>#DIV/0!</v>
      </c>
      <c r="X76" s="329"/>
      <c r="Y76" s="285"/>
      <c r="Z76" s="285"/>
      <c r="AA76" s="285"/>
      <c r="AB76" s="285"/>
      <c r="AC76" s="285"/>
      <c r="AD76" s="285"/>
      <c r="AE76" s="285"/>
    </row>
    <row r="77" spans="1:31" ht="18.95" customHeight="1">
      <c r="A77" s="312"/>
      <c r="B77" s="279" t="s">
        <v>102</v>
      </c>
      <c r="C77" s="280" t="s">
        <v>103</v>
      </c>
      <c r="D77" s="281" t="s">
        <v>104</v>
      </c>
      <c r="E77" s="282">
        <v>0</v>
      </c>
      <c r="F77" s="283"/>
      <c r="G77" s="282">
        <v>0</v>
      </c>
      <c r="H77" s="283"/>
      <c r="I77" s="284">
        <v>8150000</v>
      </c>
      <c r="J77" s="285">
        <v>0</v>
      </c>
      <c r="K77" s="285">
        <v>0</v>
      </c>
      <c r="L77" s="285">
        <v>0</v>
      </c>
      <c r="M77" s="285">
        <v>0</v>
      </c>
      <c r="N77" s="285">
        <v>4914450</v>
      </c>
      <c r="O77" s="285">
        <v>2273850</v>
      </c>
      <c r="P77" s="285">
        <v>0</v>
      </c>
      <c r="Q77" s="285">
        <v>0</v>
      </c>
      <c r="R77" s="286">
        <f>SUM(J77:Q77)</f>
        <v>7188300</v>
      </c>
      <c r="S77" s="287">
        <f>I77-R77</f>
        <v>961700</v>
      </c>
      <c r="T77" s="288">
        <f>G77-I77</f>
        <v>-8150000</v>
      </c>
      <c r="U77" s="289">
        <v>0</v>
      </c>
      <c r="V77" s="290" t="e">
        <f t="shared" si="1"/>
        <v>#DIV/0!</v>
      </c>
      <c r="X77" s="329"/>
      <c r="Y77" s="285"/>
      <c r="Z77" s="285"/>
      <c r="AA77" s="285"/>
      <c r="AB77" s="285"/>
      <c r="AC77" s="285"/>
      <c r="AD77" s="285"/>
      <c r="AE77" s="285"/>
    </row>
    <row r="78" spans="1:31" ht="18.95" customHeight="1">
      <c r="A78" s="312"/>
      <c r="B78" s="279"/>
      <c r="C78" s="280" t="s">
        <v>96</v>
      </c>
      <c r="D78" s="281" t="s">
        <v>43</v>
      </c>
      <c r="E78" s="282">
        <v>0</v>
      </c>
      <c r="F78" s="283"/>
      <c r="G78" s="282">
        <v>0</v>
      </c>
      <c r="H78" s="283"/>
      <c r="I78" s="284">
        <v>0</v>
      </c>
      <c r="J78" s="285">
        <v>0</v>
      </c>
      <c r="K78" s="285">
        <v>0</v>
      </c>
      <c r="L78" s="285">
        <v>0</v>
      </c>
      <c r="M78" s="285">
        <v>0</v>
      </c>
      <c r="N78" s="285">
        <v>0</v>
      </c>
      <c r="O78" s="285">
        <v>0</v>
      </c>
      <c r="P78" s="285">
        <v>0</v>
      </c>
      <c r="Q78" s="285">
        <v>0</v>
      </c>
      <c r="R78" s="286">
        <f>SUM(J78:Q78)</f>
        <v>0</v>
      </c>
      <c r="S78" s="287">
        <f>I78-R78</f>
        <v>0</v>
      </c>
      <c r="T78" s="288">
        <f>G78-I78</f>
        <v>0</v>
      </c>
      <c r="U78" s="289">
        <v>0</v>
      </c>
      <c r="V78" s="290" t="e">
        <f t="shared" si="1"/>
        <v>#DIV/0!</v>
      </c>
      <c r="X78" s="329"/>
      <c r="Y78" s="285"/>
      <c r="Z78" s="285"/>
      <c r="AA78" s="285"/>
      <c r="AB78" s="285"/>
      <c r="AC78" s="285"/>
      <c r="AD78" s="285"/>
      <c r="AE78" s="285"/>
    </row>
    <row r="79" spans="1:31" ht="18.95" customHeight="1">
      <c r="A79" s="312"/>
      <c r="B79" s="279"/>
      <c r="C79" s="280" t="s">
        <v>98</v>
      </c>
      <c r="D79" s="281" t="s">
        <v>43</v>
      </c>
      <c r="E79" s="282">
        <v>0</v>
      </c>
      <c r="F79" s="283"/>
      <c r="G79" s="282">
        <v>0</v>
      </c>
      <c r="H79" s="283"/>
      <c r="I79" s="284">
        <v>0</v>
      </c>
      <c r="J79" s="285">
        <v>0</v>
      </c>
      <c r="K79" s="285">
        <v>0</v>
      </c>
      <c r="L79" s="285">
        <v>0</v>
      </c>
      <c r="M79" s="285">
        <v>0</v>
      </c>
      <c r="N79" s="285">
        <v>0</v>
      </c>
      <c r="O79" s="285">
        <v>0</v>
      </c>
      <c r="P79" s="285">
        <v>0</v>
      </c>
      <c r="Q79" s="285">
        <v>0</v>
      </c>
      <c r="R79" s="286">
        <f>SUM(J79:Q79)</f>
        <v>0</v>
      </c>
      <c r="S79" s="287">
        <f>I79-R79</f>
        <v>0</v>
      </c>
      <c r="T79" s="288">
        <f>G79-I79</f>
        <v>0</v>
      </c>
      <c r="U79" s="289">
        <v>0</v>
      </c>
      <c r="V79" s="290" t="e">
        <f t="shared" si="1"/>
        <v>#DIV/0!</v>
      </c>
      <c r="X79" s="329"/>
      <c r="Y79" s="285"/>
      <c r="Z79" s="285"/>
      <c r="AA79" s="285"/>
      <c r="AB79" s="285"/>
      <c r="AC79" s="285"/>
      <c r="AD79" s="285"/>
      <c r="AE79" s="285"/>
    </row>
    <row r="80" spans="1:31" ht="18.95" customHeight="1">
      <c r="A80" s="312"/>
      <c r="B80" s="279"/>
      <c r="C80" s="280" t="s">
        <v>97</v>
      </c>
      <c r="D80" s="281" t="s">
        <v>43</v>
      </c>
      <c r="E80" s="282">
        <v>1070000</v>
      </c>
      <c r="F80" s="283"/>
      <c r="G80" s="282">
        <v>0</v>
      </c>
      <c r="H80" s="283"/>
      <c r="I80" s="284">
        <v>0</v>
      </c>
      <c r="J80" s="285">
        <v>0</v>
      </c>
      <c r="K80" s="285">
        <v>0</v>
      </c>
      <c r="L80" s="285">
        <v>0</v>
      </c>
      <c r="M80" s="285">
        <v>0</v>
      </c>
      <c r="N80" s="285">
        <v>0</v>
      </c>
      <c r="O80" s="285">
        <v>0</v>
      </c>
      <c r="P80" s="285">
        <v>0</v>
      </c>
      <c r="Q80" s="285">
        <v>0</v>
      </c>
      <c r="R80" s="286">
        <f>SUM(J80:Q80)</f>
        <v>0</v>
      </c>
      <c r="S80" s="287">
        <f>I80-R80</f>
        <v>0</v>
      </c>
      <c r="T80" s="288">
        <f>G80-I80</f>
        <v>0</v>
      </c>
      <c r="U80" s="289">
        <v>0</v>
      </c>
      <c r="V80" s="290" t="e">
        <f t="shared" si="1"/>
        <v>#DIV/0!</v>
      </c>
      <c r="X80" s="329"/>
      <c r="Y80" s="285"/>
      <c r="Z80" s="285"/>
      <c r="AA80" s="285"/>
      <c r="AB80" s="285"/>
      <c r="AC80" s="285"/>
      <c r="AD80" s="285"/>
      <c r="AE80" s="285"/>
    </row>
    <row r="81" spans="1:31" ht="18.95" customHeight="1">
      <c r="A81" s="313"/>
      <c r="B81" s="279"/>
      <c r="C81" s="280" t="s">
        <v>105</v>
      </c>
      <c r="D81" s="281" t="s">
        <v>43</v>
      </c>
      <c r="E81" s="282">
        <v>0</v>
      </c>
      <c r="F81" s="283"/>
      <c r="G81" s="282">
        <v>0</v>
      </c>
      <c r="H81" s="283"/>
      <c r="I81" s="284">
        <v>0</v>
      </c>
      <c r="J81" s="285">
        <v>0</v>
      </c>
      <c r="K81" s="285">
        <v>0</v>
      </c>
      <c r="L81" s="285">
        <v>0</v>
      </c>
      <c r="M81" s="285">
        <v>0</v>
      </c>
      <c r="N81" s="285">
        <v>0</v>
      </c>
      <c r="O81" s="285">
        <v>0</v>
      </c>
      <c r="P81" s="285">
        <v>0</v>
      </c>
      <c r="Q81" s="285">
        <v>0</v>
      </c>
      <c r="R81" s="286">
        <f>SUM(J81:Q81)</f>
        <v>0</v>
      </c>
      <c r="S81" s="287">
        <f>I81-R81</f>
        <v>0</v>
      </c>
      <c r="T81" s="288">
        <f>G81-I81</f>
        <v>0</v>
      </c>
      <c r="U81" s="289">
        <v>0</v>
      </c>
      <c r="V81" s="290" t="e">
        <f t="shared" si="1"/>
        <v>#DIV/0!</v>
      </c>
      <c r="X81" s="329"/>
      <c r="Y81" s="285"/>
      <c r="Z81" s="285"/>
      <c r="AA81" s="285"/>
      <c r="AB81" s="285"/>
      <c r="AC81" s="285"/>
      <c r="AD81" s="285"/>
      <c r="AE81" s="285"/>
    </row>
    <row r="82" spans="1:31" ht="18.95" customHeight="1">
      <c r="A82" s="314" t="s">
        <v>106</v>
      </c>
      <c r="B82" s="291" t="s">
        <v>38</v>
      </c>
      <c r="C82" s="292" t="s">
        <v>107</v>
      </c>
      <c r="D82" s="293" t="s">
        <v>40</v>
      </c>
      <c r="E82" s="294">
        <v>884700</v>
      </c>
      <c r="F82" s="295"/>
      <c r="G82" s="294">
        <v>1071750</v>
      </c>
      <c r="H82" s="295"/>
      <c r="I82" s="296">
        <v>1071750</v>
      </c>
      <c r="J82" s="273">
        <v>0</v>
      </c>
      <c r="K82" s="273">
        <v>0</v>
      </c>
      <c r="L82" s="273">
        <v>0</v>
      </c>
      <c r="M82" s="273">
        <v>0</v>
      </c>
      <c r="N82" s="273">
        <v>0</v>
      </c>
      <c r="O82" s="273">
        <v>0</v>
      </c>
      <c r="P82" s="273">
        <v>0</v>
      </c>
      <c r="Q82" s="273">
        <v>0</v>
      </c>
      <c r="R82" s="274">
        <f>SUM(J82:Q82)</f>
        <v>0</v>
      </c>
      <c r="S82" s="275">
        <f>I82-R82</f>
        <v>1071750</v>
      </c>
      <c r="T82" s="276">
        <f>G82-I82</f>
        <v>0</v>
      </c>
      <c r="U82" s="297">
        <v>8</v>
      </c>
      <c r="V82" s="278">
        <f t="shared" si="1"/>
        <v>0</v>
      </c>
      <c r="X82" s="328"/>
      <c r="Y82" s="273"/>
      <c r="Z82" s="273"/>
      <c r="AA82" s="273"/>
      <c r="AB82" s="273"/>
      <c r="AC82" s="273"/>
      <c r="AD82" s="273"/>
      <c r="AE82" s="273"/>
    </row>
    <row r="83" spans="1:31" ht="18.95" customHeight="1">
      <c r="A83" s="312"/>
      <c r="B83" s="279"/>
      <c r="C83" s="280" t="s">
        <v>107</v>
      </c>
      <c r="D83" s="281" t="s">
        <v>43</v>
      </c>
      <c r="E83" s="282">
        <v>0</v>
      </c>
      <c r="F83" s="283"/>
      <c r="G83" s="282">
        <v>0</v>
      </c>
      <c r="H83" s="283"/>
      <c r="I83" s="284">
        <v>0</v>
      </c>
      <c r="J83" s="285">
        <v>0</v>
      </c>
      <c r="K83" s="285">
        <v>0</v>
      </c>
      <c r="L83" s="285">
        <v>0</v>
      </c>
      <c r="M83" s="285">
        <v>0</v>
      </c>
      <c r="N83" s="285">
        <v>0</v>
      </c>
      <c r="O83" s="285">
        <v>0</v>
      </c>
      <c r="P83" s="285">
        <v>0</v>
      </c>
      <c r="Q83" s="285">
        <v>0</v>
      </c>
      <c r="R83" s="286">
        <f>SUM(J83:Q83)</f>
        <v>0</v>
      </c>
      <c r="S83" s="287">
        <f>I83-R83</f>
        <v>0</v>
      </c>
      <c r="T83" s="288">
        <f>G83-I83</f>
        <v>0</v>
      </c>
      <c r="U83" s="289">
        <v>0</v>
      </c>
      <c r="V83" s="290" t="e">
        <f t="shared" si="1"/>
        <v>#DIV/0!</v>
      </c>
      <c r="X83" s="329"/>
      <c r="Y83" s="285"/>
      <c r="Z83" s="285"/>
      <c r="AA83" s="285"/>
      <c r="AB83" s="285"/>
      <c r="AC83" s="285"/>
      <c r="AD83" s="285"/>
      <c r="AE83" s="285"/>
    </row>
    <row r="84" spans="1:31" ht="18.95" customHeight="1">
      <c r="A84" s="313"/>
      <c r="B84" s="279"/>
      <c r="C84" s="280" t="s">
        <v>108</v>
      </c>
      <c r="D84" s="281" t="s">
        <v>43</v>
      </c>
      <c r="E84" s="282">
        <v>0</v>
      </c>
      <c r="F84" s="283"/>
      <c r="G84" s="282">
        <v>0</v>
      </c>
      <c r="H84" s="283"/>
      <c r="I84" s="284">
        <v>0</v>
      </c>
      <c r="J84" s="285">
        <v>0</v>
      </c>
      <c r="K84" s="285">
        <v>0</v>
      </c>
      <c r="L84" s="285">
        <v>0</v>
      </c>
      <c r="M84" s="285">
        <v>0</v>
      </c>
      <c r="N84" s="285">
        <v>0</v>
      </c>
      <c r="O84" s="285">
        <v>0</v>
      </c>
      <c r="P84" s="285">
        <v>0</v>
      </c>
      <c r="Q84" s="285">
        <v>0</v>
      </c>
      <c r="R84" s="286">
        <f>SUM(J84:Q84)</f>
        <v>0</v>
      </c>
      <c r="S84" s="287">
        <f>I84-R84</f>
        <v>0</v>
      </c>
      <c r="T84" s="288">
        <f>G84-I84</f>
        <v>0</v>
      </c>
      <c r="U84" s="289">
        <v>0</v>
      </c>
      <c r="V84" s="290" t="e">
        <f t="shared" si="1"/>
        <v>#DIV/0!</v>
      </c>
      <c r="X84" s="329"/>
      <c r="Y84" s="285"/>
      <c r="Z84" s="285"/>
      <c r="AA84" s="285"/>
      <c r="AB84" s="285"/>
      <c r="AC84" s="285"/>
      <c r="AD84" s="285"/>
      <c r="AE84" s="285"/>
    </row>
    <row r="85" spans="1:31" ht="18.95" customHeight="1">
      <c r="A85" s="314" t="s">
        <v>109</v>
      </c>
      <c r="B85" s="291" t="s">
        <v>38</v>
      </c>
      <c r="C85" s="292" t="s">
        <v>110</v>
      </c>
      <c r="D85" s="293" t="s">
        <v>40</v>
      </c>
      <c r="E85" s="294">
        <v>4145400</v>
      </c>
      <c r="F85" s="295"/>
      <c r="G85" s="294">
        <v>4604830</v>
      </c>
      <c r="H85" s="295"/>
      <c r="I85" s="296">
        <v>4545390</v>
      </c>
      <c r="J85" s="273">
        <v>0</v>
      </c>
      <c r="K85" s="273">
        <v>0</v>
      </c>
      <c r="L85" s="273">
        <v>2800000</v>
      </c>
      <c r="M85" s="273">
        <v>0</v>
      </c>
      <c r="N85" s="273">
        <v>0</v>
      </c>
      <c r="O85" s="273">
        <v>1141700</v>
      </c>
      <c r="P85" s="273">
        <v>0</v>
      </c>
      <c r="Q85" s="273">
        <v>0</v>
      </c>
      <c r="R85" s="274">
        <f>SUM(J85:Q85)</f>
        <v>3941700</v>
      </c>
      <c r="S85" s="275">
        <f>I85-R85</f>
        <v>603690</v>
      </c>
      <c r="T85" s="276">
        <f>G85-I85</f>
        <v>59440</v>
      </c>
      <c r="U85" s="297">
        <v>2</v>
      </c>
      <c r="V85" s="278">
        <f t="shared" si="1"/>
        <v>1970850</v>
      </c>
      <c r="X85" s="328"/>
      <c r="Y85" s="273"/>
      <c r="Z85" s="273"/>
      <c r="AA85" s="273"/>
      <c r="AB85" s="273"/>
      <c r="AC85" s="273"/>
      <c r="AD85" s="273"/>
      <c r="AE85" s="273"/>
    </row>
    <row r="86" spans="1:31" ht="18.95" customHeight="1">
      <c r="A86" s="312"/>
      <c r="B86" s="279" t="s">
        <v>38</v>
      </c>
      <c r="C86" s="280" t="s">
        <v>110</v>
      </c>
      <c r="D86" s="281" t="s">
        <v>43</v>
      </c>
      <c r="E86" s="282">
        <v>0</v>
      </c>
      <c r="F86" s="283"/>
      <c r="G86" s="282">
        <v>0</v>
      </c>
      <c r="H86" s="283"/>
      <c r="I86" s="284">
        <v>0</v>
      </c>
      <c r="J86" s="285">
        <v>0</v>
      </c>
      <c r="K86" s="285">
        <v>0</v>
      </c>
      <c r="L86" s="285">
        <v>0</v>
      </c>
      <c r="M86" s="285">
        <v>0</v>
      </c>
      <c r="N86" s="285">
        <v>-158100</v>
      </c>
      <c r="O86" s="285">
        <v>-479500</v>
      </c>
      <c r="P86" s="285">
        <v>-727180</v>
      </c>
      <c r="Q86" s="285">
        <v>0</v>
      </c>
      <c r="R86" s="286">
        <f>SUM(J86:Q86)</f>
        <v>-1364780</v>
      </c>
      <c r="S86" s="287">
        <f>I86-R86</f>
        <v>1364780</v>
      </c>
      <c r="T86" s="288">
        <f>G86-I86</f>
        <v>0</v>
      </c>
      <c r="U86" s="289">
        <v>0</v>
      </c>
      <c r="V86" s="290" t="e">
        <f t="shared" si="1"/>
        <v>#DIV/0!</v>
      </c>
      <c r="X86" s="329"/>
      <c r="Y86" s="285"/>
      <c r="Z86" s="285"/>
      <c r="AA86" s="285"/>
      <c r="AB86" s="285"/>
      <c r="AC86" s="285"/>
      <c r="AD86" s="285"/>
      <c r="AE86" s="285"/>
    </row>
    <row r="87" spans="1:31" ht="18.95" customHeight="1">
      <c r="A87" s="312"/>
      <c r="B87" s="279" t="s">
        <v>38</v>
      </c>
      <c r="C87" s="280" t="s">
        <v>111</v>
      </c>
      <c r="D87" s="281" t="s">
        <v>40</v>
      </c>
      <c r="E87" s="282">
        <v>4275800</v>
      </c>
      <c r="F87" s="283"/>
      <c r="G87" s="282">
        <v>4366500</v>
      </c>
      <c r="H87" s="283"/>
      <c r="I87" s="284">
        <v>4366500</v>
      </c>
      <c r="J87" s="285">
        <v>0</v>
      </c>
      <c r="K87" s="285">
        <v>0</v>
      </c>
      <c r="L87" s="285">
        <v>0</v>
      </c>
      <c r="M87" s="285">
        <v>1840000</v>
      </c>
      <c r="N87" s="285">
        <v>1860000</v>
      </c>
      <c r="O87" s="285">
        <v>0</v>
      </c>
      <c r="P87" s="285">
        <v>0</v>
      </c>
      <c r="Q87" s="285">
        <v>0</v>
      </c>
      <c r="R87" s="286">
        <f>SUM(J87:Q87)</f>
        <v>3700000</v>
      </c>
      <c r="S87" s="287">
        <f>I87-R87</f>
        <v>666500</v>
      </c>
      <c r="T87" s="288">
        <f>G87-I87</f>
        <v>0</v>
      </c>
      <c r="U87" s="289">
        <v>21</v>
      </c>
      <c r="V87" s="290">
        <f t="shared" si="1"/>
        <v>176190.47619047618</v>
      </c>
      <c r="X87" s="329"/>
      <c r="Y87" s="285"/>
      <c r="Z87" s="285"/>
      <c r="AA87" s="285"/>
      <c r="AB87" s="285"/>
      <c r="AC87" s="285"/>
      <c r="AD87" s="285"/>
      <c r="AE87" s="285"/>
    </row>
    <row r="88" spans="1:31" ht="18.95" customHeight="1">
      <c r="A88" s="312"/>
      <c r="B88" s="279" t="s">
        <v>53</v>
      </c>
      <c r="C88" s="280" t="s">
        <v>112</v>
      </c>
      <c r="D88" s="281" t="s">
        <v>43</v>
      </c>
      <c r="E88" s="282">
        <v>0</v>
      </c>
      <c r="F88" s="283"/>
      <c r="G88" s="282">
        <v>0</v>
      </c>
      <c r="H88" s="283"/>
      <c r="I88" s="284">
        <v>0</v>
      </c>
      <c r="J88" s="285">
        <v>0</v>
      </c>
      <c r="K88" s="285">
        <v>0</v>
      </c>
      <c r="L88" s="285">
        <v>0</v>
      </c>
      <c r="M88" s="285">
        <v>149560</v>
      </c>
      <c r="N88" s="285">
        <v>803080</v>
      </c>
      <c r="O88" s="285">
        <v>688060</v>
      </c>
      <c r="P88" s="285">
        <v>0</v>
      </c>
      <c r="Q88" s="285">
        <v>0</v>
      </c>
      <c r="R88" s="286">
        <f>SUM(J88:Q88)</f>
        <v>1640700</v>
      </c>
      <c r="S88" s="287">
        <f>I88-R88</f>
        <v>-1640700</v>
      </c>
      <c r="T88" s="288">
        <f>G88-I88</f>
        <v>0</v>
      </c>
      <c r="U88" s="289">
        <v>0</v>
      </c>
      <c r="V88" s="290" t="e">
        <f t="shared" si="1"/>
        <v>#DIV/0!</v>
      </c>
      <c r="X88" s="329"/>
      <c r="Y88" s="285"/>
      <c r="Z88" s="285"/>
      <c r="AA88" s="285"/>
      <c r="AB88" s="285"/>
      <c r="AC88" s="285"/>
      <c r="AD88" s="285"/>
      <c r="AE88" s="285"/>
    </row>
    <row r="89" spans="1:31" ht="18.95" customHeight="1">
      <c r="A89" s="312"/>
      <c r="B89" s="279" t="s">
        <v>102</v>
      </c>
      <c r="C89" s="280" t="s">
        <v>110</v>
      </c>
      <c r="D89" s="281" t="s">
        <v>43</v>
      </c>
      <c r="E89" s="282">
        <v>0</v>
      </c>
      <c r="F89" s="283"/>
      <c r="G89" s="282">
        <v>0</v>
      </c>
      <c r="H89" s="283"/>
      <c r="I89" s="284">
        <v>0</v>
      </c>
      <c r="J89" s="285">
        <v>0</v>
      </c>
      <c r="K89" s="285">
        <v>0</v>
      </c>
      <c r="L89" s="285">
        <v>0</v>
      </c>
      <c r="M89" s="285">
        <v>0</v>
      </c>
      <c r="N89" s="285">
        <v>0</v>
      </c>
      <c r="O89" s="285">
        <v>-368600</v>
      </c>
      <c r="P89" s="285">
        <v>0</v>
      </c>
      <c r="Q89" s="285">
        <v>0</v>
      </c>
      <c r="R89" s="286">
        <f>SUM(J89:Q89)</f>
        <v>-368600</v>
      </c>
      <c r="S89" s="287">
        <f>I89-R89</f>
        <v>368600</v>
      </c>
      <c r="T89" s="288">
        <f>G89-I89</f>
        <v>0</v>
      </c>
      <c r="U89" s="289">
        <v>0</v>
      </c>
      <c r="V89" s="290" t="e">
        <f t="shared" si="1"/>
        <v>#DIV/0!</v>
      </c>
      <c r="X89" s="329"/>
      <c r="Y89" s="285"/>
      <c r="Z89" s="285"/>
      <c r="AA89" s="285"/>
      <c r="AB89" s="285"/>
      <c r="AC89" s="285"/>
      <c r="AD89" s="285"/>
      <c r="AE89" s="285"/>
    </row>
    <row r="90" spans="1:31" ht="18.95" customHeight="1">
      <c r="A90" s="312"/>
      <c r="B90" s="279"/>
      <c r="C90" s="280" t="s">
        <v>110</v>
      </c>
      <c r="D90" s="281" t="s">
        <v>43</v>
      </c>
      <c r="E90" s="282">
        <v>81200</v>
      </c>
      <c r="F90" s="283"/>
      <c r="G90" s="282">
        <v>0</v>
      </c>
      <c r="H90" s="283"/>
      <c r="I90" s="284">
        <v>0</v>
      </c>
      <c r="J90" s="285">
        <v>0</v>
      </c>
      <c r="K90" s="285">
        <v>0</v>
      </c>
      <c r="L90" s="285">
        <v>0</v>
      </c>
      <c r="M90" s="285">
        <v>0</v>
      </c>
      <c r="N90" s="285">
        <v>0</v>
      </c>
      <c r="O90" s="285">
        <v>0</v>
      </c>
      <c r="P90" s="285">
        <v>0</v>
      </c>
      <c r="Q90" s="285">
        <v>0</v>
      </c>
      <c r="R90" s="286">
        <f>SUM(J90:Q90)</f>
        <v>0</v>
      </c>
      <c r="S90" s="287">
        <f>I90-R90</f>
        <v>0</v>
      </c>
      <c r="T90" s="288">
        <f>G90-I90</f>
        <v>0</v>
      </c>
      <c r="U90" s="289">
        <v>0</v>
      </c>
      <c r="V90" s="290" t="e">
        <f t="shared" si="1"/>
        <v>#DIV/0!</v>
      </c>
      <c r="X90" s="329"/>
      <c r="Y90" s="285"/>
      <c r="Z90" s="285"/>
      <c r="AA90" s="285"/>
      <c r="AB90" s="285"/>
      <c r="AC90" s="285"/>
      <c r="AD90" s="285"/>
      <c r="AE90" s="285"/>
    </row>
    <row r="91" spans="1:31" ht="18.95" customHeight="1">
      <c r="A91" s="312"/>
      <c r="B91" s="279"/>
      <c r="C91" s="280" t="s">
        <v>112</v>
      </c>
      <c r="D91" s="281" t="s">
        <v>43</v>
      </c>
      <c r="E91" s="282">
        <v>0</v>
      </c>
      <c r="F91" s="283"/>
      <c r="G91" s="282">
        <v>0</v>
      </c>
      <c r="H91" s="283"/>
      <c r="I91" s="284">
        <v>0</v>
      </c>
      <c r="J91" s="285">
        <v>0</v>
      </c>
      <c r="K91" s="285">
        <v>0</v>
      </c>
      <c r="L91" s="285">
        <v>0</v>
      </c>
      <c r="M91" s="285">
        <v>0</v>
      </c>
      <c r="N91" s="285">
        <v>0</v>
      </c>
      <c r="O91" s="285">
        <v>0</v>
      </c>
      <c r="P91" s="285">
        <v>0</v>
      </c>
      <c r="Q91" s="285">
        <v>0</v>
      </c>
      <c r="R91" s="286">
        <f>SUM(J91:Q91)</f>
        <v>0</v>
      </c>
      <c r="S91" s="287">
        <f>I91-R91</f>
        <v>0</v>
      </c>
      <c r="T91" s="288">
        <f>G91-I91</f>
        <v>0</v>
      </c>
      <c r="U91" s="289">
        <v>0</v>
      </c>
      <c r="V91" s="290" t="e">
        <f t="shared" si="1"/>
        <v>#DIV/0!</v>
      </c>
      <c r="X91" s="329"/>
      <c r="Y91" s="285"/>
      <c r="Z91" s="285"/>
      <c r="AA91" s="285"/>
      <c r="AB91" s="285"/>
      <c r="AC91" s="285"/>
      <c r="AD91" s="285"/>
      <c r="AE91" s="285"/>
    </row>
    <row r="92" spans="1:31" ht="18.95" customHeight="1">
      <c r="A92" s="312"/>
      <c r="B92" s="279"/>
      <c r="C92" s="280" t="s">
        <v>111</v>
      </c>
      <c r="D92" s="281" t="s">
        <v>43</v>
      </c>
      <c r="E92" s="282">
        <v>0</v>
      </c>
      <c r="F92" s="283"/>
      <c r="G92" s="282">
        <v>0</v>
      </c>
      <c r="H92" s="283"/>
      <c r="I92" s="284">
        <v>0</v>
      </c>
      <c r="J92" s="285">
        <v>0</v>
      </c>
      <c r="K92" s="285">
        <v>0</v>
      </c>
      <c r="L92" s="285">
        <v>0</v>
      </c>
      <c r="M92" s="285">
        <v>0</v>
      </c>
      <c r="N92" s="285">
        <v>0</v>
      </c>
      <c r="O92" s="285">
        <v>0</v>
      </c>
      <c r="P92" s="285">
        <v>0</v>
      </c>
      <c r="Q92" s="285">
        <v>0</v>
      </c>
      <c r="R92" s="286">
        <f>SUM(J92:Q92)</f>
        <v>0</v>
      </c>
      <c r="S92" s="287">
        <f>I92-R92</f>
        <v>0</v>
      </c>
      <c r="T92" s="288">
        <f>G92-I92</f>
        <v>0</v>
      </c>
      <c r="U92" s="289">
        <v>0</v>
      </c>
      <c r="V92" s="290" t="e">
        <f t="shared" si="1"/>
        <v>#DIV/0!</v>
      </c>
      <c r="X92" s="329"/>
      <c r="Y92" s="285"/>
      <c r="Z92" s="285"/>
      <c r="AA92" s="285"/>
      <c r="AB92" s="285"/>
      <c r="AC92" s="285"/>
      <c r="AD92" s="285"/>
      <c r="AE92" s="285"/>
    </row>
    <row r="93" spans="1:31" ht="18.95" customHeight="1">
      <c r="A93" s="313"/>
      <c r="B93" s="279"/>
      <c r="C93" s="280" t="s">
        <v>113</v>
      </c>
      <c r="D93" s="281" t="s">
        <v>43</v>
      </c>
      <c r="E93" s="282">
        <v>0</v>
      </c>
      <c r="F93" s="283"/>
      <c r="G93" s="282">
        <v>0</v>
      </c>
      <c r="H93" s="283"/>
      <c r="I93" s="284">
        <v>0</v>
      </c>
      <c r="J93" s="285">
        <v>0</v>
      </c>
      <c r="K93" s="285">
        <v>0</v>
      </c>
      <c r="L93" s="285">
        <v>0</v>
      </c>
      <c r="M93" s="285">
        <v>0</v>
      </c>
      <c r="N93" s="285">
        <v>0</v>
      </c>
      <c r="O93" s="285">
        <v>0</v>
      </c>
      <c r="P93" s="285">
        <v>0</v>
      </c>
      <c r="Q93" s="285">
        <v>0</v>
      </c>
      <c r="R93" s="286">
        <f>SUM(J93:Q93)</f>
        <v>0</v>
      </c>
      <c r="S93" s="287">
        <f>I93-R93</f>
        <v>0</v>
      </c>
      <c r="T93" s="288">
        <f>G93-I93</f>
        <v>0</v>
      </c>
      <c r="U93" s="289">
        <v>0</v>
      </c>
      <c r="V93" s="290" t="e">
        <f t="shared" si="1"/>
        <v>#DIV/0!</v>
      </c>
      <c r="X93" s="329"/>
      <c r="Y93" s="285"/>
      <c r="Z93" s="285"/>
      <c r="AA93" s="285"/>
      <c r="AB93" s="285"/>
      <c r="AC93" s="285"/>
      <c r="AD93" s="285"/>
      <c r="AE93" s="285"/>
    </row>
    <row r="94" spans="1:31" ht="18.95" customHeight="1">
      <c r="A94" s="314" t="s">
        <v>114</v>
      </c>
      <c r="B94" s="291" t="s">
        <v>38</v>
      </c>
      <c r="C94" s="292" t="s">
        <v>115</v>
      </c>
      <c r="D94" s="293" t="s">
        <v>40</v>
      </c>
      <c r="E94" s="294">
        <v>2843500</v>
      </c>
      <c r="F94" s="295"/>
      <c r="G94" s="294">
        <v>3056300</v>
      </c>
      <c r="H94" s="295"/>
      <c r="I94" s="296">
        <v>3056300</v>
      </c>
      <c r="J94" s="273">
        <v>0</v>
      </c>
      <c r="K94" s="273">
        <v>0</v>
      </c>
      <c r="L94" s="273">
        <v>0</v>
      </c>
      <c r="M94" s="273">
        <v>0</v>
      </c>
      <c r="N94" s="273">
        <v>0</v>
      </c>
      <c r="O94" s="273">
        <v>3056300</v>
      </c>
      <c r="P94" s="273">
        <v>0</v>
      </c>
      <c r="Q94" s="273">
        <v>0</v>
      </c>
      <c r="R94" s="274">
        <f>SUM(J94:Q94)</f>
        <v>3056300</v>
      </c>
      <c r="S94" s="275">
        <f>I94-R94</f>
        <v>0</v>
      </c>
      <c r="T94" s="276">
        <f>G94-I94</f>
        <v>0</v>
      </c>
      <c r="U94" s="297">
        <v>0</v>
      </c>
      <c r="V94" s="278" t="e">
        <f t="shared" si="1"/>
        <v>#DIV/0!</v>
      </c>
      <c r="X94" s="328"/>
      <c r="Y94" s="273"/>
      <c r="Z94" s="273"/>
      <c r="AA94" s="273"/>
      <c r="AB94" s="273"/>
      <c r="AC94" s="273"/>
      <c r="AD94" s="273"/>
      <c r="AE94" s="273"/>
    </row>
    <row r="95" spans="1:31" ht="18.95" customHeight="1">
      <c r="A95" s="312"/>
      <c r="B95" s="279" t="s">
        <v>38</v>
      </c>
      <c r="C95" s="280" t="s">
        <v>116</v>
      </c>
      <c r="D95" s="281" t="s">
        <v>40</v>
      </c>
      <c r="E95" s="282">
        <v>3837900</v>
      </c>
      <c r="F95" s="283"/>
      <c r="G95" s="282">
        <v>3892000</v>
      </c>
      <c r="H95" s="283"/>
      <c r="I95" s="284">
        <v>3892000</v>
      </c>
      <c r="J95" s="285">
        <v>0</v>
      </c>
      <c r="K95" s="285">
        <v>0</v>
      </c>
      <c r="L95" s="285">
        <v>0</v>
      </c>
      <c r="M95" s="285">
        <v>0</v>
      </c>
      <c r="N95" s="285">
        <v>0</v>
      </c>
      <c r="O95" s="285">
        <v>3892000</v>
      </c>
      <c r="P95" s="285">
        <v>0</v>
      </c>
      <c r="Q95" s="285">
        <v>0</v>
      </c>
      <c r="R95" s="286">
        <f>SUM(J95:Q95)</f>
        <v>3892000</v>
      </c>
      <c r="S95" s="287">
        <f>I95-R95</f>
        <v>0</v>
      </c>
      <c r="T95" s="288">
        <f>G95-I95</f>
        <v>0</v>
      </c>
      <c r="U95" s="289">
        <v>17</v>
      </c>
      <c r="V95" s="290">
        <f t="shared" si="1"/>
        <v>228941.17647058822</v>
      </c>
      <c r="X95" s="329"/>
      <c r="Y95" s="285"/>
      <c r="Z95" s="285"/>
      <c r="AA95" s="285"/>
      <c r="AB95" s="285"/>
      <c r="AC95" s="285"/>
      <c r="AD95" s="285"/>
      <c r="AE95" s="285"/>
    </row>
    <row r="96" spans="1:31" ht="18.95" customHeight="1">
      <c r="A96" s="312"/>
      <c r="B96" s="279"/>
      <c r="C96" s="280" t="s">
        <v>115</v>
      </c>
      <c r="D96" s="281" t="s">
        <v>43</v>
      </c>
      <c r="E96" s="282">
        <v>62300</v>
      </c>
      <c r="F96" s="283"/>
      <c r="G96" s="282">
        <v>0</v>
      </c>
      <c r="H96" s="283"/>
      <c r="I96" s="284">
        <v>0</v>
      </c>
      <c r="J96" s="285">
        <v>0</v>
      </c>
      <c r="K96" s="285">
        <v>0</v>
      </c>
      <c r="L96" s="285">
        <v>0</v>
      </c>
      <c r="M96" s="285">
        <v>0</v>
      </c>
      <c r="N96" s="285">
        <v>0</v>
      </c>
      <c r="O96" s="285">
        <v>0</v>
      </c>
      <c r="P96" s="285">
        <v>0</v>
      </c>
      <c r="Q96" s="285">
        <v>0</v>
      </c>
      <c r="R96" s="286">
        <f>SUM(J96:Q96)</f>
        <v>0</v>
      </c>
      <c r="S96" s="287">
        <f>I96-R96</f>
        <v>0</v>
      </c>
      <c r="T96" s="288">
        <f>G96-I96</f>
        <v>0</v>
      </c>
      <c r="U96" s="289">
        <v>0</v>
      </c>
      <c r="V96" s="290" t="e">
        <f t="shared" si="1"/>
        <v>#DIV/0!</v>
      </c>
      <c r="X96" s="329"/>
      <c r="Y96" s="285"/>
      <c r="Z96" s="285"/>
      <c r="AA96" s="285"/>
      <c r="AB96" s="285"/>
      <c r="AC96" s="285"/>
      <c r="AD96" s="285"/>
      <c r="AE96" s="285"/>
    </row>
    <row r="97" spans="1:31" ht="18.95" customHeight="1">
      <c r="A97" s="312"/>
      <c r="B97" s="279"/>
      <c r="C97" s="280" t="s">
        <v>117</v>
      </c>
      <c r="D97" s="281" t="s">
        <v>43</v>
      </c>
      <c r="E97" s="282">
        <v>0</v>
      </c>
      <c r="F97" s="283"/>
      <c r="G97" s="282">
        <v>0</v>
      </c>
      <c r="H97" s="283"/>
      <c r="I97" s="284">
        <v>0</v>
      </c>
      <c r="J97" s="285">
        <v>0</v>
      </c>
      <c r="K97" s="285">
        <v>0</v>
      </c>
      <c r="L97" s="285">
        <v>0</v>
      </c>
      <c r="M97" s="285">
        <v>0</v>
      </c>
      <c r="N97" s="285">
        <v>0</v>
      </c>
      <c r="O97" s="285">
        <v>0</v>
      </c>
      <c r="P97" s="285">
        <v>0</v>
      </c>
      <c r="Q97" s="285">
        <v>0</v>
      </c>
      <c r="R97" s="286">
        <f>SUM(J97:Q97)</f>
        <v>0</v>
      </c>
      <c r="S97" s="287">
        <f>I97-R97</f>
        <v>0</v>
      </c>
      <c r="T97" s="288">
        <f>G97-I97</f>
        <v>0</v>
      </c>
      <c r="U97" s="289">
        <v>0</v>
      </c>
      <c r="V97" s="290" t="e">
        <f t="shared" si="1"/>
        <v>#DIV/0!</v>
      </c>
      <c r="X97" s="329"/>
      <c r="Y97" s="285"/>
      <c r="Z97" s="285"/>
      <c r="AA97" s="285"/>
      <c r="AB97" s="285"/>
      <c r="AC97" s="285"/>
      <c r="AD97" s="285"/>
      <c r="AE97" s="285"/>
    </row>
    <row r="98" spans="1:31" ht="18.95" customHeight="1">
      <c r="A98" s="312"/>
      <c r="B98" s="279"/>
      <c r="C98" s="280" t="s">
        <v>116</v>
      </c>
      <c r="D98" s="281" t="s">
        <v>43</v>
      </c>
      <c r="E98" s="282">
        <v>0</v>
      </c>
      <c r="F98" s="283"/>
      <c r="G98" s="282">
        <v>0</v>
      </c>
      <c r="H98" s="283"/>
      <c r="I98" s="284">
        <v>0</v>
      </c>
      <c r="J98" s="285">
        <v>0</v>
      </c>
      <c r="K98" s="285">
        <v>0</v>
      </c>
      <c r="L98" s="285">
        <v>0</v>
      </c>
      <c r="M98" s="285">
        <v>0</v>
      </c>
      <c r="N98" s="285">
        <v>0</v>
      </c>
      <c r="O98" s="285">
        <v>0</v>
      </c>
      <c r="P98" s="285">
        <v>0</v>
      </c>
      <c r="Q98" s="285">
        <v>0</v>
      </c>
      <c r="R98" s="286">
        <f>SUM(J98:Q98)</f>
        <v>0</v>
      </c>
      <c r="S98" s="287">
        <f>I98-R98</f>
        <v>0</v>
      </c>
      <c r="T98" s="288">
        <f>G98-I98</f>
        <v>0</v>
      </c>
      <c r="U98" s="289">
        <v>0</v>
      </c>
      <c r="V98" s="290" t="e">
        <f t="shared" si="1"/>
        <v>#DIV/0!</v>
      </c>
      <c r="X98" s="329"/>
      <c r="Y98" s="285"/>
      <c r="Z98" s="285"/>
      <c r="AA98" s="285"/>
      <c r="AB98" s="285"/>
      <c r="AC98" s="285"/>
      <c r="AD98" s="285"/>
      <c r="AE98" s="285"/>
    </row>
    <row r="99" spans="1:31" ht="18.95" customHeight="1">
      <c r="A99" s="313"/>
      <c r="B99" s="279"/>
      <c r="C99" s="280" t="s">
        <v>118</v>
      </c>
      <c r="D99" s="281" t="s">
        <v>43</v>
      </c>
      <c r="E99" s="282">
        <v>0</v>
      </c>
      <c r="F99" s="283"/>
      <c r="G99" s="282">
        <v>0</v>
      </c>
      <c r="H99" s="283"/>
      <c r="I99" s="284">
        <v>0</v>
      </c>
      <c r="J99" s="285">
        <v>0</v>
      </c>
      <c r="K99" s="285">
        <v>0</v>
      </c>
      <c r="L99" s="285">
        <v>0</v>
      </c>
      <c r="M99" s="285">
        <v>0</v>
      </c>
      <c r="N99" s="285">
        <v>0</v>
      </c>
      <c r="O99" s="285">
        <v>0</v>
      </c>
      <c r="P99" s="285">
        <v>0</v>
      </c>
      <c r="Q99" s="285">
        <v>0</v>
      </c>
      <c r="R99" s="286">
        <f>SUM(J99:Q99)</f>
        <v>0</v>
      </c>
      <c r="S99" s="287">
        <f>I99-R99</f>
        <v>0</v>
      </c>
      <c r="T99" s="288">
        <f>G99-I99</f>
        <v>0</v>
      </c>
      <c r="U99" s="289">
        <v>0</v>
      </c>
      <c r="V99" s="290" t="e">
        <f t="shared" si="1"/>
        <v>#DIV/0!</v>
      </c>
      <c r="X99" s="329"/>
      <c r="Y99" s="285"/>
      <c r="Z99" s="285"/>
      <c r="AA99" s="285"/>
      <c r="AB99" s="285"/>
      <c r="AC99" s="285"/>
      <c r="AD99" s="285"/>
      <c r="AE99" s="285"/>
    </row>
    <row r="100" spans="1:31" ht="18.95" customHeight="1">
      <c r="A100" s="314" t="s">
        <v>119</v>
      </c>
      <c r="B100" s="291" t="s">
        <v>38</v>
      </c>
      <c r="C100" s="292" t="s">
        <v>120</v>
      </c>
      <c r="D100" s="293" t="s">
        <v>40</v>
      </c>
      <c r="E100" s="294">
        <v>1539000</v>
      </c>
      <c r="F100" s="295"/>
      <c r="G100" s="294">
        <v>1556560</v>
      </c>
      <c r="H100" s="295"/>
      <c r="I100" s="296">
        <v>1556560</v>
      </c>
      <c r="J100" s="273">
        <v>0</v>
      </c>
      <c r="K100" s="273">
        <v>0</v>
      </c>
      <c r="L100" s="273">
        <v>0</v>
      </c>
      <c r="M100" s="273">
        <v>0</v>
      </c>
      <c r="N100" s="273">
        <v>0</v>
      </c>
      <c r="O100" s="273">
        <v>0</v>
      </c>
      <c r="P100" s="273">
        <v>0</v>
      </c>
      <c r="Q100" s="273">
        <v>0</v>
      </c>
      <c r="R100" s="274">
        <f>SUM(J100:Q100)</f>
        <v>0</v>
      </c>
      <c r="S100" s="275">
        <f>I100-R100</f>
        <v>1556560</v>
      </c>
      <c r="T100" s="276">
        <f>G100-I100</f>
        <v>0</v>
      </c>
      <c r="U100" s="297">
        <v>0</v>
      </c>
      <c r="V100" s="278" t="e">
        <f t="shared" si="1"/>
        <v>#DIV/0!</v>
      </c>
      <c r="X100" s="328"/>
      <c r="Y100" s="273"/>
      <c r="Z100" s="273"/>
      <c r="AA100" s="273"/>
      <c r="AB100" s="273"/>
      <c r="AC100" s="273"/>
      <c r="AD100" s="273"/>
      <c r="AE100" s="273"/>
    </row>
    <row r="101" spans="1:31" ht="18.95" customHeight="1">
      <c r="A101" s="312"/>
      <c r="B101" s="279"/>
      <c r="C101" s="280" t="s">
        <v>120</v>
      </c>
      <c r="D101" s="281" t="s">
        <v>43</v>
      </c>
      <c r="E101" s="282">
        <v>0</v>
      </c>
      <c r="F101" s="283"/>
      <c r="G101" s="282">
        <v>0</v>
      </c>
      <c r="H101" s="283"/>
      <c r="I101" s="284">
        <v>0</v>
      </c>
      <c r="J101" s="285">
        <v>0</v>
      </c>
      <c r="K101" s="285">
        <v>0</v>
      </c>
      <c r="L101" s="285">
        <v>0</v>
      </c>
      <c r="M101" s="285">
        <v>0</v>
      </c>
      <c r="N101" s="285">
        <v>0</v>
      </c>
      <c r="O101" s="285">
        <v>0</v>
      </c>
      <c r="P101" s="285">
        <v>0</v>
      </c>
      <c r="Q101" s="285">
        <v>0</v>
      </c>
      <c r="R101" s="286">
        <f>SUM(J101:Q101)</f>
        <v>0</v>
      </c>
      <c r="S101" s="287">
        <f>I101-R101</f>
        <v>0</v>
      </c>
      <c r="T101" s="288">
        <f>G101-I101</f>
        <v>0</v>
      </c>
      <c r="U101" s="289">
        <v>0</v>
      </c>
      <c r="V101" s="290" t="e">
        <f t="shared" si="1"/>
        <v>#DIV/0!</v>
      </c>
      <c r="X101" s="329"/>
      <c r="Y101" s="285"/>
      <c r="Z101" s="285"/>
      <c r="AA101" s="285"/>
      <c r="AB101" s="285"/>
      <c r="AC101" s="285"/>
      <c r="AD101" s="285"/>
      <c r="AE101" s="285"/>
    </row>
    <row r="102" spans="1:31" ht="18.95" customHeight="1">
      <c r="A102" s="313"/>
      <c r="B102" s="279"/>
      <c r="C102" s="280" t="s">
        <v>121</v>
      </c>
      <c r="D102" s="281" t="s">
        <v>43</v>
      </c>
      <c r="E102" s="282">
        <v>0</v>
      </c>
      <c r="F102" s="283"/>
      <c r="G102" s="282">
        <v>0</v>
      </c>
      <c r="H102" s="283"/>
      <c r="I102" s="284">
        <v>0</v>
      </c>
      <c r="J102" s="285">
        <v>0</v>
      </c>
      <c r="K102" s="285">
        <v>0</v>
      </c>
      <c r="L102" s="285">
        <v>0</v>
      </c>
      <c r="M102" s="285">
        <v>0</v>
      </c>
      <c r="N102" s="285">
        <v>0</v>
      </c>
      <c r="O102" s="285">
        <v>0</v>
      </c>
      <c r="P102" s="285">
        <v>0</v>
      </c>
      <c r="Q102" s="285">
        <v>0</v>
      </c>
      <c r="R102" s="286">
        <f>SUM(J102:Q102)</f>
        <v>0</v>
      </c>
      <c r="S102" s="287">
        <f>I102-R102</f>
        <v>0</v>
      </c>
      <c r="T102" s="288">
        <f>G102-I102</f>
        <v>0</v>
      </c>
      <c r="U102" s="289">
        <v>0</v>
      </c>
      <c r="V102" s="290" t="e">
        <f t="shared" si="1"/>
        <v>#DIV/0!</v>
      </c>
      <c r="X102" s="329"/>
      <c r="Y102" s="285"/>
      <c r="Z102" s="285"/>
      <c r="AA102" s="285"/>
      <c r="AB102" s="285"/>
      <c r="AC102" s="285"/>
      <c r="AD102" s="285"/>
      <c r="AE102" s="285"/>
    </row>
    <row r="103" spans="1:31" ht="18.95" customHeight="1">
      <c r="A103" s="314" t="s">
        <v>122</v>
      </c>
      <c r="B103" s="291" t="s">
        <v>38</v>
      </c>
      <c r="C103" s="292" t="s">
        <v>123</v>
      </c>
      <c r="D103" s="293" t="s">
        <v>40</v>
      </c>
      <c r="E103" s="294">
        <v>2525000</v>
      </c>
      <c r="F103" s="295"/>
      <c r="G103" s="294">
        <v>3351500</v>
      </c>
      <c r="H103" s="295"/>
      <c r="I103" s="296">
        <v>2851450</v>
      </c>
      <c r="J103" s="273">
        <v>0</v>
      </c>
      <c r="K103" s="273">
        <v>0</v>
      </c>
      <c r="L103" s="273">
        <v>600000</v>
      </c>
      <c r="M103" s="273">
        <v>90000</v>
      </c>
      <c r="N103" s="273">
        <v>0</v>
      </c>
      <c r="O103" s="273">
        <v>690000</v>
      </c>
      <c r="P103" s="273">
        <v>0</v>
      </c>
      <c r="Q103" s="273">
        <v>0</v>
      </c>
      <c r="R103" s="274">
        <f>SUM(J103:Q103)</f>
        <v>1380000</v>
      </c>
      <c r="S103" s="275">
        <f>I103-R103</f>
        <v>1471450</v>
      </c>
      <c r="T103" s="276">
        <f>G103-I103</f>
        <v>500050</v>
      </c>
      <c r="U103" s="297">
        <v>27</v>
      </c>
      <c r="V103" s="278">
        <f t="shared" si="1"/>
        <v>51111.111111111109</v>
      </c>
      <c r="X103" s="328"/>
      <c r="Y103" s="273"/>
      <c r="Z103" s="273"/>
      <c r="AA103" s="273"/>
      <c r="AB103" s="273"/>
      <c r="AC103" s="273"/>
      <c r="AD103" s="273"/>
      <c r="AE103" s="273"/>
    </row>
    <row r="104" spans="1:31" ht="18.95" customHeight="1">
      <c r="A104" s="312"/>
      <c r="B104" s="279" t="s">
        <v>124</v>
      </c>
      <c r="C104" s="280" t="s">
        <v>123</v>
      </c>
      <c r="D104" s="281" t="s">
        <v>125</v>
      </c>
      <c r="E104" s="282">
        <v>500000</v>
      </c>
      <c r="F104" s="283"/>
      <c r="G104" s="282">
        <v>0</v>
      </c>
      <c r="H104" s="283"/>
      <c r="I104" s="284">
        <v>527000</v>
      </c>
      <c r="J104" s="285">
        <v>0</v>
      </c>
      <c r="K104" s="285">
        <v>0</v>
      </c>
      <c r="L104" s="285">
        <v>0</v>
      </c>
      <c r="M104" s="285">
        <v>0</v>
      </c>
      <c r="N104" s="285">
        <v>0</v>
      </c>
      <c r="O104" s="285">
        <v>527000</v>
      </c>
      <c r="P104" s="285">
        <v>0</v>
      </c>
      <c r="Q104" s="285">
        <v>0</v>
      </c>
      <c r="R104" s="286">
        <f>SUM(J104:Q104)</f>
        <v>527000</v>
      </c>
      <c r="S104" s="287">
        <f>I104-R104</f>
        <v>0</v>
      </c>
      <c r="T104" s="288">
        <f>G104-I104</f>
        <v>-527000</v>
      </c>
      <c r="U104" s="289">
        <v>0</v>
      </c>
      <c r="V104" s="290" t="e">
        <f t="shared" si="1"/>
        <v>#DIV/0!</v>
      </c>
      <c r="X104" s="329"/>
      <c r="Y104" s="285"/>
      <c r="Z104" s="285"/>
      <c r="AA104" s="285"/>
      <c r="AB104" s="285"/>
      <c r="AC104" s="285"/>
      <c r="AD104" s="285"/>
      <c r="AE104" s="285"/>
    </row>
    <row r="105" spans="1:31" ht="18.95" customHeight="1">
      <c r="A105" s="312"/>
      <c r="B105" s="279" t="s">
        <v>124</v>
      </c>
      <c r="C105" s="280" t="s">
        <v>123</v>
      </c>
      <c r="D105" s="281" t="s">
        <v>43</v>
      </c>
      <c r="E105" s="282">
        <v>0</v>
      </c>
      <c r="F105" s="283"/>
      <c r="G105" s="282">
        <v>0</v>
      </c>
      <c r="H105" s="283"/>
      <c r="I105" s="284">
        <v>0</v>
      </c>
      <c r="J105" s="285">
        <v>0</v>
      </c>
      <c r="K105" s="285">
        <v>0</v>
      </c>
      <c r="L105" s="285">
        <v>0</v>
      </c>
      <c r="M105" s="285">
        <v>0</v>
      </c>
      <c r="N105" s="285">
        <v>30000</v>
      </c>
      <c r="O105" s="285">
        <v>0</v>
      </c>
      <c r="P105" s="285">
        <v>0</v>
      </c>
      <c r="Q105" s="285">
        <v>0</v>
      </c>
      <c r="R105" s="286">
        <f>SUM(J105:Q105)</f>
        <v>30000</v>
      </c>
      <c r="S105" s="287">
        <f>I105-R105</f>
        <v>-30000</v>
      </c>
      <c r="T105" s="288">
        <f>G105-I105</f>
        <v>0</v>
      </c>
      <c r="U105" s="289">
        <v>0</v>
      </c>
      <c r="V105" s="290" t="e">
        <f t="shared" si="1"/>
        <v>#DIV/0!</v>
      </c>
      <c r="X105" s="329"/>
      <c r="Y105" s="285"/>
      <c r="Z105" s="285"/>
      <c r="AA105" s="285"/>
      <c r="AB105" s="285"/>
      <c r="AC105" s="285"/>
      <c r="AD105" s="285"/>
      <c r="AE105" s="285"/>
    </row>
    <row r="106" spans="1:31" ht="18.95" customHeight="1">
      <c r="A106" s="312"/>
      <c r="B106" s="279" t="s">
        <v>46</v>
      </c>
      <c r="C106" s="280" t="s">
        <v>126</v>
      </c>
      <c r="D106" s="281" t="s">
        <v>127</v>
      </c>
      <c r="E106" s="282">
        <v>3285050</v>
      </c>
      <c r="F106" s="283"/>
      <c r="G106" s="282">
        <v>2000000</v>
      </c>
      <c r="H106" s="283"/>
      <c r="I106" s="284">
        <v>2000000</v>
      </c>
      <c r="J106" s="285">
        <v>0</v>
      </c>
      <c r="K106" s="285">
        <v>0</v>
      </c>
      <c r="L106" s="285">
        <v>0</v>
      </c>
      <c r="M106" s="285">
        <v>0</v>
      </c>
      <c r="N106" s="285">
        <v>0</v>
      </c>
      <c r="O106" s="285">
        <v>0</v>
      </c>
      <c r="P106" s="285">
        <v>0</v>
      </c>
      <c r="Q106" s="285">
        <v>0</v>
      </c>
      <c r="R106" s="286">
        <f>SUM(J106:Q106)</f>
        <v>0</v>
      </c>
      <c r="S106" s="287">
        <f>I106-R106</f>
        <v>2000000</v>
      </c>
      <c r="T106" s="288">
        <f>G106-I106</f>
        <v>0</v>
      </c>
      <c r="U106" s="289">
        <v>0</v>
      </c>
      <c r="V106" s="290" t="e">
        <f t="shared" si="1"/>
        <v>#DIV/0!</v>
      </c>
      <c r="X106" s="329"/>
      <c r="Y106" s="285"/>
      <c r="Z106" s="285"/>
      <c r="AA106" s="285"/>
      <c r="AB106" s="285"/>
      <c r="AC106" s="285"/>
      <c r="AD106" s="285"/>
      <c r="AE106" s="285"/>
    </row>
    <row r="107" spans="1:31" ht="18.95" customHeight="1">
      <c r="A107" s="312"/>
      <c r="B107" s="279" t="s">
        <v>46</v>
      </c>
      <c r="C107" s="280" t="s">
        <v>123</v>
      </c>
      <c r="D107" s="281" t="s">
        <v>43</v>
      </c>
      <c r="E107" s="282">
        <v>0</v>
      </c>
      <c r="F107" s="283"/>
      <c r="G107" s="282">
        <v>0</v>
      </c>
      <c r="H107" s="283"/>
      <c r="I107" s="284">
        <v>0</v>
      </c>
      <c r="J107" s="285">
        <v>0</v>
      </c>
      <c r="K107" s="285">
        <v>0</v>
      </c>
      <c r="L107" s="285">
        <v>0</v>
      </c>
      <c r="M107" s="285">
        <v>108000</v>
      </c>
      <c r="N107" s="285">
        <v>0</v>
      </c>
      <c r="O107" s="285">
        <v>54000</v>
      </c>
      <c r="P107" s="285">
        <v>0</v>
      </c>
      <c r="Q107" s="285">
        <v>0</v>
      </c>
      <c r="R107" s="286">
        <f>SUM(J107:Q107)</f>
        <v>162000</v>
      </c>
      <c r="S107" s="287">
        <f>I107-R107</f>
        <v>-162000</v>
      </c>
      <c r="T107" s="288">
        <f>G107-I107</f>
        <v>0</v>
      </c>
      <c r="U107" s="289">
        <v>2</v>
      </c>
      <c r="V107" s="290">
        <f t="shared" si="1"/>
        <v>81000</v>
      </c>
      <c r="X107" s="329"/>
      <c r="Y107" s="285"/>
      <c r="Z107" s="285"/>
      <c r="AA107" s="285"/>
      <c r="AB107" s="285"/>
      <c r="AC107" s="285"/>
      <c r="AD107" s="285"/>
      <c r="AE107" s="285"/>
    </row>
    <row r="108" spans="1:31" ht="18.95" customHeight="1">
      <c r="A108" s="312"/>
      <c r="B108" s="279" t="s">
        <v>128</v>
      </c>
      <c r="C108" s="280" t="s">
        <v>123</v>
      </c>
      <c r="D108" s="281" t="s">
        <v>43</v>
      </c>
      <c r="E108" s="282">
        <v>0</v>
      </c>
      <c r="F108" s="283"/>
      <c r="G108" s="282">
        <v>0</v>
      </c>
      <c r="H108" s="283"/>
      <c r="I108" s="284">
        <v>0</v>
      </c>
      <c r="J108" s="285">
        <v>0</v>
      </c>
      <c r="K108" s="285">
        <v>0</v>
      </c>
      <c r="L108" s="285">
        <v>155000</v>
      </c>
      <c r="M108" s="285">
        <v>0</v>
      </c>
      <c r="N108" s="285">
        <v>0</v>
      </c>
      <c r="O108" s="285">
        <v>0</v>
      </c>
      <c r="P108" s="285">
        <v>0</v>
      </c>
      <c r="Q108" s="285">
        <v>0</v>
      </c>
      <c r="R108" s="286">
        <f>SUM(J108:Q108)</f>
        <v>155000</v>
      </c>
      <c r="S108" s="287">
        <f>I108-R108</f>
        <v>-155000</v>
      </c>
      <c r="T108" s="288">
        <f>G108-I108</f>
        <v>0</v>
      </c>
      <c r="U108" s="289">
        <v>0</v>
      </c>
      <c r="V108" s="290" t="e">
        <f t="shared" si="1"/>
        <v>#DIV/0!</v>
      </c>
      <c r="X108" s="329"/>
      <c r="Y108" s="285"/>
      <c r="Z108" s="285"/>
      <c r="AA108" s="285"/>
      <c r="AB108" s="285"/>
      <c r="AC108" s="285"/>
      <c r="AD108" s="285"/>
      <c r="AE108" s="285"/>
    </row>
    <row r="109" spans="1:31" ht="18.95" customHeight="1">
      <c r="A109" s="312"/>
      <c r="B109" s="279" t="s">
        <v>129</v>
      </c>
      <c r="C109" s="280" t="s">
        <v>123</v>
      </c>
      <c r="D109" s="281" t="s">
        <v>43</v>
      </c>
      <c r="E109" s="282">
        <v>0</v>
      </c>
      <c r="F109" s="283"/>
      <c r="G109" s="282">
        <v>0</v>
      </c>
      <c r="H109" s="283"/>
      <c r="I109" s="284">
        <v>90000</v>
      </c>
      <c r="J109" s="285">
        <v>0</v>
      </c>
      <c r="K109" s="285">
        <v>0</v>
      </c>
      <c r="L109" s="285">
        <v>0</v>
      </c>
      <c r="M109" s="285">
        <v>90000</v>
      </c>
      <c r="N109" s="285">
        <v>0</v>
      </c>
      <c r="O109" s="285">
        <v>0</v>
      </c>
      <c r="P109" s="285">
        <v>0</v>
      </c>
      <c r="Q109" s="285">
        <v>0</v>
      </c>
      <c r="R109" s="286">
        <f>SUM(J109:Q109)</f>
        <v>90000</v>
      </c>
      <c r="S109" s="287">
        <f>I109-R109</f>
        <v>0</v>
      </c>
      <c r="T109" s="288">
        <f>G109-I109</f>
        <v>-90000</v>
      </c>
      <c r="U109" s="289">
        <v>4</v>
      </c>
      <c r="V109" s="290">
        <f t="shared" si="1"/>
        <v>22500</v>
      </c>
      <c r="X109" s="329"/>
      <c r="Y109" s="285"/>
      <c r="Z109" s="285"/>
      <c r="AA109" s="285"/>
      <c r="AB109" s="285"/>
      <c r="AC109" s="285"/>
      <c r="AD109" s="285"/>
      <c r="AE109" s="285"/>
    </row>
    <row r="110" spans="1:31" ht="18.95" customHeight="1">
      <c r="A110" s="312"/>
      <c r="B110" s="279" t="s">
        <v>99</v>
      </c>
      <c r="C110" s="280" t="s">
        <v>123</v>
      </c>
      <c r="D110" s="281" t="s">
        <v>43</v>
      </c>
      <c r="E110" s="282">
        <v>0</v>
      </c>
      <c r="F110" s="283"/>
      <c r="G110" s="282">
        <v>0</v>
      </c>
      <c r="H110" s="283"/>
      <c r="I110" s="284">
        <v>75000</v>
      </c>
      <c r="J110" s="285">
        <v>0</v>
      </c>
      <c r="K110" s="285">
        <v>0</v>
      </c>
      <c r="L110" s="285">
        <v>0</v>
      </c>
      <c r="M110" s="285">
        <v>25000</v>
      </c>
      <c r="N110" s="285">
        <v>0</v>
      </c>
      <c r="O110" s="285">
        <v>0</v>
      </c>
      <c r="P110" s="285">
        <v>0</v>
      </c>
      <c r="Q110" s="285">
        <v>0</v>
      </c>
      <c r="R110" s="286">
        <f>SUM(J110:Q110)</f>
        <v>25000</v>
      </c>
      <c r="S110" s="287">
        <f>I110-R110</f>
        <v>50000</v>
      </c>
      <c r="T110" s="288">
        <f>G110-I110</f>
        <v>-75000</v>
      </c>
      <c r="U110" s="289">
        <v>1</v>
      </c>
      <c r="V110" s="290">
        <f t="shared" si="1"/>
        <v>25000</v>
      </c>
      <c r="X110" s="329"/>
      <c r="Y110" s="285"/>
      <c r="Z110" s="285"/>
      <c r="AA110" s="285"/>
      <c r="AB110" s="285"/>
      <c r="AC110" s="285"/>
      <c r="AD110" s="285"/>
      <c r="AE110" s="285"/>
    </row>
    <row r="111" spans="1:31" ht="18.95" customHeight="1">
      <c r="A111" s="312"/>
      <c r="B111" s="279"/>
      <c r="C111" s="280" t="s">
        <v>126</v>
      </c>
      <c r="D111" s="281" t="s">
        <v>43</v>
      </c>
      <c r="E111" s="282">
        <v>100000</v>
      </c>
      <c r="F111" s="283"/>
      <c r="G111" s="282">
        <v>0</v>
      </c>
      <c r="H111" s="283"/>
      <c r="I111" s="284">
        <v>0</v>
      </c>
      <c r="J111" s="285">
        <v>0</v>
      </c>
      <c r="K111" s="285">
        <v>0</v>
      </c>
      <c r="L111" s="285">
        <v>0</v>
      </c>
      <c r="M111" s="285">
        <v>0</v>
      </c>
      <c r="N111" s="285">
        <v>0</v>
      </c>
      <c r="O111" s="285">
        <v>0</v>
      </c>
      <c r="P111" s="285">
        <v>0</v>
      </c>
      <c r="Q111" s="285">
        <v>0</v>
      </c>
      <c r="R111" s="286">
        <f>SUM(J111:Q111)</f>
        <v>0</v>
      </c>
      <c r="S111" s="287">
        <f>I111-R111</f>
        <v>0</v>
      </c>
      <c r="T111" s="288">
        <f>G111-I111</f>
        <v>0</v>
      </c>
      <c r="U111" s="289">
        <v>0</v>
      </c>
      <c r="V111" s="290" t="e">
        <f t="shared" si="1"/>
        <v>#DIV/0!</v>
      </c>
      <c r="X111" s="329"/>
      <c r="Y111" s="285"/>
      <c r="Z111" s="285"/>
      <c r="AA111" s="285"/>
      <c r="AB111" s="285"/>
      <c r="AC111" s="285"/>
      <c r="AD111" s="285"/>
      <c r="AE111" s="285"/>
    </row>
    <row r="112" spans="1:31" ht="18.95" customHeight="1">
      <c r="A112" s="312"/>
      <c r="B112" s="279"/>
      <c r="C112" s="280" t="s">
        <v>130</v>
      </c>
      <c r="D112" s="281" t="s">
        <v>43</v>
      </c>
      <c r="E112" s="282">
        <v>0</v>
      </c>
      <c r="F112" s="283"/>
      <c r="G112" s="282">
        <v>0</v>
      </c>
      <c r="H112" s="283"/>
      <c r="I112" s="284">
        <v>0</v>
      </c>
      <c r="J112" s="285">
        <v>0</v>
      </c>
      <c r="K112" s="285">
        <v>0</v>
      </c>
      <c r="L112" s="285">
        <v>0</v>
      </c>
      <c r="M112" s="285">
        <v>0</v>
      </c>
      <c r="N112" s="285">
        <v>0</v>
      </c>
      <c r="O112" s="285">
        <v>0</v>
      </c>
      <c r="P112" s="285">
        <v>0</v>
      </c>
      <c r="Q112" s="285">
        <v>0</v>
      </c>
      <c r="R112" s="286">
        <f>SUM(J112:Q112)</f>
        <v>0</v>
      </c>
      <c r="S112" s="287">
        <f>I112-R112</f>
        <v>0</v>
      </c>
      <c r="T112" s="288">
        <f>G112-I112</f>
        <v>0</v>
      </c>
      <c r="U112" s="289">
        <v>0</v>
      </c>
      <c r="V112" s="290" t="e">
        <f t="shared" si="1"/>
        <v>#DIV/0!</v>
      </c>
      <c r="X112" s="329"/>
      <c r="Y112" s="285"/>
      <c r="Z112" s="285"/>
      <c r="AA112" s="285"/>
      <c r="AB112" s="285"/>
      <c r="AC112" s="285"/>
      <c r="AD112" s="285"/>
      <c r="AE112" s="285"/>
    </row>
    <row r="113" spans="1:31" ht="18.95" customHeight="1">
      <c r="A113" s="312"/>
      <c r="B113" s="279"/>
      <c r="C113" s="280" t="s">
        <v>123</v>
      </c>
      <c r="D113" s="281" t="s">
        <v>43</v>
      </c>
      <c r="E113" s="282">
        <v>300000</v>
      </c>
      <c r="F113" s="283"/>
      <c r="G113" s="282">
        <v>200000</v>
      </c>
      <c r="H113" s="283"/>
      <c r="I113" s="284">
        <v>425000</v>
      </c>
      <c r="J113" s="285">
        <v>0</v>
      </c>
      <c r="K113" s="285">
        <v>0</v>
      </c>
      <c r="L113" s="285">
        <v>0</v>
      </c>
      <c r="M113" s="285">
        <v>0</v>
      </c>
      <c r="N113" s="285">
        <v>0</v>
      </c>
      <c r="O113" s="285">
        <v>0</v>
      </c>
      <c r="P113" s="285">
        <v>0</v>
      </c>
      <c r="Q113" s="285">
        <v>0</v>
      </c>
      <c r="R113" s="286">
        <f>SUM(J113:Q113)</f>
        <v>0</v>
      </c>
      <c r="S113" s="287">
        <f>I113-R113</f>
        <v>425000</v>
      </c>
      <c r="T113" s="288">
        <f>G113-I113</f>
        <v>-225000</v>
      </c>
      <c r="U113" s="289">
        <v>0</v>
      </c>
      <c r="V113" s="290" t="e">
        <f t="shared" si="1"/>
        <v>#DIV/0!</v>
      </c>
      <c r="X113" s="329"/>
      <c r="Y113" s="285"/>
      <c r="Z113" s="285"/>
      <c r="AA113" s="285"/>
      <c r="AB113" s="285"/>
      <c r="AC113" s="285"/>
      <c r="AD113" s="285"/>
      <c r="AE113" s="285"/>
    </row>
    <row r="114" spans="1:31" ht="18.95" customHeight="1">
      <c r="A114" s="313"/>
      <c r="B114" s="279"/>
      <c r="C114" s="280" t="s">
        <v>131</v>
      </c>
      <c r="D114" s="281" t="s">
        <v>43</v>
      </c>
      <c r="E114" s="282">
        <v>0</v>
      </c>
      <c r="F114" s="283"/>
      <c r="G114" s="282">
        <v>0</v>
      </c>
      <c r="H114" s="283"/>
      <c r="I114" s="284">
        <v>0</v>
      </c>
      <c r="J114" s="285">
        <v>0</v>
      </c>
      <c r="K114" s="285">
        <v>0</v>
      </c>
      <c r="L114" s="285">
        <v>0</v>
      </c>
      <c r="M114" s="285">
        <v>0</v>
      </c>
      <c r="N114" s="285">
        <v>0</v>
      </c>
      <c r="O114" s="285">
        <v>0</v>
      </c>
      <c r="P114" s="285">
        <v>0</v>
      </c>
      <c r="Q114" s="285">
        <v>0</v>
      </c>
      <c r="R114" s="286">
        <f>SUM(J114:Q114)</f>
        <v>0</v>
      </c>
      <c r="S114" s="287">
        <f>I114-R114</f>
        <v>0</v>
      </c>
      <c r="T114" s="288">
        <f>G114-I114</f>
        <v>0</v>
      </c>
      <c r="U114" s="289">
        <v>0</v>
      </c>
      <c r="V114" s="290" t="e">
        <f t="shared" si="1"/>
        <v>#DIV/0!</v>
      </c>
      <c r="X114" s="329"/>
      <c r="Y114" s="285"/>
      <c r="Z114" s="285"/>
      <c r="AA114" s="285"/>
      <c r="AB114" s="285"/>
      <c r="AC114" s="285"/>
      <c r="AD114" s="285"/>
      <c r="AE114" s="285"/>
    </row>
    <row r="115" spans="1:31" ht="18.95" customHeight="1">
      <c r="A115" s="314" t="s">
        <v>132</v>
      </c>
      <c r="B115" s="291" t="s">
        <v>38</v>
      </c>
      <c r="C115" s="292" t="s">
        <v>133</v>
      </c>
      <c r="D115" s="293" t="s">
        <v>40</v>
      </c>
      <c r="E115" s="294">
        <v>607100</v>
      </c>
      <c r="F115" s="295"/>
      <c r="G115" s="294">
        <v>477250</v>
      </c>
      <c r="H115" s="295"/>
      <c r="I115" s="296">
        <v>477250</v>
      </c>
      <c r="J115" s="273">
        <v>0</v>
      </c>
      <c r="K115" s="273">
        <v>0</v>
      </c>
      <c r="L115" s="273">
        <v>0</v>
      </c>
      <c r="M115" s="273">
        <v>0</v>
      </c>
      <c r="N115" s="273">
        <v>0</v>
      </c>
      <c r="O115" s="273">
        <v>0</v>
      </c>
      <c r="P115" s="273">
        <v>0</v>
      </c>
      <c r="Q115" s="273">
        <v>0</v>
      </c>
      <c r="R115" s="274">
        <f>SUM(J115:Q115)</f>
        <v>0</v>
      </c>
      <c r="S115" s="275">
        <f>I115-R115</f>
        <v>477250</v>
      </c>
      <c r="T115" s="276">
        <f>G115-I115</f>
        <v>0</v>
      </c>
      <c r="U115" s="297">
        <v>0</v>
      </c>
      <c r="V115" s="278" t="e">
        <f t="shared" si="1"/>
        <v>#DIV/0!</v>
      </c>
      <c r="X115" s="328"/>
      <c r="Y115" s="273"/>
      <c r="Z115" s="273"/>
      <c r="AA115" s="273"/>
      <c r="AB115" s="273"/>
      <c r="AC115" s="273"/>
      <c r="AD115" s="273"/>
      <c r="AE115" s="273"/>
    </row>
    <row r="116" spans="1:31" ht="18.95" customHeight="1">
      <c r="A116" s="312"/>
      <c r="B116" s="279"/>
      <c r="C116" s="280" t="s">
        <v>133</v>
      </c>
      <c r="D116" s="281" t="s">
        <v>43</v>
      </c>
      <c r="E116" s="282">
        <v>150000</v>
      </c>
      <c r="F116" s="283"/>
      <c r="G116" s="282">
        <v>0</v>
      </c>
      <c r="H116" s="283"/>
      <c r="I116" s="284">
        <v>0</v>
      </c>
      <c r="J116" s="285">
        <v>0</v>
      </c>
      <c r="K116" s="285">
        <v>0</v>
      </c>
      <c r="L116" s="285">
        <v>0</v>
      </c>
      <c r="M116" s="285">
        <v>0</v>
      </c>
      <c r="N116" s="285">
        <v>0</v>
      </c>
      <c r="O116" s="285">
        <v>0</v>
      </c>
      <c r="P116" s="285">
        <v>0</v>
      </c>
      <c r="Q116" s="285">
        <v>0</v>
      </c>
      <c r="R116" s="286">
        <f>SUM(J116:Q116)</f>
        <v>0</v>
      </c>
      <c r="S116" s="287">
        <f>I116-R116</f>
        <v>0</v>
      </c>
      <c r="T116" s="288">
        <f>G116-I116</f>
        <v>0</v>
      </c>
      <c r="U116" s="289">
        <v>0</v>
      </c>
      <c r="V116" s="290" t="e">
        <f t="shared" si="1"/>
        <v>#DIV/0!</v>
      </c>
      <c r="X116" s="329"/>
      <c r="Y116" s="285"/>
      <c r="Z116" s="285"/>
      <c r="AA116" s="285"/>
      <c r="AB116" s="285"/>
      <c r="AC116" s="285"/>
      <c r="AD116" s="285"/>
      <c r="AE116" s="285"/>
    </row>
    <row r="117" spans="1:31" ht="18.95" customHeight="1" thickBot="1">
      <c r="A117" s="315"/>
      <c r="B117" s="299"/>
      <c r="C117" s="300" t="s">
        <v>134</v>
      </c>
      <c r="D117" s="301" t="s">
        <v>43</v>
      </c>
      <c r="E117" s="302">
        <v>0</v>
      </c>
      <c r="F117" s="303"/>
      <c r="G117" s="302">
        <v>0</v>
      </c>
      <c r="H117" s="303"/>
      <c r="I117" s="304">
        <v>0</v>
      </c>
      <c r="J117" s="305">
        <v>0</v>
      </c>
      <c r="K117" s="305">
        <v>0</v>
      </c>
      <c r="L117" s="305">
        <v>0</v>
      </c>
      <c r="M117" s="305">
        <v>0</v>
      </c>
      <c r="N117" s="305">
        <v>0</v>
      </c>
      <c r="O117" s="305">
        <v>0</v>
      </c>
      <c r="P117" s="305">
        <v>0</v>
      </c>
      <c r="Q117" s="305">
        <v>0</v>
      </c>
      <c r="R117" s="306">
        <f>SUM(J117:Q117)</f>
        <v>0</v>
      </c>
      <c r="S117" s="307">
        <f>I117-R117</f>
        <v>0</v>
      </c>
      <c r="T117" s="308">
        <f>G117-I117</f>
        <v>0</v>
      </c>
      <c r="U117" s="309">
        <v>0</v>
      </c>
      <c r="V117" s="310" t="e">
        <f t="shared" si="1"/>
        <v>#DIV/0!</v>
      </c>
      <c r="X117" s="330"/>
      <c r="Y117" s="305"/>
      <c r="Z117" s="305"/>
      <c r="AA117" s="305"/>
      <c r="AB117" s="305"/>
      <c r="AC117" s="305"/>
      <c r="AD117" s="305"/>
      <c r="AE117" s="305"/>
    </row>
    <row r="118" spans="1:31" ht="18.95" customHeight="1" thickTop="1" thickBot="1">
      <c r="A118" s="27"/>
      <c r="B118" s="28" t="s">
        <v>12</v>
      </c>
      <c r="C118" s="29"/>
      <c r="D118" s="29"/>
      <c r="E118" s="187">
        <f>SUM(E7:F117)</f>
        <v>68199585</v>
      </c>
      <c r="F118" s="188"/>
      <c r="G118" s="187">
        <f>SUM(G7:H117)</f>
        <v>66523590</v>
      </c>
      <c r="H118" s="188"/>
      <c r="I118" s="87">
        <f>SUM(I7:I117)</f>
        <v>73978400</v>
      </c>
      <c r="J118" s="30"/>
      <c r="K118" s="30"/>
      <c r="L118" s="30"/>
      <c r="M118" s="30"/>
      <c r="N118" s="30"/>
      <c r="O118" s="30"/>
      <c r="P118" s="30"/>
      <c r="Q118" s="30"/>
      <c r="R118" s="32">
        <f>SUM(R7:R117)</f>
        <v>52413802</v>
      </c>
      <c r="S118" s="32">
        <f>SUM(S7:S117)</f>
        <v>21564598</v>
      </c>
      <c r="T118" s="33">
        <f>SUM(T7:T117)</f>
        <v>-7454810</v>
      </c>
      <c r="U118" s="298">
        <f>SUM(U7:U117)</f>
        <v>478</v>
      </c>
      <c r="V118" s="34"/>
    </row>
    <row r="119" spans="1:31" ht="15" customHeight="1" thickTop="1">
      <c r="A119" s="189"/>
      <c r="B119" s="190"/>
      <c r="C119" s="190"/>
      <c r="D119" s="190"/>
      <c r="E119" s="191"/>
      <c r="F119" s="191"/>
      <c r="G119" s="191"/>
      <c r="H119" s="191"/>
      <c r="I119" s="191"/>
      <c r="J119" s="190"/>
      <c r="K119" s="190"/>
      <c r="L119" s="190"/>
      <c r="M119" s="190"/>
      <c r="N119" s="190"/>
      <c r="O119" s="190"/>
      <c r="P119" s="190"/>
      <c r="Q119" s="190"/>
      <c r="R119" s="190"/>
      <c r="S119" s="190"/>
      <c r="T119" s="190"/>
      <c r="U119" s="191"/>
      <c r="V119" s="192"/>
    </row>
    <row r="120" spans="1:31" ht="18.95" customHeight="1">
      <c r="A120" s="97"/>
      <c r="B120" s="98" t="s">
        <v>13</v>
      </c>
      <c r="C120" s="98"/>
      <c r="D120" s="99"/>
      <c r="E120" s="193" t="s">
        <v>32</v>
      </c>
      <c r="F120" s="194"/>
      <c r="G120" s="193" t="s">
        <v>14</v>
      </c>
      <c r="H120" s="194"/>
      <c r="I120" s="100" t="s">
        <v>15</v>
      </c>
      <c r="J120" s="101"/>
      <c r="K120" s="101"/>
      <c r="L120" s="101"/>
      <c r="M120" s="101"/>
      <c r="N120" s="101"/>
      <c r="O120" s="101"/>
      <c r="P120" s="101"/>
      <c r="Q120" s="101"/>
      <c r="R120" s="101"/>
      <c r="S120" s="102"/>
      <c r="T120" s="103"/>
      <c r="U120" s="103"/>
      <c r="V120" s="104"/>
    </row>
    <row r="121" spans="1:31" ht="18.95" customHeight="1">
      <c r="A121" s="105"/>
      <c r="B121" s="107"/>
      <c r="C121" s="80"/>
      <c r="D121" s="158"/>
      <c r="E121" s="183"/>
      <c r="F121" s="184"/>
      <c r="G121" s="183"/>
      <c r="H121" s="184"/>
      <c r="I121" s="108"/>
      <c r="J121" s="20"/>
      <c r="K121" s="20"/>
      <c r="L121" s="20"/>
      <c r="M121" s="20"/>
      <c r="N121" s="20"/>
      <c r="O121" s="20"/>
      <c r="P121" s="20"/>
      <c r="Q121" s="20"/>
      <c r="R121" s="81">
        <f>SUM(J121:Q121)</f>
        <v>0</v>
      </c>
      <c r="S121" s="23">
        <f>I121-R121</f>
        <v>0</v>
      </c>
      <c r="T121" s="24">
        <f>G121-I121</f>
        <v>0</v>
      </c>
      <c r="U121" s="68"/>
      <c r="V121" s="88" t="e">
        <f>R121/U121</f>
        <v>#DIV/0!</v>
      </c>
    </row>
    <row r="122" spans="1:31" ht="18.95" customHeight="1">
      <c r="A122" s="106"/>
      <c r="B122" s="109"/>
      <c r="C122" s="71"/>
      <c r="D122" s="157"/>
      <c r="E122" s="185"/>
      <c r="F122" s="186"/>
      <c r="G122" s="185"/>
      <c r="H122" s="186"/>
      <c r="I122" s="110"/>
      <c r="J122" s="111"/>
      <c r="K122" s="111"/>
      <c r="L122" s="111"/>
      <c r="M122" s="111"/>
      <c r="N122" s="111"/>
      <c r="O122" s="111"/>
      <c r="P122" s="111"/>
      <c r="Q122" s="111"/>
      <c r="R122" s="81">
        <f>SUM(J122:Q122)</f>
        <v>0</v>
      </c>
      <c r="S122" s="23">
        <f>I122-R122</f>
        <v>0</v>
      </c>
      <c r="T122" s="24">
        <f>G122-I122</f>
        <v>0</v>
      </c>
      <c r="U122" s="69"/>
      <c r="V122" s="160" t="e">
        <f>R122/U122</f>
        <v>#DIV/0!</v>
      </c>
    </row>
    <row r="123" spans="1:31" ht="18.95" customHeight="1" thickBot="1">
      <c r="A123" s="89"/>
      <c r="B123" s="35" t="s">
        <v>16</v>
      </c>
      <c r="C123" s="35"/>
      <c r="D123" s="36"/>
      <c r="E123" s="168">
        <f>SUM(E121:E122)</f>
        <v>0</v>
      </c>
      <c r="F123" s="169"/>
      <c r="G123" s="168">
        <f>SUM(G121:G122)</f>
        <v>0</v>
      </c>
      <c r="H123" s="169"/>
      <c r="I123" s="37">
        <f>SUM(I121:I122)</f>
        <v>0</v>
      </c>
      <c r="J123" s="38"/>
      <c r="K123" s="38"/>
      <c r="L123" s="38"/>
      <c r="M123" s="38"/>
      <c r="N123" s="38"/>
      <c r="O123" s="38"/>
      <c r="P123" s="38"/>
      <c r="Q123" s="38"/>
      <c r="R123" s="39">
        <f>SUM(R121:R122)</f>
        <v>0</v>
      </c>
      <c r="S123" s="40">
        <f>SUM(S121:S122)</f>
        <v>0</v>
      </c>
      <c r="T123" s="41">
        <f>SUM(T121:T122)</f>
        <v>0</v>
      </c>
      <c r="U123" s="42">
        <f>SUM(U121:U122)</f>
        <v>0</v>
      </c>
      <c r="V123" s="159"/>
    </row>
    <row r="124" spans="1:31" ht="2.25" customHeight="1" thickTop="1" thickBot="1">
      <c r="A124" s="90"/>
      <c r="B124" s="43"/>
      <c r="C124" s="43"/>
      <c r="D124" s="43"/>
      <c r="E124" s="43"/>
      <c r="F124" s="44"/>
      <c r="G124" s="43"/>
      <c r="H124" s="44"/>
      <c r="I124" s="45"/>
      <c r="J124" s="44"/>
      <c r="K124" s="44"/>
      <c r="L124" s="44"/>
      <c r="M124" s="44"/>
      <c r="N124" s="44"/>
      <c r="O124" s="44"/>
      <c r="P124" s="44"/>
      <c r="Q124" s="44"/>
      <c r="R124" s="44"/>
      <c r="S124" s="46"/>
      <c r="T124" s="47"/>
      <c r="U124" s="48"/>
      <c r="V124" s="91"/>
    </row>
    <row r="125" spans="1:31" ht="26.25" customHeight="1" thickTop="1" thickBot="1">
      <c r="A125" s="92"/>
      <c r="B125" s="93" t="s">
        <v>17</v>
      </c>
      <c r="C125" s="93"/>
      <c r="D125" s="93"/>
      <c r="E125" s="170"/>
      <c r="F125" s="171"/>
      <c r="G125" s="170"/>
      <c r="H125" s="171"/>
      <c r="I125" s="49"/>
      <c r="J125" s="49"/>
      <c r="K125" s="49"/>
      <c r="L125" s="49"/>
      <c r="M125" s="49"/>
      <c r="N125" s="49"/>
      <c r="O125" s="49"/>
      <c r="P125" s="49"/>
      <c r="Q125" s="49"/>
      <c r="R125" s="50">
        <f>SUM(R123,R118)</f>
        <v>52413802</v>
      </c>
      <c r="S125" s="51">
        <f>SUM(S123,S118)</f>
        <v>21564598</v>
      </c>
      <c r="T125" s="94">
        <f>T118+T123</f>
        <v>-7454810</v>
      </c>
      <c r="U125" s="95">
        <f>SUM(U123,U118)</f>
        <v>478</v>
      </c>
      <c r="V125" s="96"/>
    </row>
    <row r="126" spans="1:31" ht="2.25" customHeight="1" thickTop="1">
      <c r="A126" s="137"/>
      <c r="B126" s="138"/>
      <c r="C126" s="138"/>
      <c r="D126" s="138"/>
      <c r="E126" s="138"/>
      <c r="F126" s="139"/>
      <c r="G126" s="138"/>
      <c r="H126" s="139"/>
      <c r="I126" s="140"/>
      <c r="J126" s="139"/>
      <c r="K126" s="139"/>
      <c r="L126" s="139"/>
      <c r="M126" s="139"/>
      <c r="N126" s="139"/>
      <c r="O126" s="139"/>
      <c r="P126" s="139"/>
      <c r="Q126" s="139"/>
      <c r="R126" s="139"/>
      <c r="S126" s="141"/>
      <c r="T126" s="142"/>
      <c r="U126" s="143"/>
      <c r="V126" s="144"/>
    </row>
    <row r="127" spans="1:31" ht="18.2" customHeight="1">
      <c r="A127" s="145"/>
      <c r="B127" s="146"/>
      <c r="C127" s="146"/>
      <c r="D127" s="146"/>
      <c r="E127" s="146"/>
      <c r="F127" s="128"/>
      <c r="G127" s="146"/>
      <c r="H127" s="128"/>
      <c r="I127" s="147"/>
      <c r="J127" s="128"/>
      <c r="K127" s="128"/>
      <c r="L127" s="128"/>
      <c r="M127" s="128"/>
      <c r="N127" s="128"/>
      <c r="O127" s="128"/>
      <c r="P127" s="128"/>
      <c r="Q127" s="128"/>
      <c r="R127" s="128"/>
      <c r="S127" s="148"/>
      <c r="T127" s="149"/>
      <c r="U127" s="150"/>
      <c r="V127" s="149"/>
    </row>
    <row r="128" spans="1:31" ht="18.2" customHeight="1">
      <c r="A128" s="258" t="s">
        <v>135</v>
      </c>
      <c r="B128" s="114" t="s">
        <v>38</v>
      </c>
      <c r="C128" s="115"/>
      <c r="D128" s="116"/>
      <c r="E128" s="172">
        <v>0</v>
      </c>
      <c r="F128" s="173"/>
      <c r="G128" s="174">
        <v>4000000</v>
      </c>
      <c r="H128" s="175"/>
      <c r="I128" s="117">
        <v>8000000</v>
      </c>
      <c r="J128" s="261">
        <v>1</v>
      </c>
      <c r="K128" s="261">
        <v>2</v>
      </c>
      <c r="L128" s="261">
        <v>600003</v>
      </c>
      <c r="M128" s="261">
        <v>660004</v>
      </c>
      <c r="N128" s="261">
        <v>540005</v>
      </c>
      <c r="O128" s="261">
        <v>540006</v>
      </c>
      <c r="P128" s="261">
        <v>7</v>
      </c>
      <c r="Q128" s="261">
        <v>8</v>
      </c>
      <c r="R128" s="119">
        <f>SUM(J128:Q128)</f>
        <v>2340036</v>
      </c>
      <c r="S128" s="120">
        <f>I128-R128</f>
        <v>5659964</v>
      </c>
      <c r="T128" s="121">
        <f>G128-I128</f>
        <v>-4000000</v>
      </c>
      <c r="U128" s="122">
        <v>0</v>
      </c>
      <c r="V128" s="123" t="e">
        <f>R128/U128</f>
        <v>#DIV/0!</v>
      </c>
      <c r="X128" s="261"/>
      <c r="Y128" s="261"/>
      <c r="Z128" s="261"/>
      <c r="AA128" s="261"/>
      <c r="AB128" s="261"/>
      <c r="AC128" s="261"/>
      <c r="AD128" s="261"/>
      <c r="AE128" s="261"/>
    </row>
    <row r="129" spans="1:31" ht="18.2" customHeight="1">
      <c r="A129" s="259"/>
      <c r="B129" s="114" t="s">
        <v>144</v>
      </c>
      <c r="C129" s="115"/>
      <c r="D129" s="116"/>
      <c r="E129" s="172">
        <v>0</v>
      </c>
      <c r="F129" s="173"/>
      <c r="G129" s="174">
        <v>0</v>
      </c>
      <c r="H129" s="175"/>
      <c r="I129" s="117">
        <v>0</v>
      </c>
      <c r="J129" s="261">
        <v>0</v>
      </c>
      <c r="K129" s="261">
        <v>1304</v>
      </c>
      <c r="L129" s="261">
        <v>0</v>
      </c>
      <c r="M129" s="261">
        <v>655</v>
      </c>
      <c r="N129" s="261">
        <v>0</v>
      </c>
      <c r="O129" s="261">
        <v>0</v>
      </c>
      <c r="P129" s="261">
        <v>0</v>
      </c>
      <c r="Q129" s="261">
        <v>0</v>
      </c>
      <c r="R129" s="119">
        <f>SUM(J129:Q129)</f>
        <v>1959</v>
      </c>
      <c r="S129" s="120">
        <f>I129-R129</f>
        <v>-1959</v>
      </c>
      <c r="T129" s="121">
        <f>G129-I129</f>
        <v>0</v>
      </c>
      <c r="U129" s="122">
        <v>0</v>
      </c>
      <c r="V129" s="123" t="e">
        <f t="shared" ref="V129:V135" si="2">R129/U129</f>
        <v>#DIV/0!</v>
      </c>
      <c r="X129" s="261"/>
      <c r="Y129" s="261"/>
      <c r="Z129" s="261"/>
      <c r="AA129" s="261"/>
      <c r="AB129" s="261"/>
      <c r="AC129" s="261"/>
      <c r="AD129" s="261"/>
      <c r="AE129" s="261"/>
    </row>
    <row r="130" spans="1:31" ht="18.2" customHeight="1">
      <c r="A130" s="259"/>
      <c r="B130" s="114" t="s">
        <v>145</v>
      </c>
      <c r="C130" s="115"/>
      <c r="D130" s="116"/>
      <c r="E130" s="172">
        <v>0</v>
      </c>
      <c r="F130" s="173"/>
      <c r="G130" s="174">
        <v>0</v>
      </c>
      <c r="H130" s="175"/>
      <c r="I130" s="117">
        <v>0</v>
      </c>
      <c r="J130" s="261">
        <v>0</v>
      </c>
      <c r="K130" s="261">
        <v>0</v>
      </c>
      <c r="L130" s="261">
        <v>1926</v>
      </c>
      <c r="M130" s="261">
        <v>0</v>
      </c>
      <c r="N130" s="261">
        <v>0</v>
      </c>
      <c r="O130" s="261">
        <v>0</v>
      </c>
      <c r="P130" s="261">
        <v>0</v>
      </c>
      <c r="Q130" s="261">
        <v>0</v>
      </c>
      <c r="R130" s="119">
        <f>SUM(J130:Q130)</f>
        <v>1926</v>
      </c>
      <c r="S130" s="120">
        <f>I130-R130</f>
        <v>-1926</v>
      </c>
      <c r="T130" s="121">
        <f>G130-I130</f>
        <v>0</v>
      </c>
      <c r="U130" s="122">
        <v>0</v>
      </c>
      <c r="V130" s="123" t="e">
        <f t="shared" si="2"/>
        <v>#DIV/0!</v>
      </c>
      <c r="X130" s="261"/>
      <c r="Y130" s="261"/>
      <c r="Z130" s="261"/>
      <c r="AA130" s="261"/>
      <c r="AB130" s="261"/>
      <c r="AC130" s="261"/>
      <c r="AD130" s="261"/>
      <c r="AE130" s="261"/>
    </row>
    <row r="131" spans="1:31" ht="18.2" customHeight="1">
      <c r="A131" s="259"/>
      <c r="B131" s="114" t="s">
        <v>146</v>
      </c>
      <c r="C131" s="115"/>
      <c r="D131" s="116"/>
      <c r="E131" s="172">
        <v>0</v>
      </c>
      <c r="F131" s="173"/>
      <c r="G131" s="174">
        <v>0</v>
      </c>
      <c r="H131" s="175"/>
      <c r="I131" s="117">
        <v>0</v>
      </c>
      <c r="J131" s="261">
        <v>0</v>
      </c>
      <c r="K131" s="261">
        <v>0</v>
      </c>
      <c r="L131" s="261">
        <v>13130</v>
      </c>
      <c r="M131" s="261">
        <v>122228</v>
      </c>
      <c r="N131" s="261">
        <v>210960</v>
      </c>
      <c r="O131" s="261">
        <v>169189</v>
      </c>
      <c r="P131" s="261">
        <v>36141</v>
      </c>
      <c r="Q131" s="261">
        <v>0</v>
      </c>
      <c r="R131" s="119">
        <f>SUM(J131:Q131)</f>
        <v>551648</v>
      </c>
      <c r="S131" s="120">
        <f>I131-R131</f>
        <v>-551648</v>
      </c>
      <c r="T131" s="121">
        <f>G131-I131</f>
        <v>0</v>
      </c>
      <c r="U131" s="122">
        <v>0</v>
      </c>
      <c r="V131" s="123" t="e">
        <f t="shared" si="2"/>
        <v>#DIV/0!</v>
      </c>
      <c r="X131" s="261"/>
      <c r="Y131" s="261"/>
      <c r="Z131" s="261"/>
      <c r="AA131" s="261"/>
      <c r="AB131" s="261"/>
      <c r="AC131" s="261"/>
      <c r="AD131" s="261"/>
      <c r="AE131" s="261"/>
    </row>
    <row r="132" spans="1:31" ht="18.2" customHeight="1">
      <c r="A132" s="259"/>
      <c r="B132" s="114" t="s">
        <v>147</v>
      </c>
      <c r="C132" s="115"/>
      <c r="D132" s="116"/>
      <c r="E132" s="172">
        <v>0</v>
      </c>
      <c r="F132" s="173"/>
      <c r="G132" s="174">
        <v>0</v>
      </c>
      <c r="H132" s="175"/>
      <c r="I132" s="117">
        <v>0</v>
      </c>
      <c r="J132" s="261">
        <v>13000</v>
      </c>
      <c r="K132" s="261">
        <v>38490</v>
      </c>
      <c r="L132" s="261">
        <v>13341</v>
      </c>
      <c r="M132" s="261">
        <v>3000</v>
      </c>
      <c r="N132" s="261">
        <v>750</v>
      </c>
      <c r="O132" s="261">
        <v>300</v>
      </c>
      <c r="P132" s="261">
        <v>750</v>
      </c>
      <c r="Q132" s="261">
        <v>0</v>
      </c>
      <c r="R132" s="119">
        <f>SUM(J132:Q132)</f>
        <v>69631</v>
      </c>
      <c r="S132" s="120">
        <f>I132-R132</f>
        <v>-69631</v>
      </c>
      <c r="T132" s="121">
        <f>G132-I132</f>
        <v>0</v>
      </c>
      <c r="U132" s="122">
        <v>0</v>
      </c>
      <c r="V132" s="123" t="e">
        <f t="shared" si="2"/>
        <v>#DIV/0!</v>
      </c>
      <c r="X132" s="261"/>
      <c r="Y132" s="261"/>
      <c r="Z132" s="261"/>
      <c r="AA132" s="261"/>
      <c r="AB132" s="261"/>
      <c r="AC132" s="261"/>
      <c r="AD132" s="261"/>
      <c r="AE132" s="261"/>
    </row>
    <row r="133" spans="1:31" ht="18.2" customHeight="1">
      <c r="A133" s="259"/>
      <c r="B133" s="114" t="s">
        <v>63</v>
      </c>
      <c r="C133" s="115"/>
      <c r="D133" s="116"/>
      <c r="E133" s="172">
        <v>0</v>
      </c>
      <c r="F133" s="173"/>
      <c r="G133" s="174">
        <v>0</v>
      </c>
      <c r="H133" s="175"/>
      <c r="I133" s="117">
        <v>0</v>
      </c>
      <c r="J133" s="261">
        <v>0</v>
      </c>
      <c r="K133" s="261">
        <v>1670884</v>
      </c>
      <c r="L133" s="261">
        <v>92273</v>
      </c>
      <c r="M133" s="261">
        <v>368121</v>
      </c>
      <c r="N133" s="261">
        <v>10821</v>
      </c>
      <c r="O133" s="261">
        <v>24039</v>
      </c>
      <c r="P133" s="261">
        <v>18928</v>
      </c>
      <c r="Q133" s="261">
        <v>0</v>
      </c>
      <c r="R133" s="119">
        <f>SUM(J133:Q133)</f>
        <v>2185066</v>
      </c>
      <c r="S133" s="120">
        <f>I133-R133</f>
        <v>-2185066</v>
      </c>
      <c r="T133" s="121">
        <f>G133-I133</f>
        <v>0</v>
      </c>
      <c r="U133" s="122">
        <v>0</v>
      </c>
      <c r="V133" s="123" t="e">
        <f t="shared" si="2"/>
        <v>#DIV/0!</v>
      </c>
      <c r="X133" s="261"/>
      <c r="Y133" s="261"/>
      <c r="Z133" s="261"/>
      <c r="AA133" s="261"/>
      <c r="AB133" s="261"/>
      <c r="AC133" s="261"/>
      <c r="AD133" s="261"/>
      <c r="AE133" s="261"/>
    </row>
    <row r="134" spans="1:31" ht="18.2" customHeight="1">
      <c r="A134" s="259"/>
      <c r="B134" s="114" t="s">
        <v>148</v>
      </c>
      <c r="C134" s="115"/>
      <c r="D134" s="116"/>
      <c r="E134" s="172">
        <v>0</v>
      </c>
      <c r="F134" s="173"/>
      <c r="G134" s="174">
        <v>0</v>
      </c>
      <c r="H134" s="175"/>
      <c r="I134" s="117">
        <v>0</v>
      </c>
      <c r="J134" s="261">
        <v>0</v>
      </c>
      <c r="K134" s="261">
        <v>4983</v>
      </c>
      <c r="L134" s="261">
        <v>1391</v>
      </c>
      <c r="M134" s="261">
        <v>0</v>
      </c>
      <c r="N134" s="261">
        <v>364</v>
      </c>
      <c r="O134" s="261">
        <v>182</v>
      </c>
      <c r="P134" s="261">
        <v>1182</v>
      </c>
      <c r="Q134" s="261">
        <v>0</v>
      </c>
      <c r="R134" s="119">
        <f>SUM(J134:Q134)</f>
        <v>8102</v>
      </c>
      <c r="S134" s="120">
        <f>I134-R134</f>
        <v>-8102</v>
      </c>
      <c r="T134" s="121">
        <f>G134-I134</f>
        <v>0</v>
      </c>
      <c r="U134" s="122">
        <v>0</v>
      </c>
      <c r="V134" s="123" t="e">
        <f t="shared" si="2"/>
        <v>#DIV/0!</v>
      </c>
      <c r="X134" s="261"/>
      <c r="Y134" s="261"/>
      <c r="Z134" s="261"/>
      <c r="AA134" s="261"/>
      <c r="AB134" s="261"/>
      <c r="AC134" s="261"/>
      <c r="AD134" s="261"/>
      <c r="AE134" s="261"/>
    </row>
    <row r="135" spans="1:31" ht="18.2" customHeight="1">
      <c r="A135" s="341"/>
      <c r="B135" s="342"/>
      <c r="C135" s="343"/>
      <c r="D135" s="342"/>
      <c r="E135" s="344">
        <v>24160000</v>
      </c>
      <c r="F135" s="344"/>
      <c r="G135" s="344">
        <v>4427000</v>
      </c>
      <c r="H135" s="344"/>
      <c r="I135" s="345">
        <v>3996920</v>
      </c>
      <c r="J135" s="346">
        <v>0</v>
      </c>
      <c r="K135" s="346">
        <v>0</v>
      </c>
      <c r="L135" s="346">
        <v>0</v>
      </c>
      <c r="M135" s="346">
        <v>0</v>
      </c>
      <c r="N135" s="346">
        <v>0</v>
      </c>
      <c r="O135" s="346">
        <v>0</v>
      </c>
      <c r="P135" s="346">
        <v>0</v>
      </c>
      <c r="Q135" s="346">
        <v>0</v>
      </c>
      <c r="R135" s="347">
        <f>SUM(J135:Q135)</f>
        <v>0</v>
      </c>
      <c r="S135" s="348">
        <f>I135-R135</f>
        <v>3996920</v>
      </c>
      <c r="T135" s="349">
        <f>G135-I135</f>
        <v>430080</v>
      </c>
      <c r="U135" s="350">
        <v>0</v>
      </c>
      <c r="V135" s="123" t="e">
        <f t="shared" si="2"/>
        <v>#DIV/0!</v>
      </c>
      <c r="X135" s="346"/>
      <c r="Y135" s="346"/>
      <c r="Z135" s="346"/>
      <c r="AA135" s="346"/>
      <c r="AB135" s="346"/>
      <c r="AC135" s="346"/>
      <c r="AD135" s="346"/>
      <c r="AE135" s="346"/>
    </row>
    <row r="136" spans="1:31" ht="18.95" customHeight="1" thickBot="1">
      <c r="A136" s="113"/>
      <c r="B136" s="78" t="s">
        <v>34</v>
      </c>
      <c r="C136" s="79"/>
      <c r="D136" s="151"/>
      <c r="E136" s="180">
        <f>SUM(E128:F135)</f>
        <v>24160000</v>
      </c>
      <c r="F136" s="181"/>
      <c r="G136" s="182">
        <f>SUM(G128:H135)</f>
        <v>8427000</v>
      </c>
      <c r="H136" s="181"/>
      <c r="I136" s="135">
        <f>SUM(I128:I135)</f>
        <v>11996920</v>
      </c>
      <c r="J136" s="30"/>
      <c r="K136" s="30"/>
      <c r="L136" s="30"/>
      <c r="M136" s="30"/>
      <c r="N136" s="30"/>
      <c r="O136" s="30"/>
      <c r="P136" s="30"/>
      <c r="Q136" s="30"/>
      <c r="R136" s="32">
        <f>SUM(R128:R135)</f>
        <v>5158368</v>
      </c>
      <c r="S136" s="32">
        <f>SUM(S128:S135)</f>
        <v>6838552</v>
      </c>
      <c r="T136" s="33">
        <f>SUM(T128:T135)</f>
        <v>-3569920</v>
      </c>
      <c r="U136" s="136">
        <f>SUM(U128:U135)</f>
        <v>0</v>
      </c>
      <c r="V136" s="34"/>
    </row>
    <row r="137" spans="1:31" ht="18.2" customHeight="1" thickTop="1">
      <c r="A137" s="52"/>
      <c r="B137" s="176" t="s">
        <v>18</v>
      </c>
      <c r="C137" s="177"/>
      <c r="D137" s="134"/>
      <c r="E137" s="178">
        <f>SUM(E118,E123,E136)</f>
        <v>92359585</v>
      </c>
      <c r="F137" s="179"/>
      <c r="G137" s="178">
        <f>SUM(G118,G123,G136)</f>
        <v>74950590</v>
      </c>
      <c r="H137" s="179"/>
      <c r="I137" s="53">
        <f>SUM(I136,I123,I118)</f>
        <v>85975320</v>
      </c>
      <c r="J137" s="54">
        <f>SUM(J7:J135)</f>
        <v>212001</v>
      </c>
      <c r="K137" s="54">
        <f>SUM(K7:K135)</f>
        <v>1742063</v>
      </c>
      <c r="L137" s="54">
        <f>SUM(L7:L135)</f>
        <v>13420619</v>
      </c>
      <c r="M137" s="54">
        <f>SUM(M7:M135)</f>
        <v>14617240</v>
      </c>
      <c r="N137" s="54">
        <f>SUM(N7:N135)</f>
        <v>13149149</v>
      </c>
      <c r="O137" s="54">
        <f>SUM(O7:O135)</f>
        <v>15175622</v>
      </c>
      <c r="P137" s="54">
        <f>SUM(P7:P135)</f>
        <v>-744532</v>
      </c>
      <c r="Q137" s="54">
        <f>SUM(Q7:Q135)</f>
        <v>8</v>
      </c>
      <c r="R137" s="54">
        <f>SUM(J137:Q137)</f>
        <v>57572170</v>
      </c>
      <c r="S137" s="55">
        <f>I137-R137</f>
        <v>28403150</v>
      </c>
      <c r="T137" s="56">
        <f>SUM(T136,T125)</f>
        <v>-11024730</v>
      </c>
      <c r="U137" s="57">
        <f>SUM(U136,U125)</f>
        <v>478</v>
      </c>
      <c r="V137" s="58"/>
    </row>
    <row r="138" spans="1:31" ht="25.5" customHeight="1">
      <c r="A138" s="59"/>
      <c r="B138" s="59"/>
      <c r="C138" s="59"/>
      <c r="D138" s="59"/>
      <c r="E138" s="59"/>
      <c r="F138" s="60"/>
      <c r="G138" s="59"/>
      <c r="H138" s="60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2"/>
      <c r="T138" s="59"/>
      <c r="U138" s="59"/>
    </row>
    <row r="139" spans="1:31" ht="6" customHeight="1"/>
    <row r="140" spans="1:31" ht="18" customHeight="1">
      <c r="A140" s="13" t="s">
        <v>19</v>
      </c>
    </row>
    <row r="141" spans="1:31" ht="18" customHeight="1">
      <c r="A141" s="167" t="s">
        <v>20</v>
      </c>
      <c r="B141" s="167"/>
      <c r="C141" s="167"/>
      <c r="D141" s="167"/>
      <c r="E141" s="167"/>
      <c r="F141" s="167"/>
      <c r="G141" s="167"/>
      <c r="H141" s="167"/>
      <c r="I141" s="167"/>
      <c r="J141" s="167"/>
      <c r="K141" s="167"/>
      <c r="L141" s="167"/>
      <c r="M141" s="167"/>
      <c r="N141" s="167"/>
      <c r="O141" s="167"/>
      <c r="P141" s="167"/>
      <c r="Q141" s="167"/>
    </row>
    <row r="142" spans="1:31" ht="18" customHeight="1">
      <c r="A142" s="167" t="s">
        <v>21</v>
      </c>
      <c r="B142" s="167"/>
      <c r="C142" s="167"/>
      <c r="D142" s="167"/>
      <c r="E142" s="167"/>
      <c r="F142" s="167"/>
    </row>
    <row r="143" spans="1:31" ht="18" customHeight="1">
      <c r="A143" s="167" t="s">
        <v>22</v>
      </c>
      <c r="B143" s="167"/>
      <c r="C143" s="167"/>
      <c r="D143" s="167"/>
      <c r="E143" s="167"/>
      <c r="F143" s="167"/>
    </row>
  </sheetData>
  <mergeCells count="300">
    <mergeCell ref="A115:A117"/>
    <mergeCell ref="A71:A81"/>
    <mergeCell ref="A82:A84"/>
    <mergeCell ref="A85:A93"/>
    <mergeCell ref="A94:A99"/>
    <mergeCell ref="A100:A102"/>
    <mergeCell ref="A103:A114"/>
    <mergeCell ref="E135:F135"/>
    <mergeCell ref="G135:H135"/>
    <mergeCell ref="A7:A30"/>
    <mergeCell ref="A31:A37"/>
    <mergeCell ref="A38:A42"/>
    <mergeCell ref="A43:A58"/>
    <mergeCell ref="A59:A63"/>
    <mergeCell ref="A64:A70"/>
    <mergeCell ref="E133:F133"/>
    <mergeCell ref="G133:H133"/>
    <mergeCell ref="E134:F134"/>
    <mergeCell ref="G134:H134"/>
    <mergeCell ref="G129:H129"/>
    <mergeCell ref="E130:F130"/>
    <mergeCell ref="G130:H130"/>
    <mergeCell ref="E131:F131"/>
    <mergeCell ref="G131:H131"/>
    <mergeCell ref="E132:F132"/>
    <mergeCell ref="G132:H132"/>
    <mergeCell ref="E117:F117"/>
    <mergeCell ref="G117:H117"/>
    <mergeCell ref="J1:N1"/>
    <mergeCell ref="J2:N2"/>
    <mergeCell ref="J3:N3"/>
    <mergeCell ref="E114:F114"/>
    <mergeCell ref="G114:H114"/>
    <mergeCell ref="E115:F115"/>
    <mergeCell ref="G115:H115"/>
    <mergeCell ref="E116:F116"/>
    <mergeCell ref="G116:H116"/>
    <mergeCell ref="E111:F111"/>
    <mergeCell ref="G111:H111"/>
    <mergeCell ref="E112:F112"/>
    <mergeCell ref="G112:H112"/>
    <mergeCell ref="E113:F113"/>
    <mergeCell ref="G113:H113"/>
    <mergeCell ref="E108:F108"/>
    <mergeCell ref="G108:H108"/>
    <mergeCell ref="E109:F109"/>
    <mergeCell ref="G109:H109"/>
    <mergeCell ref="E110:F110"/>
    <mergeCell ref="G110:H110"/>
    <mergeCell ref="E105:F105"/>
    <mergeCell ref="G105:H105"/>
    <mergeCell ref="E106:F106"/>
    <mergeCell ref="G106:H106"/>
    <mergeCell ref="E107:F107"/>
    <mergeCell ref="G107:H107"/>
    <mergeCell ref="E102:F102"/>
    <mergeCell ref="G102:H102"/>
    <mergeCell ref="E103:F103"/>
    <mergeCell ref="G103:H103"/>
    <mergeCell ref="E104:F104"/>
    <mergeCell ref="G104:H104"/>
    <mergeCell ref="E99:F99"/>
    <mergeCell ref="G99:H99"/>
    <mergeCell ref="E100:F100"/>
    <mergeCell ref="G100:H100"/>
    <mergeCell ref="E101:F101"/>
    <mergeCell ref="G101:H101"/>
    <mergeCell ref="E96:F96"/>
    <mergeCell ref="G96:H96"/>
    <mergeCell ref="E97:F97"/>
    <mergeCell ref="G97:H97"/>
    <mergeCell ref="E98:F98"/>
    <mergeCell ref="G98:H98"/>
    <mergeCell ref="E93:F93"/>
    <mergeCell ref="G93:H93"/>
    <mergeCell ref="E94:F94"/>
    <mergeCell ref="G94:H94"/>
    <mergeCell ref="E95:F95"/>
    <mergeCell ref="G95:H95"/>
    <mergeCell ref="E90:F90"/>
    <mergeCell ref="G90:H90"/>
    <mergeCell ref="E91:F91"/>
    <mergeCell ref="G91:H91"/>
    <mergeCell ref="E92:F92"/>
    <mergeCell ref="G92:H92"/>
    <mergeCell ref="E87:F87"/>
    <mergeCell ref="G87:H87"/>
    <mergeCell ref="E88:F88"/>
    <mergeCell ref="G88:H88"/>
    <mergeCell ref="E89:F89"/>
    <mergeCell ref="G89:H89"/>
    <mergeCell ref="E84:F84"/>
    <mergeCell ref="G84:H84"/>
    <mergeCell ref="E85:F85"/>
    <mergeCell ref="G85:H85"/>
    <mergeCell ref="E86:F86"/>
    <mergeCell ref="G86:H86"/>
    <mergeCell ref="E81:F81"/>
    <mergeCell ref="G81:H81"/>
    <mergeCell ref="E82:F82"/>
    <mergeCell ref="G82:H82"/>
    <mergeCell ref="E83:F83"/>
    <mergeCell ref="G83:H83"/>
    <mergeCell ref="E78:F78"/>
    <mergeCell ref="G78:H78"/>
    <mergeCell ref="E79:F79"/>
    <mergeCell ref="G79:H79"/>
    <mergeCell ref="E80:F80"/>
    <mergeCell ref="G80:H80"/>
    <mergeCell ref="E75:F75"/>
    <mergeCell ref="G75:H75"/>
    <mergeCell ref="E76:F76"/>
    <mergeCell ref="G76:H76"/>
    <mergeCell ref="E77:F77"/>
    <mergeCell ref="G77:H77"/>
    <mergeCell ref="E72:F72"/>
    <mergeCell ref="G72:H72"/>
    <mergeCell ref="E73:F73"/>
    <mergeCell ref="G73:H73"/>
    <mergeCell ref="E74:F74"/>
    <mergeCell ref="G74:H74"/>
    <mergeCell ref="E69:F69"/>
    <mergeCell ref="G69:H69"/>
    <mergeCell ref="E70:F70"/>
    <mergeCell ref="G70:H70"/>
    <mergeCell ref="E71:F71"/>
    <mergeCell ref="G71:H71"/>
    <mergeCell ref="E66:F66"/>
    <mergeCell ref="G66:H66"/>
    <mergeCell ref="E67:F67"/>
    <mergeCell ref="G67:H67"/>
    <mergeCell ref="E68:F68"/>
    <mergeCell ref="G68:H68"/>
    <mergeCell ref="E63:F63"/>
    <mergeCell ref="G63:H63"/>
    <mergeCell ref="E64:F64"/>
    <mergeCell ref="G64:H64"/>
    <mergeCell ref="E65:F65"/>
    <mergeCell ref="G65:H65"/>
    <mergeCell ref="E60:F60"/>
    <mergeCell ref="G60:H60"/>
    <mergeCell ref="E61:F61"/>
    <mergeCell ref="G61:H61"/>
    <mergeCell ref="E62:F62"/>
    <mergeCell ref="G62:H62"/>
    <mergeCell ref="E57:F57"/>
    <mergeCell ref="G57:H57"/>
    <mergeCell ref="E58:F58"/>
    <mergeCell ref="G58:H58"/>
    <mergeCell ref="E59:F59"/>
    <mergeCell ref="G59:H59"/>
    <mergeCell ref="E54:F54"/>
    <mergeCell ref="G54:H54"/>
    <mergeCell ref="E55:F55"/>
    <mergeCell ref="G55:H55"/>
    <mergeCell ref="E56:F56"/>
    <mergeCell ref="G56:H56"/>
    <mergeCell ref="E51:F51"/>
    <mergeCell ref="G51:H51"/>
    <mergeCell ref="E52:F52"/>
    <mergeCell ref="G52:H52"/>
    <mergeCell ref="E53:F53"/>
    <mergeCell ref="G53:H53"/>
    <mergeCell ref="E48:F48"/>
    <mergeCell ref="G48:H48"/>
    <mergeCell ref="E49:F49"/>
    <mergeCell ref="G49:H49"/>
    <mergeCell ref="E50:F50"/>
    <mergeCell ref="G50:H50"/>
    <mergeCell ref="E45:F45"/>
    <mergeCell ref="G45:H45"/>
    <mergeCell ref="E46:F46"/>
    <mergeCell ref="G46:H46"/>
    <mergeCell ref="E47:F47"/>
    <mergeCell ref="G47:H47"/>
    <mergeCell ref="E42:F42"/>
    <mergeCell ref="G42:H42"/>
    <mergeCell ref="E43:F43"/>
    <mergeCell ref="G43:H43"/>
    <mergeCell ref="E44:F44"/>
    <mergeCell ref="G44:H44"/>
    <mergeCell ref="E39:F39"/>
    <mergeCell ref="G39:H39"/>
    <mergeCell ref="E40:F40"/>
    <mergeCell ref="G40:H40"/>
    <mergeCell ref="E41:F41"/>
    <mergeCell ref="G41:H41"/>
    <mergeCell ref="E36:F36"/>
    <mergeCell ref="G36:H36"/>
    <mergeCell ref="E37:F37"/>
    <mergeCell ref="G37:H37"/>
    <mergeCell ref="E38:F38"/>
    <mergeCell ref="G38:H38"/>
    <mergeCell ref="E33:F33"/>
    <mergeCell ref="G33:H33"/>
    <mergeCell ref="E34:F34"/>
    <mergeCell ref="G34:H34"/>
    <mergeCell ref="E35:F35"/>
    <mergeCell ref="G35:H35"/>
    <mergeCell ref="E30:F30"/>
    <mergeCell ref="G30:H30"/>
    <mergeCell ref="E31:F31"/>
    <mergeCell ref="G31:H31"/>
    <mergeCell ref="E32:F32"/>
    <mergeCell ref="G32:H32"/>
    <mergeCell ref="E27:F27"/>
    <mergeCell ref="G27:H27"/>
    <mergeCell ref="E28:F28"/>
    <mergeCell ref="G28:H28"/>
    <mergeCell ref="E29:F29"/>
    <mergeCell ref="G29:H29"/>
    <mergeCell ref="E24:F24"/>
    <mergeCell ref="G24:H24"/>
    <mergeCell ref="E25:F25"/>
    <mergeCell ref="G25:H25"/>
    <mergeCell ref="E26:F26"/>
    <mergeCell ref="G26:H26"/>
    <mergeCell ref="E21:F21"/>
    <mergeCell ref="G21:H21"/>
    <mergeCell ref="E22:F22"/>
    <mergeCell ref="G22:H22"/>
    <mergeCell ref="E23:F23"/>
    <mergeCell ref="G23:H23"/>
    <mergeCell ref="E18:F18"/>
    <mergeCell ref="G18:H18"/>
    <mergeCell ref="E19:F19"/>
    <mergeCell ref="G19:H19"/>
    <mergeCell ref="E20:F20"/>
    <mergeCell ref="G20:H20"/>
    <mergeCell ref="E15:F15"/>
    <mergeCell ref="G15:H15"/>
    <mergeCell ref="E16:F16"/>
    <mergeCell ref="G16:H16"/>
    <mergeCell ref="E17:F17"/>
    <mergeCell ref="G17:H17"/>
    <mergeCell ref="E12:F12"/>
    <mergeCell ref="G12:H12"/>
    <mergeCell ref="E13:F13"/>
    <mergeCell ref="G13:H13"/>
    <mergeCell ref="E14:F14"/>
    <mergeCell ref="G14:H14"/>
    <mergeCell ref="A142:F142"/>
    <mergeCell ref="A143:F143"/>
    <mergeCell ref="E8:F8"/>
    <mergeCell ref="G8:H8"/>
    <mergeCell ref="E9:F9"/>
    <mergeCell ref="G9:H9"/>
    <mergeCell ref="E10:F10"/>
    <mergeCell ref="G10:H10"/>
    <mergeCell ref="E11:F11"/>
    <mergeCell ref="G11:H11"/>
    <mergeCell ref="E136:F136"/>
    <mergeCell ref="G136:H136"/>
    <mergeCell ref="B137:C137"/>
    <mergeCell ref="E137:F137"/>
    <mergeCell ref="G137:H137"/>
    <mergeCell ref="A141:Q141"/>
    <mergeCell ref="E125:F125"/>
    <mergeCell ref="G125:H125"/>
    <mergeCell ref="A128:A135"/>
    <mergeCell ref="E128:F128"/>
    <mergeCell ref="G128:H128"/>
    <mergeCell ref="E129:F129"/>
    <mergeCell ref="E121:F121"/>
    <mergeCell ref="G121:H121"/>
    <mergeCell ref="E122:F122"/>
    <mergeCell ref="G122:H122"/>
    <mergeCell ref="E123:F123"/>
    <mergeCell ref="G123:H123"/>
    <mergeCell ref="E118:F118"/>
    <mergeCell ref="G118:H118"/>
    <mergeCell ref="A119:V119"/>
    <mergeCell ref="E120:F120"/>
    <mergeCell ref="G120:H120"/>
    <mergeCell ref="R5:R6"/>
    <mergeCell ref="S5:S6"/>
    <mergeCell ref="T5:T6"/>
    <mergeCell ref="U5:U6"/>
    <mergeCell ref="V5:V6"/>
    <mergeCell ref="E7:F7"/>
    <mergeCell ref="G7:H7"/>
    <mergeCell ref="A5:B6"/>
    <mergeCell ref="C5:C6"/>
    <mergeCell ref="D5:D6"/>
    <mergeCell ref="E5:F6"/>
    <mergeCell ref="G5:H6"/>
    <mergeCell ref="I5:I6"/>
    <mergeCell ref="A3:B3"/>
    <mergeCell ref="C3:H3"/>
    <mergeCell ref="A4:B4"/>
    <mergeCell ref="C4:F4"/>
    <mergeCell ref="G4:H4"/>
    <mergeCell ref="J4:Q4"/>
    <mergeCell ref="A1:B1"/>
    <mergeCell ref="C1:H1"/>
    <mergeCell ref="R1:S4"/>
    <mergeCell ref="T1:V1"/>
    <mergeCell ref="A2:B2"/>
    <mergeCell ref="C2:H2"/>
    <mergeCell ref="T2:V4"/>
  </mergeCells>
  <phoneticPr fontId="2"/>
  <pageMargins left="0.7" right="0.7" top="0.75" bottom="0.75" header="0.3" footer="0.3"/>
  <pageSetup paperSize="9" scale="43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8A2D3-35C0-4BCD-83BA-98847450A022}">
  <sheetPr codeName="Sheet16"/>
  <dimension ref="A1:AE143"/>
  <sheetViews>
    <sheetView view="pageBreakPreview" zoomScaleNormal="100" zoomScaleSheetLayoutView="100" workbookViewId="0">
      <pane xSplit="2" ySplit="6" topLeftCell="C118" activePane="bottomRight" state="frozen"/>
      <selection pane="topRight" activeCell="C1" sqref="C1"/>
      <selection pane="bottomLeft" activeCell="A9" sqref="A9"/>
      <selection pane="bottomRight" activeCell="Q130" sqref="Q130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63" customWidth="1"/>
    <col min="7" max="7" width="7.625" style="13" customWidth="1"/>
    <col min="8" max="8" width="7.625" style="63" customWidth="1"/>
    <col min="9" max="9" width="15.375" style="64" customWidth="1"/>
    <col min="10" max="18" width="8.625" style="64" customWidth="1"/>
    <col min="19" max="19" width="8.625" style="65" customWidth="1"/>
    <col min="20" max="20" width="11.125" style="13" customWidth="1"/>
    <col min="21" max="21" width="8.625" style="13" customWidth="1"/>
    <col min="22" max="22" width="8.625" style="7" customWidth="1"/>
    <col min="23" max="260" width="9" style="7"/>
    <col min="261" max="261" width="8.625" style="7" customWidth="1"/>
    <col min="262" max="262" width="19.625" style="7" customWidth="1"/>
    <col min="263" max="263" width="8.625" style="7" customWidth="1"/>
    <col min="264" max="265" width="7.625" style="7" customWidth="1"/>
    <col min="266" max="266" width="11.125" style="7" customWidth="1"/>
    <col min="267" max="275" width="8.625" style="7" customWidth="1"/>
    <col min="276" max="276" width="11.125" style="7" customWidth="1"/>
    <col min="277" max="278" width="8.625" style="7" customWidth="1"/>
    <col min="279" max="516" width="9" style="7"/>
    <col min="517" max="517" width="8.625" style="7" customWidth="1"/>
    <col min="518" max="518" width="19.625" style="7" customWidth="1"/>
    <col min="519" max="519" width="8.625" style="7" customWidth="1"/>
    <col min="520" max="521" width="7.625" style="7" customWidth="1"/>
    <col min="522" max="522" width="11.125" style="7" customWidth="1"/>
    <col min="523" max="531" width="8.625" style="7" customWidth="1"/>
    <col min="532" max="532" width="11.125" style="7" customWidth="1"/>
    <col min="533" max="534" width="8.625" style="7" customWidth="1"/>
    <col min="535" max="772" width="9" style="7"/>
    <col min="773" max="773" width="8.625" style="7" customWidth="1"/>
    <col min="774" max="774" width="19.625" style="7" customWidth="1"/>
    <col min="775" max="775" width="8.625" style="7" customWidth="1"/>
    <col min="776" max="777" width="7.625" style="7" customWidth="1"/>
    <col min="778" max="778" width="11.125" style="7" customWidth="1"/>
    <col min="779" max="787" width="8.625" style="7" customWidth="1"/>
    <col min="788" max="788" width="11.125" style="7" customWidth="1"/>
    <col min="789" max="790" width="8.625" style="7" customWidth="1"/>
    <col min="791" max="1028" width="9" style="7"/>
    <col min="1029" max="1029" width="8.625" style="7" customWidth="1"/>
    <col min="1030" max="1030" width="19.625" style="7" customWidth="1"/>
    <col min="1031" max="1031" width="8.625" style="7" customWidth="1"/>
    <col min="1032" max="1033" width="7.625" style="7" customWidth="1"/>
    <col min="1034" max="1034" width="11.125" style="7" customWidth="1"/>
    <col min="1035" max="1043" width="8.625" style="7" customWidth="1"/>
    <col min="1044" max="1044" width="11.125" style="7" customWidth="1"/>
    <col min="1045" max="1046" width="8.625" style="7" customWidth="1"/>
    <col min="1047" max="1284" width="9" style="7"/>
    <col min="1285" max="1285" width="8.625" style="7" customWidth="1"/>
    <col min="1286" max="1286" width="19.625" style="7" customWidth="1"/>
    <col min="1287" max="1287" width="8.625" style="7" customWidth="1"/>
    <col min="1288" max="1289" width="7.625" style="7" customWidth="1"/>
    <col min="1290" max="1290" width="11.125" style="7" customWidth="1"/>
    <col min="1291" max="1299" width="8.625" style="7" customWidth="1"/>
    <col min="1300" max="1300" width="11.125" style="7" customWidth="1"/>
    <col min="1301" max="1302" width="8.625" style="7" customWidth="1"/>
    <col min="1303" max="1540" width="9" style="7"/>
    <col min="1541" max="1541" width="8.625" style="7" customWidth="1"/>
    <col min="1542" max="1542" width="19.625" style="7" customWidth="1"/>
    <col min="1543" max="1543" width="8.625" style="7" customWidth="1"/>
    <col min="1544" max="1545" width="7.625" style="7" customWidth="1"/>
    <col min="1546" max="1546" width="11.125" style="7" customWidth="1"/>
    <col min="1547" max="1555" width="8.625" style="7" customWidth="1"/>
    <col min="1556" max="1556" width="11.125" style="7" customWidth="1"/>
    <col min="1557" max="1558" width="8.625" style="7" customWidth="1"/>
    <col min="1559" max="1796" width="9" style="7"/>
    <col min="1797" max="1797" width="8.625" style="7" customWidth="1"/>
    <col min="1798" max="1798" width="19.625" style="7" customWidth="1"/>
    <col min="1799" max="1799" width="8.625" style="7" customWidth="1"/>
    <col min="1800" max="1801" width="7.625" style="7" customWidth="1"/>
    <col min="1802" max="1802" width="11.125" style="7" customWidth="1"/>
    <col min="1803" max="1811" width="8.625" style="7" customWidth="1"/>
    <col min="1812" max="1812" width="11.125" style="7" customWidth="1"/>
    <col min="1813" max="1814" width="8.625" style="7" customWidth="1"/>
    <col min="1815" max="2052" width="9" style="7"/>
    <col min="2053" max="2053" width="8.625" style="7" customWidth="1"/>
    <col min="2054" max="2054" width="19.625" style="7" customWidth="1"/>
    <col min="2055" max="2055" width="8.625" style="7" customWidth="1"/>
    <col min="2056" max="2057" width="7.625" style="7" customWidth="1"/>
    <col min="2058" max="2058" width="11.125" style="7" customWidth="1"/>
    <col min="2059" max="2067" width="8.625" style="7" customWidth="1"/>
    <col min="2068" max="2068" width="11.125" style="7" customWidth="1"/>
    <col min="2069" max="2070" width="8.625" style="7" customWidth="1"/>
    <col min="2071" max="2308" width="9" style="7"/>
    <col min="2309" max="2309" width="8.625" style="7" customWidth="1"/>
    <col min="2310" max="2310" width="19.625" style="7" customWidth="1"/>
    <col min="2311" max="2311" width="8.625" style="7" customWidth="1"/>
    <col min="2312" max="2313" width="7.625" style="7" customWidth="1"/>
    <col min="2314" max="2314" width="11.125" style="7" customWidth="1"/>
    <col min="2315" max="2323" width="8.625" style="7" customWidth="1"/>
    <col min="2324" max="2324" width="11.125" style="7" customWidth="1"/>
    <col min="2325" max="2326" width="8.625" style="7" customWidth="1"/>
    <col min="2327" max="2564" width="9" style="7"/>
    <col min="2565" max="2565" width="8.625" style="7" customWidth="1"/>
    <col min="2566" max="2566" width="19.625" style="7" customWidth="1"/>
    <col min="2567" max="2567" width="8.625" style="7" customWidth="1"/>
    <col min="2568" max="2569" width="7.625" style="7" customWidth="1"/>
    <col min="2570" max="2570" width="11.125" style="7" customWidth="1"/>
    <col min="2571" max="2579" width="8.625" style="7" customWidth="1"/>
    <col min="2580" max="2580" width="11.125" style="7" customWidth="1"/>
    <col min="2581" max="2582" width="8.625" style="7" customWidth="1"/>
    <col min="2583" max="2820" width="9" style="7"/>
    <col min="2821" max="2821" width="8.625" style="7" customWidth="1"/>
    <col min="2822" max="2822" width="19.625" style="7" customWidth="1"/>
    <col min="2823" max="2823" width="8.625" style="7" customWidth="1"/>
    <col min="2824" max="2825" width="7.625" style="7" customWidth="1"/>
    <col min="2826" max="2826" width="11.125" style="7" customWidth="1"/>
    <col min="2827" max="2835" width="8.625" style="7" customWidth="1"/>
    <col min="2836" max="2836" width="11.125" style="7" customWidth="1"/>
    <col min="2837" max="2838" width="8.625" style="7" customWidth="1"/>
    <col min="2839" max="3076" width="9" style="7"/>
    <col min="3077" max="3077" width="8.625" style="7" customWidth="1"/>
    <col min="3078" max="3078" width="19.625" style="7" customWidth="1"/>
    <col min="3079" max="3079" width="8.625" style="7" customWidth="1"/>
    <col min="3080" max="3081" width="7.625" style="7" customWidth="1"/>
    <col min="3082" max="3082" width="11.125" style="7" customWidth="1"/>
    <col min="3083" max="3091" width="8.625" style="7" customWidth="1"/>
    <col min="3092" max="3092" width="11.125" style="7" customWidth="1"/>
    <col min="3093" max="3094" width="8.625" style="7" customWidth="1"/>
    <col min="3095" max="3332" width="9" style="7"/>
    <col min="3333" max="3333" width="8.625" style="7" customWidth="1"/>
    <col min="3334" max="3334" width="19.625" style="7" customWidth="1"/>
    <col min="3335" max="3335" width="8.625" style="7" customWidth="1"/>
    <col min="3336" max="3337" width="7.625" style="7" customWidth="1"/>
    <col min="3338" max="3338" width="11.125" style="7" customWidth="1"/>
    <col min="3339" max="3347" width="8.625" style="7" customWidth="1"/>
    <col min="3348" max="3348" width="11.125" style="7" customWidth="1"/>
    <col min="3349" max="3350" width="8.625" style="7" customWidth="1"/>
    <col min="3351" max="3588" width="9" style="7"/>
    <col min="3589" max="3589" width="8.625" style="7" customWidth="1"/>
    <col min="3590" max="3590" width="19.625" style="7" customWidth="1"/>
    <col min="3591" max="3591" width="8.625" style="7" customWidth="1"/>
    <col min="3592" max="3593" width="7.625" style="7" customWidth="1"/>
    <col min="3594" max="3594" width="11.125" style="7" customWidth="1"/>
    <col min="3595" max="3603" width="8.625" style="7" customWidth="1"/>
    <col min="3604" max="3604" width="11.125" style="7" customWidth="1"/>
    <col min="3605" max="3606" width="8.625" style="7" customWidth="1"/>
    <col min="3607" max="3844" width="9" style="7"/>
    <col min="3845" max="3845" width="8.625" style="7" customWidth="1"/>
    <col min="3846" max="3846" width="19.625" style="7" customWidth="1"/>
    <col min="3847" max="3847" width="8.625" style="7" customWidth="1"/>
    <col min="3848" max="3849" width="7.625" style="7" customWidth="1"/>
    <col min="3850" max="3850" width="11.125" style="7" customWidth="1"/>
    <col min="3851" max="3859" width="8.625" style="7" customWidth="1"/>
    <col min="3860" max="3860" width="11.125" style="7" customWidth="1"/>
    <col min="3861" max="3862" width="8.625" style="7" customWidth="1"/>
    <col min="3863" max="4100" width="9" style="7"/>
    <col min="4101" max="4101" width="8.625" style="7" customWidth="1"/>
    <col min="4102" max="4102" width="19.625" style="7" customWidth="1"/>
    <col min="4103" max="4103" width="8.625" style="7" customWidth="1"/>
    <col min="4104" max="4105" width="7.625" style="7" customWidth="1"/>
    <col min="4106" max="4106" width="11.125" style="7" customWidth="1"/>
    <col min="4107" max="4115" width="8.625" style="7" customWidth="1"/>
    <col min="4116" max="4116" width="11.125" style="7" customWidth="1"/>
    <col min="4117" max="4118" width="8.625" style="7" customWidth="1"/>
    <col min="4119" max="4356" width="9" style="7"/>
    <col min="4357" max="4357" width="8.625" style="7" customWidth="1"/>
    <col min="4358" max="4358" width="19.625" style="7" customWidth="1"/>
    <col min="4359" max="4359" width="8.625" style="7" customWidth="1"/>
    <col min="4360" max="4361" width="7.625" style="7" customWidth="1"/>
    <col min="4362" max="4362" width="11.125" style="7" customWidth="1"/>
    <col min="4363" max="4371" width="8.625" style="7" customWidth="1"/>
    <col min="4372" max="4372" width="11.125" style="7" customWidth="1"/>
    <col min="4373" max="4374" width="8.625" style="7" customWidth="1"/>
    <col min="4375" max="4612" width="9" style="7"/>
    <col min="4613" max="4613" width="8.625" style="7" customWidth="1"/>
    <col min="4614" max="4614" width="19.625" style="7" customWidth="1"/>
    <col min="4615" max="4615" width="8.625" style="7" customWidth="1"/>
    <col min="4616" max="4617" width="7.625" style="7" customWidth="1"/>
    <col min="4618" max="4618" width="11.125" style="7" customWidth="1"/>
    <col min="4619" max="4627" width="8.625" style="7" customWidth="1"/>
    <col min="4628" max="4628" width="11.125" style="7" customWidth="1"/>
    <col min="4629" max="4630" width="8.625" style="7" customWidth="1"/>
    <col min="4631" max="4868" width="9" style="7"/>
    <col min="4869" max="4869" width="8.625" style="7" customWidth="1"/>
    <col min="4870" max="4870" width="19.625" style="7" customWidth="1"/>
    <col min="4871" max="4871" width="8.625" style="7" customWidth="1"/>
    <col min="4872" max="4873" width="7.625" style="7" customWidth="1"/>
    <col min="4874" max="4874" width="11.125" style="7" customWidth="1"/>
    <col min="4875" max="4883" width="8.625" style="7" customWidth="1"/>
    <col min="4884" max="4884" width="11.125" style="7" customWidth="1"/>
    <col min="4885" max="4886" width="8.625" style="7" customWidth="1"/>
    <col min="4887" max="5124" width="9" style="7"/>
    <col min="5125" max="5125" width="8.625" style="7" customWidth="1"/>
    <col min="5126" max="5126" width="19.625" style="7" customWidth="1"/>
    <col min="5127" max="5127" width="8.625" style="7" customWidth="1"/>
    <col min="5128" max="5129" width="7.625" style="7" customWidth="1"/>
    <col min="5130" max="5130" width="11.125" style="7" customWidth="1"/>
    <col min="5131" max="5139" width="8.625" style="7" customWidth="1"/>
    <col min="5140" max="5140" width="11.125" style="7" customWidth="1"/>
    <col min="5141" max="5142" width="8.625" style="7" customWidth="1"/>
    <col min="5143" max="5380" width="9" style="7"/>
    <col min="5381" max="5381" width="8.625" style="7" customWidth="1"/>
    <col min="5382" max="5382" width="19.625" style="7" customWidth="1"/>
    <col min="5383" max="5383" width="8.625" style="7" customWidth="1"/>
    <col min="5384" max="5385" width="7.625" style="7" customWidth="1"/>
    <col min="5386" max="5386" width="11.125" style="7" customWidth="1"/>
    <col min="5387" max="5395" width="8.625" style="7" customWidth="1"/>
    <col min="5396" max="5396" width="11.125" style="7" customWidth="1"/>
    <col min="5397" max="5398" width="8.625" style="7" customWidth="1"/>
    <col min="5399" max="5636" width="9" style="7"/>
    <col min="5637" max="5637" width="8.625" style="7" customWidth="1"/>
    <col min="5638" max="5638" width="19.625" style="7" customWidth="1"/>
    <col min="5639" max="5639" width="8.625" style="7" customWidth="1"/>
    <col min="5640" max="5641" width="7.625" style="7" customWidth="1"/>
    <col min="5642" max="5642" width="11.125" style="7" customWidth="1"/>
    <col min="5643" max="5651" width="8.625" style="7" customWidth="1"/>
    <col min="5652" max="5652" width="11.125" style="7" customWidth="1"/>
    <col min="5653" max="5654" width="8.625" style="7" customWidth="1"/>
    <col min="5655" max="5892" width="9" style="7"/>
    <col min="5893" max="5893" width="8.625" style="7" customWidth="1"/>
    <col min="5894" max="5894" width="19.625" style="7" customWidth="1"/>
    <col min="5895" max="5895" width="8.625" style="7" customWidth="1"/>
    <col min="5896" max="5897" width="7.625" style="7" customWidth="1"/>
    <col min="5898" max="5898" width="11.125" style="7" customWidth="1"/>
    <col min="5899" max="5907" width="8.625" style="7" customWidth="1"/>
    <col min="5908" max="5908" width="11.125" style="7" customWidth="1"/>
    <col min="5909" max="5910" width="8.625" style="7" customWidth="1"/>
    <col min="5911" max="6148" width="9" style="7"/>
    <col min="6149" max="6149" width="8.625" style="7" customWidth="1"/>
    <col min="6150" max="6150" width="19.625" style="7" customWidth="1"/>
    <col min="6151" max="6151" width="8.625" style="7" customWidth="1"/>
    <col min="6152" max="6153" width="7.625" style="7" customWidth="1"/>
    <col min="6154" max="6154" width="11.125" style="7" customWidth="1"/>
    <col min="6155" max="6163" width="8.625" style="7" customWidth="1"/>
    <col min="6164" max="6164" width="11.125" style="7" customWidth="1"/>
    <col min="6165" max="6166" width="8.625" style="7" customWidth="1"/>
    <col min="6167" max="6404" width="9" style="7"/>
    <col min="6405" max="6405" width="8.625" style="7" customWidth="1"/>
    <col min="6406" max="6406" width="19.625" style="7" customWidth="1"/>
    <col min="6407" max="6407" width="8.625" style="7" customWidth="1"/>
    <col min="6408" max="6409" width="7.625" style="7" customWidth="1"/>
    <col min="6410" max="6410" width="11.125" style="7" customWidth="1"/>
    <col min="6411" max="6419" width="8.625" style="7" customWidth="1"/>
    <col min="6420" max="6420" width="11.125" style="7" customWidth="1"/>
    <col min="6421" max="6422" width="8.625" style="7" customWidth="1"/>
    <col min="6423" max="6660" width="9" style="7"/>
    <col min="6661" max="6661" width="8.625" style="7" customWidth="1"/>
    <col min="6662" max="6662" width="19.625" style="7" customWidth="1"/>
    <col min="6663" max="6663" width="8.625" style="7" customWidth="1"/>
    <col min="6664" max="6665" width="7.625" style="7" customWidth="1"/>
    <col min="6666" max="6666" width="11.125" style="7" customWidth="1"/>
    <col min="6667" max="6675" width="8.625" style="7" customWidth="1"/>
    <col min="6676" max="6676" width="11.125" style="7" customWidth="1"/>
    <col min="6677" max="6678" width="8.625" style="7" customWidth="1"/>
    <col min="6679" max="6916" width="9" style="7"/>
    <col min="6917" max="6917" width="8.625" style="7" customWidth="1"/>
    <col min="6918" max="6918" width="19.625" style="7" customWidth="1"/>
    <col min="6919" max="6919" width="8.625" style="7" customWidth="1"/>
    <col min="6920" max="6921" width="7.625" style="7" customWidth="1"/>
    <col min="6922" max="6922" width="11.125" style="7" customWidth="1"/>
    <col min="6923" max="6931" width="8.625" style="7" customWidth="1"/>
    <col min="6932" max="6932" width="11.125" style="7" customWidth="1"/>
    <col min="6933" max="6934" width="8.625" style="7" customWidth="1"/>
    <col min="6935" max="7172" width="9" style="7"/>
    <col min="7173" max="7173" width="8.625" style="7" customWidth="1"/>
    <col min="7174" max="7174" width="19.625" style="7" customWidth="1"/>
    <col min="7175" max="7175" width="8.625" style="7" customWidth="1"/>
    <col min="7176" max="7177" width="7.625" style="7" customWidth="1"/>
    <col min="7178" max="7178" width="11.125" style="7" customWidth="1"/>
    <col min="7179" max="7187" width="8.625" style="7" customWidth="1"/>
    <col min="7188" max="7188" width="11.125" style="7" customWidth="1"/>
    <col min="7189" max="7190" width="8.625" style="7" customWidth="1"/>
    <col min="7191" max="7428" width="9" style="7"/>
    <col min="7429" max="7429" width="8.625" style="7" customWidth="1"/>
    <col min="7430" max="7430" width="19.625" style="7" customWidth="1"/>
    <col min="7431" max="7431" width="8.625" style="7" customWidth="1"/>
    <col min="7432" max="7433" width="7.625" style="7" customWidth="1"/>
    <col min="7434" max="7434" width="11.125" style="7" customWidth="1"/>
    <col min="7435" max="7443" width="8.625" style="7" customWidth="1"/>
    <col min="7444" max="7444" width="11.125" style="7" customWidth="1"/>
    <col min="7445" max="7446" width="8.625" style="7" customWidth="1"/>
    <col min="7447" max="7684" width="9" style="7"/>
    <col min="7685" max="7685" width="8.625" style="7" customWidth="1"/>
    <col min="7686" max="7686" width="19.625" style="7" customWidth="1"/>
    <col min="7687" max="7687" width="8.625" style="7" customWidth="1"/>
    <col min="7688" max="7689" width="7.625" style="7" customWidth="1"/>
    <col min="7690" max="7690" width="11.125" style="7" customWidth="1"/>
    <col min="7691" max="7699" width="8.625" style="7" customWidth="1"/>
    <col min="7700" max="7700" width="11.125" style="7" customWidth="1"/>
    <col min="7701" max="7702" width="8.625" style="7" customWidth="1"/>
    <col min="7703" max="7940" width="9" style="7"/>
    <col min="7941" max="7941" width="8.625" style="7" customWidth="1"/>
    <col min="7942" max="7942" width="19.625" style="7" customWidth="1"/>
    <col min="7943" max="7943" width="8.625" style="7" customWidth="1"/>
    <col min="7944" max="7945" width="7.625" style="7" customWidth="1"/>
    <col min="7946" max="7946" width="11.125" style="7" customWidth="1"/>
    <col min="7947" max="7955" width="8.625" style="7" customWidth="1"/>
    <col min="7956" max="7956" width="11.125" style="7" customWidth="1"/>
    <col min="7957" max="7958" width="8.625" style="7" customWidth="1"/>
    <col min="7959" max="8196" width="9" style="7"/>
    <col min="8197" max="8197" width="8.625" style="7" customWidth="1"/>
    <col min="8198" max="8198" width="19.625" style="7" customWidth="1"/>
    <col min="8199" max="8199" width="8.625" style="7" customWidth="1"/>
    <col min="8200" max="8201" width="7.625" style="7" customWidth="1"/>
    <col min="8202" max="8202" width="11.125" style="7" customWidth="1"/>
    <col min="8203" max="8211" width="8.625" style="7" customWidth="1"/>
    <col min="8212" max="8212" width="11.125" style="7" customWidth="1"/>
    <col min="8213" max="8214" width="8.625" style="7" customWidth="1"/>
    <col min="8215" max="8452" width="9" style="7"/>
    <col min="8453" max="8453" width="8.625" style="7" customWidth="1"/>
    <col min="8454" max="8454" width="19.625" style="7" customWidth="1"/>
    <col min="8455" max="8455" width="8.625" style="7" customWidth="1"/>
    <col min="8456" max="8457" width="7.625" style="7" customWidth="1"/>
    <col min="8458" max="8458" width="11.125" style="7" customWidth="1"/>
    <col min="8459" max="8467" width="8.625" style="7" customWidth="1"/>
    <col min="8468" max="8468" width="11.125" style="7" customWidth="1"/>
    <col min="8469" max="8470" width="8.625" style="7" customWidth="1"/>
    <col min="8471" max="8708" width="9" style="7"/>
    <col min="8709" max="8709" width="8.625" style="7" customWidth="1"/>
    <col min="8710" max="8710" width="19.625" style="7" customWidth="1"/>
    <col min="8711" max="8711" width="8.625" style="7" customWidth="1"/>
    <col min="8712" max="8713" width="7.625" style="7" customWidth="1"/>
    <col min="8714" max="8714" width="11.125" style="7" customWidth="1"/>
    <col min="8715" max="8723" width="8.625" style="7" customWidth="1"/>
    <col min="8724" max="8724" width="11.125" style="7" customWidth="1"/>
    <col min="8725" max="8726" width="8.625" style="7" customWidth="1"/>
    <col min="8727" max="8964" width="9" style="7"/>
    <col min="8965" max="8965" width="8.625" style="7" customWidth="1"/>
    <col min="8966" max="8966" width="19.625" style="7" customWidth="1"/>
    <col min="8967" max="8967" width="8.625" style="7" customWidth="1"/>
    <col min="8968" max="8969" width="7.625" style="7" customWidth="1"/>
    <col min="8970" max="8970" width="11.125" style="7" customWidth="1"/>
    <col min="8971" max="8979" width="8.625" style="7" customWidth="1"/>
    <col min="8980" max="8980" width="11.125" style="7" customWidth="1"/>
    <col min="8981" max="8982" width="8.625" style="7" customWidth="1"/>
    <col min="8983" max="9220" width="9" style="7"/>
    <col min="9221" max="9221" width="8.625" style="7" customWidth="1"/>
    <col min="9222" max="9222" width="19.625" style="7" customWidth="1"/>
    <col min="9223" max="9223" width="8.625" style="7" customWidth="1"/>
    <col min="9224" max="9225" width="7.625" style="7" customWidth="1"/>
    <col min="9226" max="9226" width="11.125" style="7" customWidth="1"/>
    <col min="9227" max="9235" width="8.625" style="7" customWidth="1"/>
    <col min="9236" max="9236" width="11.125" style="7" customWidth="1"/>
    <col min="9237" max="9238" width="8.625" style="7" customWidth="1"/>
    <col min="9239" max="9476" width="9" style="7"/>
    <col min="9477" max="9477" width="8.625" style="7" customWidth="1"/>
    <col min="9478" max="9478" width="19.625" style="7" customWidth="1"/>
    <col min="9479" max="9479" width="8.625" style="7" customWidth="1"/>
    <col min="9480" max="9481" width="7.625" style="7" customWidth="1"/>
    <col min="9482" max="9482" width="11.125" style="7" customWidth="1"/>
    <col min="9483" max="9491" width="8.625" style="7" customWidth="1"/>
    <col min="9492" max="9492" width="11.125" style="7" customWidth="1"/>
    <col min="9493" max="9494" width="8.625" style="7" customWidth="1"/>
    <col min="9495" max="9732" width="9" style="7"/>
    <col min="9733" max="9733" width="8.625" style="7" customWidth="1"/>
    <col min="9734" max="9734" width="19.625" style="7" customWidth="1"/>
    <col min="9735" max="9735" width="8.625" style="7" customWidth="1"/>
    <col min="9736" max="9737" width="7.625" style="7" customWidth="1"/>
    <col min="9738" max="9738" width="11.125" style="7" customWidth="1"/>
    <col min="9739" max="9747" width="8.625" style="7" customWidth="1"/>
    <col min="9748" max="9748" width="11.125" style="7" customWidth="1"/>
    <col min="9749" max="9750" width="8.625" style="7" customWidth="1"/>
    <col min="9751" max="9988" width="9" style="7"/>
    <col min="9989" max="9989" width="8.625" style="7" customWidth="1"/>
    <col min="9990" max="9990" width="19.625" style="7" customWidth="1"/>
    <col min="9991" max="9991" width="8.625" style="7" customWidth="1"/>
    <col min="9992" max="9993" width="7.625" style="7" customWidth="1"/>
    <col min="9994" max="9994" width="11.125" style="7" customWidth="1"/>
    <col min="9995" max="10003" width="8.625" style="7" customWidth="1"/>
    <col min="10004" max="10004" width="11.125" style="7" customWidth="1"/>
    <col min="10005" max="10006" width="8.625" style="7" customWidth="1"/>
    <col min="10007" max="10244" width="9" style="7"/>
    <col min="10245" max="10245" width="8.625" style="7" customWidth="1"/>
    <col min="10246" max="10246" width="19.625" style="7" customWidth="1"/>
    <col min="10247" max="10247" width="8.625" style="7" customWidth="1"/>
    <col min="10248" max="10249" width="7.625" style="7" customWidth="1"/>
    <col min="10250" max="10250" width="11.125" style="7" customWidth="1"/>
    <col min="10251" max="10259" width="8.625" style="7" customWidth="1"/>
    <col min="10260" max="10260" width="11.125" style="7" customWidth="1"/>
    <col min="10261" max="10262" width="8.625" style="7" customWidth="1"/>
    <col min="10263" max="10500" width="9" style="7"/>
    <col min="10501" max="10501" width="8.625" style="7" customWidth="1"/>
    <col min="10502" max="10502" width="19.625" style="7" customWidth="1"/>
    <col min="10503" max="10503" width="8.625" style="7" customWidth="1"/>
    <col min="10504" max="10505" width="7.625" style="7" customWidth="1"/>
    <col min="10506" max="10506" width="11.125" style="7" customWidth="1"/>
    <col min="10507" max="10515" width="8.625" style="7" customWidth="1"/>
    <col min="10516" max="10516" width="11.125" style="7" customWidth="1"/>
    <col min="10517" max="10518" width="8.625" style="7" customWidth="1"/>
    <col min="10519" max="10756" width="9" style="7"/>
    <col min="10757" max="10757" width="8.625" style="7" customWidth="1"/>
    <col min="10758" max="10758" width="19.625" style="7" customWidth="1"/>
    <col min="10759" max="10759" width="8.625" style="7" customWidth="1"/>
    <col min="10760" max="10761" width="7.625" style="7" customWidth="1"/>
    <col min="10762" max="10762" width="11.125" style="7" customWidth="1"/>
    <col min="10763" max="10771" width="8.625" style="7" customWidth="1"/>
    <col min="10772" max="10772" width="11.125" style="7" customWidth="1"/>
    <col min="10773" max="10774" width="8.625" style="7" customWidth="1"/>
    <col min="10775" max="11012" width="9" style="7"/>
    <col min="11013" max="11013" width="8.625" style="7" customWidth="1"/>
    <col min="11014" max="11014" width="19.625" style="7" customWidth="1"/>
    <col min="11015" max="11015" width="8.625" style="7" customWidth="1"/>
    <col min="11016" max="11017" width="7.625" style="7" customWidth="1"/>
    <col min="11018" max="11018" width="11.125" style="7" customWidth="1"/>
    <col min="11019" max="11027" width="8.625" style="7" customWidth="1"/>
    <col min="11028" max="11028" width="11.125" style="7" customWidth="1"/>
    <col min="11029" max="11030" width="8.625" style="7" customWidth="1"/>
    <col min="11031" max="11268" width="9" style="7"/>
    <col min="11269" max="11269" width="8.625" style="7" customWidth="1"/>
    <col min="11270" max="11270" width="19.625" style="7" customWidth="1"/>
    <col min="11271" max="11271" width="8.625" style="7" customWidth="1"/>
    <col min="11272" max="11273" width="7.625" style="7" customWidth="1"/>
    <col min="11274" max="11274" width="11.125" style="7" customWidth="1"/>
    <col min="11275" max="11283" width="8.625" style="7" customWidth="1"/>
    <col min="11284" max="11284" width="11.125" style="7" customWidth="1"/>
    <col min="11285" max="11286" width="8.625" style="7" customWidth="1"/>
    <col min="11287" max="11524" width="9" style="7"/>
    <col min="11525" max="11525" width="8.625" style="7" customWidth="1"/>
    <col min="11526" max="11526" width="19.625" style="7" customWidth="1"/>
    <col min="11527" max="11527" width="8.625" style="7" customWidth="1"/>
    <col min="11528" max="11529" width="7.625" style="7" customWidth="1"/>
    <col min="11530" max="11530" width="11.125" style="7" customWidth="1"/>
    <col min="11531" max="11539" width="8.625" style="7" customWidth="1"/>
    <col min="11540" max="11540" width="11.125" style="7" customWidth="1"/>
    <col min="11541" max="11542" width="8.625" style="7" customWidth="1"/>
    <col min="11543" max="11780" width="9" style="7"/>
    <col min="11781" max="11781" width="8.625" style="7" customWidth="1"/>
    <col min="11782" max="11782" width="19.625" style="7" customWidth="1"/>
    <col min="11783" max="11783" width="8.625" style="7" customWidth="1"/>
    <col min="11784" max="11785" width="7.625" style="7" customWidth="1"/>
    <col min="11786" max="11786" width="11.125" style="7" customWidth="1"/>
    <col min="11787" max="11795" width="8.625" style="7" customWidth="1"/>
    <col min="11796" max="11796" width="11.125" style="7" customWidth="1"/>
    <col min="11797" max="11798" width="8.625" style="7" customWidth="1"/>
    <col min="11799" max="12036" width="9" style="7"/>
    <col min="12037" max="12037" width="8.625" style="7" customWidth="1"/>
    <col min="12038" max="12038" width="19.625" style="7" customWidth="1"/>
    <col min="12039" max="12039" width="8.625" style="7" customWidth="1"/>
    <col min="12040" max="12041" width="7.625" style="7" customWidth="1"/>
    <col min="12042" max="12042" width="11.125" style="7" customWidth="1"/>
    <col min="12043" max="12051" width="8.625" style="7" customWidth="1"/>
    <col min="12052" max="12052" width="11.125" style="7" customWidth="1"/>
    <col min="12053" max="12054" width="8.625" style="7" customWidth="1"/>
    <col min="12055" max="12292" width="9" style="7"/>
    <col min="12293" max="12293" width="8.625" style="7" customWidth="1"/>
    <col min="12294" max="12294" width="19.625" style="7" customWidth="1"/>
    <col min="12295" max="12295" width="8.625" style="7" customWidth="1"/>
    <col min="12296" max="12297" width="7.625" style="7" customWidth="1"/>
    <col min="12298" max="12298" width="11.125" style="7" customWidth="1"/>
    <col min="12299" max="12307" width="8.625" style="7" customWidth="1"/>
    <col min="12308" max="12308" width="11.125" style="7" customWidth="1"/>
    <col min="12309" max="12310" width="8.625" style="7" customWidth="1"/>
    <col min="12311" max="12548" width="9" style="7"/>
    <col min="12549" max="12549" width="8.625" style="7" customWidth="1"/>
    <col min="12550" max="12550" width="19.625" style="7" customWidth="1"/>
    <col min="12551" max="12551" width="8.625" style="7" customWidth="1"/>
    <col min="12552" max="12553" width="7.625" style="7" customWidth="1"/>
    <col min="12554" max="12554" width="11.125" style="7" customWidth="1"/>
    <col min="12555" max="12563" width="8.625" style="7" customWidth="1"/>
    <col min="12564" max="12564" width="11.125" style="7" customWidth="1"/>
    <col min="12565" max="12566" width="8.625" style="7" customWidth="1"/>
    <col min="12567" max="12804" width="9" style="7"/>
    <col min="12805" max="12805" width="8.625" style="7" customWidth="1"/>
    <col min="12806" max="12806" width="19.625" style="7" customWidth="1"/>
    <col min="12807" max="12807" width="8.625" style="7" customWidth="1"/>
    <col min="12808" max="12809" width="7.625" style="7" customWidth="1"/>
    <col min="12810" max="12810" width="11.125" style="7" customWidth="1"/>
    <col min="12811" max="12819" width="8.625" style="7" customWidth="1"/>
    <col min="12820" max="12820" width="11.125" style="7" customWidth="1"/>
    <col min="12821" max="12822" width="8.625" style="7" customWidth="1"/>
    <col min="12823" max="13060" width="9" style="7"/>
    <col min="13061" max="13061" width="8.625" style="7" customWidth="1"/>
    <col min="13062" max="13062" width="19.625" style="7" customWidth="1"/>
    <col min="13063" max="13063" width="8.625" style="7" customWidth="1"/>
    <col min="13064" max="13065" width="7.625" style="7" customWidth="1"/>
    <col min="13066" max="13066" width="11.125" style="7" customWidth="1"/>
    <col min="13067" max="13075" width="8.625" style="7" customWidth="1"/>
    <col min="13076" max="13076" width="11.125" style="7" customWidth="1"/>
    <col min="13077" max="13078" width="8.625" style="7" customWidth="1"/>
    <col min="13079" max="13316" width="9" style="7"/>
    <col min="13317" max="13317" width="8.625" style="7" customWidth="1"/>
    <col min="13318" max="13318" width="19.625" style="7" customWidth="1"/>
    <col min="13319" max="13319" width="8.625" style="7" customWidth="1"/>
    <col min="13320" max="13321" width="7.625" style="7" customWidth="1"/>
    <col min="13322" max="13322" width="11.125" style="7" customWidth="1"/>
    <col min="13323" max="13331" width="8.625" style="7" customWidth="1"/>
    <col min="13332" max="13332" width="11.125" style="7" customWidth="1"/>
    <col min="13333" max="13334" width="8.625" style="7" customWidth="1"/>
    <col min="13335" max="13572" width="9" style="7"/>
    <col min="13573" max="13573" width="8.625" style="7" customWidth="1"/>
    <col min="13574" max="13574" width="19.625" style="7" customWidth="1"/>
    <col min="13575" max="13575" width="8.625" style="7" customWidth="1"/>
    <col min="13576" max="13577" width="7.625" style="7" customWidth="1"/>
    <col min="13578" max="13578" width="11.125" style="7" customWidth="1"/>
    <col min="13579" max="13587" width="8.625" style="7" customWidth="1"/>
    <col min="13588" max="13588" width="11.125" style="7" customWidth="1"/>
    <col min="13589" max="13590" width="8.625" style="7" customWidth="1"/>
    <col min="13591" max="13828" width="9" style="7"/>
    <col min="13829" max="13829" width="8.625" style="7" customWidth="1"/>
    <col min="13830" max="13830" width="19.625" style="7" customWidth="1"/>
    <col min="13831" max="13831" width="8.625" style="7" customWidth="1"/>
    <col min="13832" max="13833" width="7.625" style="7" customWidth="1"/>
    <col min="13834" max="13834" width="11.125" style="7" customWidth="1"/>
    <col min="13835" max="13843" width="8.625" style="7" customWidth="1"/>
    <col min="13844" max="13844" width="11.125" style="7" customWidth="1"/>
    <col min="13845" max="13846" width="8.625" style="7" customWidth="1"/>
    <col min="13847" max="14084" width="9" style="7"/>
    <col min="14085" max="14085" width="8.625" style="7" customWidth="1"/>
    <col min="14086" max="14086" width="19.625" style="7" customWidth="1"/>
    <col min="14087" max="14087" width="8.625" style="7" customWidth="1"/>
    <col min="14088" max="14089" width="7.625" style="7" customWidth="1"/>
    <col min="14090" max="14090" width="11.125" style="7" customWidth="1"/>
    <col min="14091" max="14099" width="8.625" style="7" customWidth="1"/>
    <col min="14100" max="14100" width="11.125" style="7" customWidth="1"/>
    <col min="14101" max="14102" width="8.625" style="7" customWidth="1"/>
    <col min="14103" max="14340" width="9" style="7"/>
    <col min="14341" max="14341" width="8.625" style="7" customWidth="1"/>
    <col min="14342" max="14342" width="19.625" style="7" customWidth="1"/>
    <col min="14343" max="14343" width="8.625" style="7" customWidth="1"/>
    <col min="14344" max="14345" width="7.625" style="7" customWidth="1"/>
    <col min="14346" max="14346" width="11.125" style="7" customWidth="1"/>
    <col min="14347" max="14355" width="8.625" style="7" customWidth="1"/>
    <col min="14356" max="14356" width="11.125" style="7" customWidth="1"/>
    <col min="14357" max="14358" width="8.625" style="7" customWidth="1"/>
    <col min="14359" max="14596" width="9" style="7"/>
    <col min="14597" max="14597" width="8.625" style="7" customWidth="1"/>
    <col min="14598" max="14598" width="19.625" style="7" customWidth="1"/>
    <col min="14599" max="14599" width="8.625" style="7" customWidth="1"/>
    <col min="14600" max="14601" width="7.625" style="7" customWidth="1"/>
    <col min="14602" max="14602" width="11.125" style="7" customWidth="1"/>
    <col min="14603" max="14611" width="8.625" style="7" customWidth="1"/>
    <col min="14612" max="14612" width="11.125" style="7" customWidth="1"/>
    <col min="14613" max="14614" width="8.625" style="7" customWidth="1"/>
    <col min="14615" max="14852" width="9" style="7"/>
    <col min="14853" max="14853" width="8.625" style="7" customWidth="1"/>
    <col min="14854" max="14854" width="19.625" style="7" customWidth="1"/>
    <col min="14855" max="14855" width="8.625" style="7" customWidth="1"/>
    <col min="14856" max="14857" width="7.625" style="7" customWidth="1"/>
    <col min="14858" max="14858" width="11.125" style="7" customWidth="1"/>
    <col min="14859" max="14867" width="8.625" style="7" customWidth="1"/>
    <col min="14868" max="14868" width="11.125" style="7" customWidth="1"/>
    <col min="14869" max="14870" width="8.625" style="7" customWidth="1"/>
    <col min="14871" max="15108" width="9" style="7"/>
    <col min="15109" max="15109" width="8.625" style="7" customWidth="1"/>
    <col min="15110" max="15110" width="19.625" style="7" customWidth="1"/>
    <col min="15111" max="15111" width="8.625" style="7" customWidth="1"/>
    <col min="15112" max="15113" width="7.625" style="7" customWidth="1"/>
    <col min="15114" max="15114" width="11.125" style="7" customWidth="1"/>
    <col min="15115" max="15123" width="8.625" style="7" customWidth="1"/>
    <col min="15124" max="15124" width="11.125" style="7" customWidth="1"/>
    <col min="15125" max="15126" width="8.625" style="7" customWidth="1"/>
    <col min="15127" max="15364" width="9" style="7"/>
    <col min="15365" max="15365" width="8.625" style="7" customWidth="1"/>
    <col min="15366" max="15366" width="19.625" style="7" customWidth="1"/>
    <col min="15367" max="15367" width="8.625" style="7" customWidth="1"/>
    <col min="15368" max="15369" width="7.625" style="7" customWidth="1"/>
    <col min="15370" max="15370" width="11.125" style="7" customWidth="1"/>
    <col min="15371" max="15379" width="8.625" style="7" customWidth="1"/>
    <col min="15380" max="15380" width="11.125" style="7" customWidth="1"/>
    <col min="15381" max="15382" width="8.625" style="7" customWidth="1"/>
    <col min="15383" max="15620" width="9" style="7"/>
    <col min="15621" max="15621" width="8.625" style="7" customWidth="1"/>
    <col min="15622" max="15622" width="19.625" style="7" customWidth="1"/>
    <col min="15623" max="15623" width="8.625" style="7" customWidth="1"/>
    <col min="15624" max="15625" width="7.625" style="7" customWidth="1"/>
    <col min="15626" max="15626" width="11.125" style="7" customWidth="1"/>
    <col min="15627" max="15635" width="8.625" style="7" customWidth="1"/>
    <col min="15636" max="15636" width="11.125" style="7" customWidth="1"/>
    <col min="15637" max="15638" width="8.625" style="7" customWidth="1"/>
    <col min="15639" max="15876" width="9" style="7"/>
    <col min="15877" max="15877" width="8.625" style="7" customWidth="1"/>
    <col min="15878" max="15878" width="19.625" style="7" customWidth="1"/>
    <col min="15879" max="15879" width="8.625" style="7" customWidth="1"/>
    <col min="15880" max="15881" width="7.625" style="7" customWidth="1"/>
    <col min="15882" max="15882" width="11.125" style="7" customWidth="1"/>
    <col min="15883" max="15891" width="8.625" style="7" customWidth="1"/>
    <col min="15892" max="15892" width="11.125" style="7" customWidth="1"/>
    <col min="15893" max="15894" width="8.625" style="7" customWidth="1"/>
    <col min="15895" max="16132" width="9" style="7"/>
    <col min="16133" max="16133" width="8.625" style="7" customWidth="1"/>
    <col min="16134" max="16134" width="19.625" style="7" customWidth="1"/>
    <col min="16135" max="16135" width="8.625" style="7" customWidth="1"/>
    <col min="16136" max="16137" width="7.625" style="7" customWidth="1"/>
    <col min="16138" max="16138" width="11.125" style="7" customWidth="1"/>
    <col min="16139" max="16147" width="8.625" style="7" customWidth="1"/>
    <col min="16148" max="16148" width="11.125" style="7" customWidth="1"/>
    <col min="16149" max="16150" width="8.625" style="7" customWidth="1"/>
    <col min="16151" max="16384" width="9" style="7"/>
  </cols>
  <sheetData>
    <row r="1" spans="1:31" s="13" customFormat="1" ht="23.1" customHeight="1">
      <c r="A1" s="219" t="s">
        <v>0</v>
      </c>
      <c r="B1" s="220"/>
      <c r="C1" s="221" t="s">
        <v>35</v>
      </c>
      <c r="D1" s="222"/>
      <c r="E1" s="222"/>
      <c r="F1" s="222"/>
      <c r="G1" s="222"/>
      <c r="H1" s="223"/>
      <c r="I1" s="12" t="s">
        <v>25</v>
      </c>
      <c r="J1" s="224">
        <v>82000000</v>
      </c>
      <c r="K1" s="225"/>
      <c r="L1" s="225"/>
      <c r="M1" s="225"/>
      <c r="N1" s="225"/>
      <c r="O1" s="152"/>
      <c r="P1" s="152"/>
      <c r="Q1" s="321"/>
      <c r="R1" s="226"/>
      <c r="S1" s="227"/>
      <c r="T1" s="231" t="s">
        <v>1</v>
      </c>
      <c r="U1" s="231"/>
      <c r="V1" s="231"/>
    </row>
    <row r="2" spans="1:31" s="13" customFormat="1" ht="23.1" customHeight="1">
      <c r="A2" s="232" t="s">
        <v>26</v>
      </c>
      <c r="B2" s="233"/>
      <c r="C2" s="234" t="s">
        <v>36</v>
      </c>
      <c r="D2" s="235"/>
      <c r="E2" s="235"/>
      <c r="F2" s="235"/>
      <c r="G2" s="235"/>
      <c r="H2" s="236"/>
      <c r="I2" s="14" t="s">
        <v>27</v>
      </c>
      <c r="J2" s="237">
        <v>5634000</v>
      </c>
      <c r="K2" s="238"/>
      <c r="L2" s="238"/>
      <c r="M2" s="238"/>
      <c r="N2" s="238"/>
      <c r="O2" s="153"/>
      <c r="P2" s="153"/>
      <c r="Q2" s="322"/>
      <c r="R2" s="210"/>
      <c r="S2" s="228"/>
      <c r="T2" s="252">
        <v>45903</v>
      </c>
      <c r="U2" s="253"/>
      <c r="V2" s="254"/>
    </row>
    <row r="3" spans="1:31" s="13" customFormat="1" ht="23.1" customHeight="1" thickBot="1">
      <c r="A3" s="241" t="s">
        <v>2</v>
      </c>
      <c r="B3" s="242"/>
      <c r="C3" s="243">
        <f>J1-G137</f>
        <v>7049410</v>
      </c>
      <c r="D3" s="244"/>
      <c r="E3" s="244"/>
      <c r="F3" s="244"/>
      <c r="G3" s="244"/>
      <c r="H3" s="245"/>
      <c r="I3" s="15" t="s">
        <v>3</v>
      </c>
      <c r="J3" s="246">
        <f>SUM(J1:Q2)</f>
        <v>87634000</v>
      </c>
      <c r="K3" s="247"/>
      <c r="L3" s="247"/>
      <c r="M3" s="247"/>
      <c r="N3" s="247"/>
      <c r="O3" s="154"/>
      <c r="P3" s="154"/>
      <c r="Q3" s="323"/>
      <c r="R3" s="210"/>
      <c r="S3" s="228"/>
      <c r="T3" s="255"/>
      <c r="U3" s="256"/>
      <c r="V3" s="257"/>
    </row>
    <row r="4" spans="1:31" s="13" customFormat="1" ht="23.1" customHeight="1" thickBot="1">
      <c r="A4" s="248" t="s">
        <v>4</v>
      </c>
      <c r="B4" s="248"/>
      <c r="C4" s="249">
        <v>8.5999999999999993E-2</v>
      </c>
      <c r="D4" s="249"/>
      <c r="E4" s="250"/>
      <c r="F4" s="250"/>
      <c r="G4" s="250" t="s">
        <v>5</v>
      </c>
      <c r="H4" s="250"/>
      <c r="I4" s="16">
        <f>J3-I137</f>
        <v>1658680</v>
      </c>
      <c r="J4" s="209"/>
      <c r="K4" s="251"/>
      <c r="L4" s="251"/>
      <c r="M4" s="251"/>
      <c r="N4" s="251"/>
      <c r="O4" s="251"/>
      <c r="P4" s="251"/>
      <c r="Q4" s="251"/>
      <c r="R4" s="332"/>
      <c r="S4" s="334"/>
      <c r="T4" s="335"/>
      <c r="U4" s="336"/>
      <c r="V4" s="337"/>
    </row>
    <row r="5" spans="1:31" s="13" customFormat="1" ht="18" customHeight="1" thickBot="1">
      <c r="A5" s="199" t="s">
        <v>6</v>
      </c>
      <c r="B5" s="199"/>
      <c r="C5" s="201" t="s">
        <v>28</v>
      </c>
      <c r="D5" s="203" t="s">
        <v>29</v>
      </c>
      <c r="E5" s="205" t="s">
        <v>23</v>
      </c>
      <c r="F5" s="206"/>
      <c r="G5" s="205" t="s">
        <v>30</v>
      </c>
      <c r="H5" s="206"/>
      <c r="I5" s="216" t="s">
        <v>31</v>
      </c>
      <c r="J5" s="316">
        <v>2025</v>
      </c>
      <c r="K5" s="17"/>
      <c r="L5" s="17"/>
      <c r="M5" s="17"/>
      <c r="N5" s="17"/>
      <c r="O5" s="17"/>
      <c r="P5" s="17"/>
      <c r="Q5" s="318"/>
      <c r="R5" s="331" t="s">
        <v>7</v>
      </c>
      <c r="S5" s="333" t="s">
        <v>8</v>
      </c>
      <c r="T5" s="197" t="s">
        <v>9</v>
      </c>
      <c r="U5" s="212" t="s">
        <v>10</v>
      </c>
      <c r="V5" s="213" t="s">
        <v>11</v>
      </c>
      <c r="X5" s="326">
        <v>2025</v>
      </c>
      <c r="Y5" s="17"/>
      <c r="Z5" s="17"/>
      <c r="AA5" s="17"/>
      <c r="AB5" s="17"/>
      <c r="AC5" s="17"/>
      <c r="AD5" s="17"/>
      <c r="AE5" s="318"/>
    </row>
    <row r="6" spans="1:31" s="13" customFormat="1" ht="44.25" customHeight="1" thickBot="1">
      <c r="A6" s="263"/>
      <c r="B6" s="263"/>
      <c r="C6" s="264"/>
      <c r="D6" s="265"/>
      <c r="E6" s="266"/>
      <c r="F6" s="267"/>
      <c r="G6" s="266"/>
      <c r="H6" s="267"/>
      <c r="I6" s="268"/>
      <c r="J6" s="317" t="s">
        <v>136</v>
      </c>
      <c r="K6" s="317" t="s">
        <v>137</v>
      </c>
      <c r="L6" s="317" t="s">
        <v>138</v>
      </c>
      <c r="M6" s="317" t="s">
        <v>139</v>
      </c>
      <c r="N6" s="317" t="s">
        <v>140</v>
      </c>
      <c r="O6" s="317" t="s">
        <v>141</v>
      </c>
      <c r="P6" s="317" t="s">
        <v>142</v>
      </c>
      <c r="Q6" s="317" t="s">
        <v>143</v>
      </c>
      <c r="R6" s="319"/>
      <c r="S6" s="320"/>
      <c r="T6" s="198"/>
      <c r="U6" s="212"/>
      <c r="V6" s="213"/>
      <c r="X6" s="327" t="s">
        <v>136</v>
      </c>
      <c r="Y6" s="325" t="s">
        <v>137</v>
      </c>
      <c r="Z6" s="317" t="s">
        <v>138</v>
      </c>
      <c r="AA6" s="317" t="s">
        <v>139</v>
      </c>
      <c r="AB6" s="317" t="s">
        <v>140</v>
      </c>
      <c r="AC6" s="317" t="s">
        <v>141</v>
      </c>
      <c r="AD6" s="317" t="s">
        <v>142</v>
      </c>
      <c r="AE6" s="317" t="s">
        <v>143</v>
      </c>
    </row>
    <row r="7" spans="1:31" ht="18.95" customHeight="1" thickTop="1">
      <c r="A7" s="311" t="s">
        <v>37</v>
      </c>
      <c r="B7" s="269" t="s">
        <v>38</v>
      </c>
      <c r="C7" s="155" t="s">
        <v>39</v>
      </c>
      <c r="D7" s="270" t="s">
        <v>40</v>
      </c>
      <c r="E7" s="271">
        <v>450000</v>
      </c>
      <c r="F7" s="192"/>
      <c r="G7" s="271">
        <v>800000</v>
      </c>
      <c r="H7" s="192"/>
      <c r="I7" s="272">
        <v>800000</v>
      </c>
      <c r="J7" s="273">
        <v>0</v>
      </c>
      <c r="K7" s="273">
        <v>0</v>
      </c>
      <c r="L7" s="273">
        <v>300000</v>
      </c>
      <c r="M7" s="273">
        <v>210000</v>
      </c>
      <c r="N7" s="273">
        <v>0</v>
      </c>
      <c r="O7" s="273">
        <v>0</v>
      </c>
      <c r="P7" s="273">
        <v>0</v>
      </c>
      <c r="Q7" s="273">
        <v>0</v>
      </c>
      <c r="R7" s="274">
        <f>SUM(J7:Q7)</f>
        <v>510000</v>
      </c>
      <c r="S7" s="275">
        <f>I7-R7</f>
        <v>290000</v>
      </c>
      <c r="T7" s="276">
        <f>G7-I7</f>
        <v>0</v>
      </c>
      <c r="U7" s="277">
        <v>0</v>
      </c>
      <c r="V7" s="278" t="e">
        <f>R7/U7</f>
        <v>#DIV/0!</v>
      </c>
      <c r="X7" s="328"/>
      <c r="Y7" s="273"/>
      <c r="Z7" s="273"/>
      <c r="AA7" s="273"/>
      <c r="AB7" s="273"/>
      <c r="AC7" s="273"/>
      <c r="AD7" s="273"/>
      <c r="AE7" s="273"/>
    </row>
    <row r="8" spans="1:31" ht="18.95" customHeight="1">
      <c r="A8" s="312"/>
      <c r="B8" s="279" t="s">
        <v>41</v>
      </c>
      <c r="C8" s="280" t="s">
        <v>42</v>
      </c>
      <c r="D8" s="281" t="s">
        <v>43</v>
      </c>
      <c r="E8" s="282">
        <v>0</v>
      </c>
      <c r="F8" s="283"/>
      <c r="G8" s="282">
        <v>1925000</v>
      </c>
      <c r="H8" s="283"/>
      <c r="I8" s="284">
        <v>1137500</v>
      </c>
      <c r="J8" s="285">
        <v>0</v>
      </c>
      <c r="K8" s="285">
        <v>0</v>
      </c>
      <c r="L8" s="285">
        <v>0</v>
      </c>
      <c r="M8" s="285">
        <v>0</v>
      </c>
      <c r="N8" s="285">
        <v>0</v>
      </c>
      <c r="O8" s="285">
        <v>0</v>
      </c>
      <c r="P8" s="285">
        <v>0</v>
      </c>
      <c r="Q8" s="285">
        <v>0</v>
      </c>
      <c r="R8" s="286">
        <f>SUM(J8:Q8)</f>
        <v>0</v>
      </c>
      <c r="S8" s="287">
        <f>I8-R8</f>
        <v>1137500</v>
      </c>
      <c r="T8" s="288">
        <f>G8-I8</f>
        <v>787500</v>
      </c>
      <c r="U8" s="289">
        <v>0</v>
      </c>
      <c r="V8" s="290" t="e">
        <f t="shared" ref="V8:V71" si="0">R8/U8</f>
        <v>#DIV/0!</v>
      </c>
      <c r="X8" s="329"/>
      <c r="Y8" s="285"/>
      <c r="Z8" s="285"/>
      <c r="AA8" s="285"/>
      <c r="AB8" s="285"/>
      <c r="AC8" s="285"/>
      <c r="AD8" s="285"/>
      <c r="AE8" s="285"/>
    </row>
    <row r="9" spans="1:31" ht="18.95" customHeight="1">
      <c r="A9" s="312"/>
      <c r="B9" s="279" t="s">
        <v>44</v>
      </c>
      <c r="C9" s="280" t="s">
        <v>45</v>
      </c>
      <c r="D9" s="281" t="s">
        <v>43</v>
      </c>
      <c r="E9" s="282">
        <v>0</v>
      </c>
      <c r="F9" s="283"/>
      <c r="G9" s="282">
        <v>0</v>
      </c>
      <c r="H9" s="283"/>
      <c r="I9" s="284">
        <v>0</v>
      </c>
      <c r="J9" s="285">
        <v>0</v>
      </c>
      <c r="K9" s="285">
        <v>18400</v>
      </c>
      <c r="L9" s="285">
        <v>0</v>
      </c>
      <c r="M9" s="285">
        <v>0</v>
      </c>
      <c r="N9" s="285">
        <v>0</v>
      </c>
      <c r="O9" s="285">
        <v>0</v>
      </c>
      <c r="P9" s="285">
        <v>0</v>
      </c>
      <c r="Q9" s="285">
        <v>0</v>
      </c>
      <c r="R9" s="286">
        <f>SUM(J9:Q9)</f>
        <v>18400</v>
      </c>
      <c r="S9" s="287">
        <f>I9-R9</f>
        <v>-18400</v>
      </c>
      <c r="T9" s="288">
        <f>G9-I9</f>
        <v>0</v>
      </c>
      <c r="U9" s="289">
        <v>0</v>
      </c>
      <c r="V9" s="290" t="e">
        <f t="shared" si="0"/>
        <v>#DIV/0!</v>
      </c>
      <c r="X9" s="329"/>
      <c r="Y9" s="285"/>
      <c r="Z9" s="285"/>
      <c r="AA9" s="285"/>
      <c r="AB9" s="285"/>
      <c r="AC9" s="285"/>
      <c r="AD9" s="285"/>
      <c r="AE9" s="285"/>
    </row>
    <row r="10" spans="1:31" ht="18.95" customHeight="1">
      <c r="A10" s="312"/>
      <c r="B10" s="279" t="s">
        <v>46</v>
      </c>
      <c r="C10" s="280" t="s">
        <v>47</v>
      </c>
      <c r="D10" s="281" t="s">
        <v>48</v>
      </c>
      <c r="E10" s="282">
        <v>400000</v>
      </c>
      <c r="F10" s="283"/>
      <c r="G10" s="282">
        <v>400000</v>
      </c>
      <c r="H10" s="283"/>
      <c r="I10" s="284">
        <v>400000</v>
      </c>
      <c r="J10" s="285">
        <v>0</v>
      </c>
      <c r="K10" s="285">
        <v>0</v>
      </c>
      <c r="L10" s="285">
        <v>0</v>
      </c>
      <c r="M10" s="285">
        <v>216000</v>
      </c>
      <c r="N10" s="285">
        <v>0</v>
      </c>
      <c r="O10" s="285">
        <v>0</v>
      </c>
      <c r="P10" s="285">
        <v>0</v>
      </c>
      <c r="Q10" s="285">
        <v>0</v>
      </c>
      <c r="R10" s="286">
        <f>SUM(J10:Q10)</f>
        <v>216000</v>
      </c>
      <c r="S10" s="287">
        <f>I10-R10</f>
        <v>184000</v>
      </c>
      <c r="T10" s="288">
        <f>G10-I10</f>
        <v>0</v>
      </c>
      <c r="U10" s="289">
        <v>0</v>
      </c>
      <c r="V10" s="290" t="e">
        <f t="shared" si="0"/>
        <v>#DIV/0!</v>
      </c>
      <c r="X10" s="329"/>
      <c r="Y10" s="285"/>
      <c r="Z10" s="285"/>
      <c r="AA10" s="285"/>
      <c r="AB10" s="285"/>
      <c r="AC10" s="285"/>
      <c r="AD10" s="285"/>
      <c r="AE10" s="285"/>
    </row>
    <row r="11" spans="1:31" ht="18.95" customHeight="1">
      <c r="A11" s="312"/>
      <c r="B11" s="279" t="s">
        <v>49</v>
      </c>
      <c r="C11" s="280" t="s">
        <v>50</v>
      </c>
      <c r="D11" s="281" t="s">
        <v>43</v>
      </c>
      <c r="E11" s="282">
        <v>0</v>
      </c>
      <c r="F11" s="283"/>
      <c r="G11" s="282">
        <v>0</v>
      </c>
      <c r="H11" s="283"/>
      <c r="I11" s="284">
        <v>0</v>
      </c>
      <c r="J11" s="285">
        <v>0</v>
      </c>
      <c r="K11" s="285">
        <v>0</v>
      </c>
      <c r="L11" s="285">
        <v>0</v>
      </c>
      <c r="M11" s="285">
        <v>105000</v>
      </c>
      <c r="N11" s="285">
        <v>174500</v>
      </c>
      <c r="O11" s="285">
        <v>45000</v>
      </c>
      <c r="P11" s="285">
        <v>0</v>
      </c>
      <c r="Q11" s="285">
        <v>0</v>
      </c>
      <c r="R11" s="286">
        <f>SUM(J11:Q11)</f>
        <v>324500</v>
      </c>
      <c r="S11" s="287">
        <f>I11-R11</f>
        <v>-324500</v>
      </c>
      <c r="T11" s="288">
        <f>G11-I11</f>
        <v>0</v>
      </c>
      <c r="U11" s="289">
        <v>0</v>
      </c>
      <c r="V11" s="290" t="e">
        <f t="shared" si="0"/>
        <v>#DIV/0!</v>
      </c>
      <c r="X11" s="329"/>
      <c r="Y11" s="285"/>
      <c r="Z11" s="285"/>
      <c r="AA11" s="285"/>
      <c r="AB11" s="285"/>
      <c r="AC11" s="285"/>
      <c r="AD11" s="285"/>
      <c r="AE11" s="285"/>
    </row>
    <row r="12" spans="1:31" ht="18.95" customHeight="1">
      <c r="A12" s="312"/>
      <c r="B12" s="279" t="s">
        <v>51</v>
      </c>
      <c r="C12" s="280" t="s">
        <v>45</v>
      </c>
      <c r="D12" s="281" t="s">
        <v>43</v>
      </c>
      <c r="E12" s="282">
        <v>0</v>
      </c>
      <c r="F12" s="283"/>
      <c r="G12" s="282">
        <v>0</v>
      </c>
      <c r="H12" s="283"/>
      <c r="I12" s="284">
        <v>0</v>
      </c>
      <c r="J12" s="285">
        <v>0</v>
      </c>
      <c r="K12" s="285">
        <v>0</v>
      </c>
      <c r="L12" s="285">
        <v>29200</v>
      </c>
      <c r="M12" s="285">
        <v>0</v>
      </c>
      <c r="N12" s="285">
        <v>0</v>
      </c>
      <c r="O12" s="285">
        <v>0</v>
      </c>
      <c r="P12" s="285">
        <v>0</v>
      </c>
      <c r="Q12" s="285">
        <v>0</v>
      </c>
      <c r="R12" s="286">
        <f>SUM(J12:Q12)</f>
        <v>29200</v>
      </c>
      <c r="S12" s="287">
        <f>I12-R12</f>
        <v>-29200</v>
      </c>
      <c r="T12" s="288">
        <f>G12-I12</f>
        <v>0</v>
      </c>
      <c r="U12" s="289">
        <v>0</v>
      </c>
      <c r="V12" s="290" t="e">
        <f t="shared" si="0"/>
        <v>#DIV/0!</v>
      </c>
      <c r="X12" s="329"/>
      <c r="Y12" s="285"/>
      <c r="Z12" s="285"/>
      <c r="AA12" s="285"/>
      <c r="AB12" s="285"/>
      <c r="AC12" s="285"/>
      <c r="AD12" s="285"/>
      <c r="AE12" s="285"/>
    </row>
    <row r="13" spans="1:31" ht="18.95" customHeight="1">
      <c r="A13" s="312"/>
      <c r="B13" s="279" t="s">
        <v>52</v>
      </c>
      <c r="C13" s="280" t="s">
        <v>50</v>
      </c>
      <c r="D13" s="281" t="s">
        <v>43</v>
      </c>
      <c r="E13" s="282">
        <v>0</v>
      </c>
      <c r="F13" s="283"/>
      <c r="G13" s="282">
        <v>0</v>
      </c>
      <c r="H13" s="283"/>
      <c r="I13" s="284">
        <v>0</v>
      </c>
      <c r="J13" s="285">
        <v>0</v>
      </c>
      <c r="K13" s="285">
        <v>0</v>
      </c>
      <c r="L13" s="285">
        <v>0</v>
      </c>
      <c r="M13" s="285">
        <v>0</v>
      </c>
      <c r="N13" s="285">
        <v>1325</v>
      </c>
      <c r="O13" s="285">
        <v>0</v>
      </c>
      <c r="P13" s="285">
        <v>0</v>
      </c>
      <c r="Q13" s="285">
        <v>0</v>
      </c>
      <c r="R13" s="286">
        <f>SUM(J13:Q13)</f>
        <v>1325</v>
      </c>
      <c r="S13" s="287">
        <f>I13-R13</f>
        <v>-1325</v>
      </c>
      <c r="T13" s="288">
        <f>G13-I13</f>
        <v>0</v>
      </c>
      <c r="U13" s="289">
        <v>0</v>
      </c>
      <c r="V13" s="290" t="e">
        <f t="shared" si="0"/>
        <v>#DIV/0!</v>
      </c>
      <c r="X13" s="329"/>
      <c r="Y13" s="285"/>
      <c r="Z13" s="285"/>
      <c r="AA13" s="285"/>
      <c r="AB13" s="285"/>
      <c r="AC13" s="285"/>
      <c r="AD13" s="285"/>
      <c r="AE13" s="285"/>
    </row>
    <row r="14" spans="1:31" ht="18.95" customHeight="1">
      <c r="A14" s="312"/>
      <c r="B14" s="279" t="s">
        <v>53</v>
      </c>
      <c r="C14" s="280" t="s">
        <v>45</v>
      </c>
      <c r="D14" s="281" t="s">
        <v>43</v>
      </c>
      <c r="E14" s="282">
        <v>0</v>
      </c>
      <c r="F14" s="283"/>
      <c r="G14" s="282">
        <v>0</v>
      </c>
      <c r="H14" s="283"/>
      <c r="I14" s="284">
        <v>0</v>
      </c>
      <c r="J14" s="285">
        <v>0</v>
      </c>
      <c r="K14" s="285">
        <v>0</v>
      </c>
      <c r="L14" s="285">
        <v>32465</v>
      </c>
      <c r="M14" s="285">
        <v>0</v>
      </c>
      <c r="N14" s="285">
        <v>0</v>
      </c>
      <c r="O14" s="285">
        <v>0</v>
      </c>
      <c r="P14" s="285">
        <v>0</v>
      </c>
      <c r="Q14" s="285">
        <v>0</v>
      </c>
      <c r="R14" s="286">
        <f>SUM(J14:Q14)</f>
        <v>32465</v>
      </c>
      <c r="S14" s="287">
        <f>I14-R14</f>
        <v>-32465</v>
      </c>
      <c r="T14" s="288">
        <f>G14-I14</f>
        <v>0</v>
      </c>
      <c r="U14" s="289">
        <v>0</v>
      </c>
      <c r="V14" s="290" t="e">
        <f t="shared" si="0"/>
        <v>#DIV/0!</v>
      </c>
      <c r="X14" s="329"/>
      <c r="Y14" s="285"/>
      <c r="Z14" s="285"/>
      <c r="AA14" s="285"/>
      <c r="AB14" s="285"/>
      <c r="AC14" s="285"/>
      <c r="AD14" s="285"/>
      <c r="AE14" s="285"/>
    </row>
    <row r="15" spans="1:31" ht="18.95" customHeight="1">
      <c r="A15" s="312"/>
      <c r="B15" s="279" t="s">
        <v>54</v>
      </c>
      <c r="C15" s="280" t="s">
        <v>42</v>
      </c>
      <c r="D15" s="281" t="s">
        <v>43</v>
      </c>
      <c r="E15" s="282">
        <v>250000</v>
      </c>
      <c r="F15" s="283"/>
      <c r="G15" s="282">
        <v>250000</v>
      </c>
      <c r="H15" s="283"/>
      <c r="I15" s="284">
        <v>250000</v>
      </c>
      <c r="J15" s="285">
        <v>0</v>
      </c>
      <c r="K15" s="285">
        <v>0</v>
      </c>
      <c r="L15" s="285">
        <v>143000</v>
      </c>
      <c r="M15" s="285">
        <v>0</v>
      </c>
      <c r="N15" s="285">
        <v>0</v>
      </c>
      <c r="O15" s="285">
        <v>0</v>
      </c>
      <c r="P15" s="285">
        <v>0</v>
      </c>
      <c r="Q15" s="285">
        <v>0</v>
      </c>
      <c r="R15" s="286">
        <f>SUM(J15:Q15)</f>
        <v>143000</v>
      </c>
      <c r="S15" s="287">
        <f>I15-R15</f>
        <v>107000</v>
      </c>
      <c r="T15" s="288">
        <f>G15-I15</f>
        <v>0</v>
      </c>
      <c r="U15" s="289">
        <v>0</v>
      </c>
      <c r="V15" s="290" t="e">
        <f t="shared" si="0"/>
        <v>#DIV/0!</v>
      </c>
      <c r="X15" s="329"/>
      <c r="Y15" s="285"/>
      <c r="Z15" s="285"/>
      <c r="AA15" s="285"/>
      <c r="AB15" s="285"/>
      <c r="AC15" s="285"/>
      <c r="AD15" s="285"/>
      <c r="AE15" s="285"/>
    </row>
    <row r="16" spans="1:31" ht="18.95" customHeight="1">
      <c r="A16" s="312"/>
      <c r="B16" s="279" t="s">
        <v>55</v>
      </c>
      <c r="C16" s="280" t="s">
        <v>45</v>
      </c>
      <c r="D16" s="281" t="s">
        <v>43</v>
      </c>
      <c r="E16" s="282">
        <v>0</v>
      </c>
      <c r="F16" s="283"/>
      <c r="G16" s="282">
        <v>0</v>
      </c>
      <c r="H16" s="283"/>
      <c r="I16" s="284">
        <v>0</v>
      </c>
      <c r="J16" s="285">
        <v>0</v>
      </c>
      <c r="K16" s="285">
        <v>0</v>
      </c>
      <c r="L16" s="285">
        <v>37200</v>
      </c>
      <c r="M16" s="285">
        <v>58270</v>
      </c>
      <c r="N16" s="285">
        <v>0</v>
      </c>
      <c r="O16" s="285">
        <v>0</v>
      </c>
      <c r="P16" s="285">
        <v>0</v>
      </c>
      <c r="Q16" s="285">
        <v>0</v>
      </c>
      <c r="R16" s="286">
        <f>SUM(J16:Q16)</f>
        <v>95470</v>
      </c>
      <c r="S16" s="287">
        <f>I16-R16</f>
        <v>-95470</v>
      </c>
      <c r="T16" s="288">
        <f>G16-I16</f>
        <v>0</v>
      </c>
      <c r="U16" s="289">
        <v>0</v>
      </c>
      <c r="V16" s="290" t="e">
        <f t="shared" si="0"/>
        <v>#DIV/0!</v>
      </c>
      <c r="X16" s="329"/>
      <c r="Y16" s="285"/>
      <c r="Z16" s="285"/>
      <c r="AA16" s="285"/>
      <c r="AB16" s="285"/>
      <c r="AC16" s="285"/>
      <c r="AD16" s="285"/>
      <c r="AE16" s="285"/>
    </row>
    <row r="17" spans="1:31" ht="18.95" customHeight="1">
      <c r="A17" s="312"/>
      <c r="B17" s="279" t="s">
        <v>56</v>
      </c>
      <c r="C17" s="280" t="s">
        <v>57</v>
      </c>
      <c r="D17" s="281" t="s">
        <v>43</v>
      </c>
      <c r="E17" s="282">
        <v>0</v>
      </c>
      <c r="F17" s="283"/>
      <c r="G17" s="282">
        <v>0</v>
      </c>
      <c r="H17" s="283"/>
      <c r="I17" s="284">
        <v>0</v>
      </c>
      <c r="J17" s="285">
        <v>199000</v>
      </c>
      <c r="K17" s="285">
        <v>8000</v>
      </c>
      <c r="L17" s="285">
        <v>0</v>
      </c>
      <c r="M17" s="285">
        <v>0</v>
      </c>
      <c r="N17" s="285">
        <v>0</v>
      </c>
      <c r="O17" s="285">
        <v>0</v>
      </c>
      <c r="P17" s="285">
        <v>0</v>
      </c>
      <c r="Q17" s="285">
        <v>0</v>
      </c>
      <c r="R17" s="286">
        <f>SUM(J17:Q17)</f>
        <v>207000</v>
      </c>
      <c r="S17" s="287">
        <f>I17-R17</f>
        <v>-207000</v>
      </c>
      <c r="T17" s="288">
        <f>G17-I17</f>
        <v>0</v>
      </c>
      <c r="U17" s="289">
        <v>0</v>
      </c>
      <c r="V17" s="290" t="e">
        <f t="shared" si="0"/>
        <v>#DIV/0!</v>
      </c>
      <c r="X17" s="329"/>
      <c r="Y17" s="285"/>
      <c r="Z17" s="285"/>
      <c r="AA17" s="285"/>
      <c r="AB17" s="285"/>
      <c r="AC17" s="285"/>
      <c r="AD17" s="285"/>
      <c r="AE17" s="285"/>
    </row>
    <row r="18" spans="1:31" ht="18.95" customHeight="1">
      <c r="A18" s="312"/>
      <c r="B18" s="279" t="s">
        <v>58</v>
      </c>
      <c r="C18" s="280" t="s">
        <v>57</v>
      </c>
      <c r="D18" s="281" t="s">
        <v>43</v>
      </c>
      <c r="E18" s="282">
        <v>0</v>
      </c>
      <c r="F18" s="283"/>
      <c r="G18" s="282">
        <v>100000</v>
      </c>
      <c r="H18" s="283"/>
      <c r="I18" s="284">
        <v>195800</v>
      </c>
      <c r="J18" s="285">
        <v>0</v>
      </c>
      <c r="K18" s="285">
        <v>0</v>
      </c>
      <c r="L18" s="285">
        <v>103800</v>
      </c>
      <c r="M18" s="285">
        <v>32000</v>
      </c>
      <c r="N18" s="285">
        <v>20000</v>
      </c>
      <c r="O18" s="285">
        <v>20000</v>
      </c>
      <c r="P18" s="285">
        <v>0</v>
      </c>
      <c r="Q18" s="285">
        <v>0</v>
      </c>
      <c r="R18" s="286">
        <f>SUM(J18:Q18)</f>
        <v>175800</v>
      </c>
      <c r="S18" s="287">
        <f>I18-R18</f>
        <v>20000</v>
      </c>
      <c r="T18" s="288">
        <f>G18-I18</f>
        <v>-95800</v>
      </c>
      <c r="U18" s="289">
        <v>0</v>
      </c>
      <c r="V18" s="290" t="e">
        <f t="shared" si="0"/>
        <v>#DIV/0!</v>
      </c>
      <c r="X18" s="329"/>
      <c r="Y18" s="285"/>
      <c r="Z18" s="285"/>
      <c r="AA18" s="285"/>
      <c r="AB18" s="285"/>
      <c r="AC18" s="285"/>
      <c r="AD18" s="285"/>
      <c r="AE18" s="285"/>
    </row>
    <row r="19" spans="1:31" ht="18.95" customHeight="1">
      <c r="A19" s="312"/>
      <c r="B19" s="279" t="s">
        <v>59</v>
      </c>
      <c r="C19" s="280" t="s">
        <v>42</v>
      </c>
      <c r="D19" s="281" t="s">
        <v>43</v>
      </c>
      <c r="E19" s="282">
        <v>0</v>
      </c>
      <c r="F19" s="283"/>
      <c r="G19" s="282">
        <v>0</v>
      </c>
      <c r="H19" s="283"/>
      <c r="I19" s="284">
        <v>0</v>
      </c>
      <c r="J19" s="285">
        <v>0</v>
      </c>
      <c r="K19" s="285">
        <v>0</v>
      </c>
      <c r="L19" s="285">
        <v>558700</v>
      </c>
      <c r="M19" s="285">
        <v>409250</v>
      </c>
      <c r="N19" s="285">
        <v>130200</v>
      </c>
      <c r="O19" s="285">
        <v>105000</v>
      </c>
      <c r="P19" s="285">
        <v>0</v>
      </c>
      <c r="Q19" s="285">
        <v>0</v>
      </c>
      <c r="R19" s="286">
        <f>SUM(J19:Q19)</f>
        <v>1203150</v>
      </c>
      <c r="S19" s="287">
        <f>I19-R19</f>
        <v>-1203150</v>
      </c>
      <c r="T19" s="288">
        <f>G19-I19</f>
        <v>0</v>
      </c>
      <c r="U19" s="289">
        <v>0</v>
      </c>
      <c r="V19" s="290" t="e">
        <f t="shared" si="0"/>
        <v>#DIV/0!</v>
      </c>
      <c r="X19" s="329"/>
      <c r="Y19" s="285"/>
      <c r="Z19" s="285"/>
      <c r="AA19" s="285"/>
      <c r="AB19" s="285"/>
      <c r="AC19" s="285"/>
      <c r="AD19" s="285"/>
      <c r="AE19" s="285"/>
    </row>
    <row r="20" spans="1:31" ht="18.95" customHeight="1">
      <c r="A20" s="312"/>
      <c r="B20" s="279" t="s">
        <v>60</v>
      </c>
      <c r="C20" s="280" t="s">
        <v>39</v>
      </c>
      <c r="D20" s="281" t="s">
        <v>43</v>
      </c>
      <c r="E20" s="282">
        <v>0</v>
      </c>
      <c r="F20" s="283"/>
      <c r="G20" s="282">
        <v>0</v>
      </c>
      <c r="H20" s="283"/>
      <c r="I20" s="284">
        <v>0</v>
      </c>
      <c r="J20" s="285">
        <v>0</v>
      </c>
      <c r="K20" s="285">
        <v>0</v>
      </c>
      <c r="L20" s="285">
        <v>22000</v>
      </c>
      <c r="M20" s="285">
        <v>0</v>
      </c>
      <c r="N20" s="285">
        <v>0</v>
      </c>
      <c r="O20" s="285">
        <v>0</v>
      </c>
      <c r="P20" s="285">
        <v>0</v>
      </c>
      <c r="Q20" s="285">
        <v>0</v>
      </c>
      <c r="R20" s="286">
        <f>SUM(J20:Q20)</f>
        <v>22000</v>
      </c>
      <c r="S20" s="287">
        <f>I20-R20</f>
        <v>-22000</v>
      </c>
      <c r="T20" s="288">
        <f>G20-I20</f>
        <v>0</v>
      </c>
      <c r="U20" s="289">
        <v>0</v>
      </c>
      <c r="V20" s="290" t="e">
        <f t="shared" si="0"/>
        <v>#DIV/0!</v>
      </c>
      <c r="X20" s="329"/>
      <c r="Y20" s="285"/>
      <c r="Z20" s="285"/>
      <c r="AA20" s="285"/>
      <c r="AB20" s="285"/>
      <c r="AC20" s="285"/>
      <c r="AD20" s="285"/>
      <c r="AE20" s="285"/>
    </row>
    <row r="21" spans="1:31" ht="18.95" customHeight="1">
      <c r="A21" s="312"/>
      <c r="B21" s="279" t="s">
        <v>61</v>
      </c>
      <c r="C21" s="280" t="s">
        <v>57</v>
      </c>
      <c r="D21" s="281" t="s">
        <v>62</v>
      </c>
      <c r="E21" s="282">
        <v>530000</v>
      </c>
      <c r="F21" s="283"/>
      <c r="G21" s="282">
        <v>650000</v>
      </c>
      <c r="H21" s="283"/>
      <c r="I21" s="284">
        <v>650000</v>
      </c>
      <c r="J21" s="285">
        <v>0</v>
      </c>
      <c r="K21" s="285">
        <v>0</v>
      </c>
      <c r="L21" s="285">
        <v>351000</v>
      </c>
      <c r="M21" s="285">
        <v>0</v>
      </c>
      <c r="N21" s="285">
        <v>0</v>
      </c>
      <c r="O21" s="285">
        <v>0</v>
      </c>
      <c r="P21" s="285">
        <v>0</v>
      </c>
      <c r="Q21" s="285">
        <v>0</v>
      </c>
      <c r="R21" s="286">
        <f>SUM(J21:Q21)</f>
        <v>351000</v>
      </c>
      <c r="S21" s="287">
        <f>I21-R21</f>
        <v>299000</v>
      </c>
      <c r="T21" s="288">
        <f>G21-I21</f>
        <v>0</v>
      </c>
      <c r="U21" s="289">
        <v>1</v>
      </c>
      <c r="V21" s="290">
        <f t="shared" si="0"/>
        <v>351000</v>
      </c>
      <c r="X21" s="329"/>
      <c r="Y21" s="285"/>
      <c r="Z21" s="285"/>
      <c r="AA21" s="285"/>
      <c r="AB21" s="285"/>
      <c r="AC21" s="285"/>
      <c r="AD21" s="285"/>
      <c r="AE21" s="285"/>
    </row>
    <row r="22" spans="1:31" ht="18.95" customHeight="1">
      <c r="A22" s="312"/>
      <c r="B22" s="279" t="s">
        <v>61</v>
      </c>
      <c r="C22" s="280" t="s">
        <v>57</v>
      </c>
      <c r="D22" s="281" t="s">
        <v>43</v>
      </c>
      <c r="E22" s="282">
        <v>0</v>
      </c>
      <c r="F22" s="283"/>
      <c r="G22" s="282">
        <v>0</v>
      </c>
      <c r="H22" s="283"/>
      <c r="I22" s="284">
        <v>0</v>
      </c>
      <c r="J22" s="285">
        <v>0</v>
      </c>
      <c r="K22" s="285">
        <v>0</v>
      </c>
      <c r="L22" s="285">
        <v>0</v>
      </c>
      <c r="M22" s="285">
        <v>78392</v>
      </c>
      <c r="N22" s="285">
        <v>33674</v>
      </c>
      <c r="O22" s="285">
        <v>54816</v>
      </c>
      <c r="P22" s="285">
        <v>0</v>
      </c>
      <c r="Q22" s="285">
        <v>0</v>
      </c>
      <c r="R22" s="286">
        <f>SUM(J22:Q22)</f>
        <v>166882</v>
      </c>
      <c r="S22" s="287">
        <f>I22-R22</f>
        <v>-166882</v>
      </c>
      <c r="T22" s="288">
        <f>G22-I22</f>
        <v>0</v>
      </c>
      <c r="U22" s="289">
        <v>0</v>
      </c>
      <c r="V22" s="290" t="e">
        <f t="shared" si="0"/>
        <v>#DIV/0!</v>
      </c>
      <c r="X22" s="329"/>
      <c r="Y22" s="285"/>
      <c r="Z22" s="285"/>
      <c r="AA22" s="285"/>
      <c r="AB22" s="285"/>
      <c r="AC22" s="285"/>
      <c r="AD22" s="285"/>
      <c r="AE22" s="285"/>
    </row>
    <row r="23" spans="1:31" ht="18.95" customHeight="1">
      <c r="A23" s="312"/>
      <c r="B23" s="279" t="s">
        <v>63</v>
      </c>
      <c r="C23" s="280" t="s">
        <v>57</v>
      </c>
      <c r="D23" s="281" t="s">
        <v>43</v>
      </c>
      <c r="E23" s="282">
        <v>0</v>
      </c>
      <c r="F23" s="283"/>
      <c r="G23" s="282">
        <v>0</v>
      </c>
      <c r="H23" s="283"/>
      <c r="I23" s="284">
        <v>0</v>
      </c>
      <c r="J23" s="285">
        <v>0</v>
      </c>
      <c r="K23" s="285">
        <v>0</v>
      </c>
      <c r="L23" s="285">
        <v>128190</v>
      </c>
      <c r="M23" s="285">
        <v>0</v>
      </c>
      <c r="N23" s="285">
        <v>0</v>
      </c>
      <c r="O23" s="285">
        <v>0</v>
      </c>
      <c r="P23" s="285">
        <v>0</v>
      </c>
      <c r="Q23" s="285">
        <v>0</v>
      </c>
      <c r="R23" s="286">
        <f>SUM(J23:Q23)</f>
        <v>128190</v>
      </c>
      <c r="S23" s="287">
        <f>I23-R23</f>
        <v>-128190</v>
      </c>
      <c r="T23" s="288">
        <f>G23-I23</f>
        <v>0</v>
      </c>
      <c r="U23" s="289">
        <v>0</v>
      </c>
      <c r="V23" s="290" t="e">
        <f t="shared" si="0"/>
        <v>#DIV/0!</v>
      </c>
      <c r="X23" s="329"/>
      <c r="Y23" s="285"/>
      <c r="Z23" s="285"/>
      <c r="AA23" s="285"/>
      <c r="AB23" s="285"/>
      <c r="AC23" s="285"/>
      <c r="AD23" s="285"/>
      <c r="AE23" s="285"/>
    </row>
    <row r="24" spans="1:31" ht="18.95" customHeight="1">
      <c r="A24" s="312"/>
      <c r="B24" s="279"/>
      <c r="C24" s="280" t="s">
        <v>57</v>
      </c>
      <c r="D24" s="281" t="s">
        <v>43</v>
      </c>
      <c r="E24" s="282">
        <v>0</v>
      </c>
      <c r="F24" s="283"/>
      <c r="G24" s="282">
        <v>0</v>
      </c>
      <c r="H24" s="283"/>
      <c r="I24" s="284">
        <v>0</v>
      </c>
      <c r="J24" s="285">
        <v>0</v>
      </c>
      <c r="K24" s="285">
        <v>0</v>
      </c>
      <c r="L24" s="285">
        <v>0</v>
      </c>
      <c r="M24" s="285">
        <v>0</v>
      </c>
      <c r="N24" s="285">
        <v>0</v>
      </c>
      <c r="O24" s="285">
        <v>0</v>
      </c>
      <c r="P24" s="285">
        <v>0</v>
      </c>
      <c r="Q24" s="285">
        <v>0</v>
      </c>
      <c r="R24" s="286">
        <f>SUM(J24:Q24)</f>
        <v>0</v>
      </c>
      <c r="S24" s="287">
        <f>I24-R24</f>
        <v>0</v>
      </c>
      <c r="T24" s="288">
        <f>G24-I24</f>
        <v>0</v>
      </c>
      <c r="U24" s="289">
        <v>0</v>
      </c>
      <c r="V24" s="290" t="e">
        <f t="shared" si="0"/>
        <v>#DIV/0!</v>
      </c>
      <c r="X24" s="329"/>
      <c r="Y24" s="285"/>
      <c r="Z24" s="285"/>
      <c r="AA24" s="285"/>
      <c r="AB24" s="285"/>
      <c r="AC24" s="285"/>
      <c r="AD24" s="285"/>
      <c r="AE24" s="285"/>
    </row>
    <row r="25" spans="1:31" ht="18.95" customHeight="1">
      <c r="A25" s="312"/>
      <c r="B25" s="279"/>
      <c r="C25" s="280" t="s">
        <v>47</v>
      </c>
      <c r="D25" s="281" t="s">
        <v>43</v>
      </c>
      <c r="E25" s="282">
        <v>0</v>
      </c>
      <c r="F25" s="283"/>
      <c r="G25" s="282">
        <v>0</v>
      </c>
      <c r="H25" s="283"/>
      <c r="I25" s="284">
        <v>0</v>
      </c>
      <c r="J25" s="285">
        <v>0</v>
      </c>
      <c r="K25" s="285">
        <v>0</v>
      </c>
      <c r="L25" s="285">
        <v>0</v>
      </c>
      <c r="M25" s="285">
        <v>0</v>
      </c>
      <c r="N25" s="285">
        <v>0</v>
      </c>
      <c r="O25" s="285">
        <v>0</v>
      </c>
      <c r="P25" s="285">
        <v>0</v>
      </c>
      <c r="Q25" s="285">
        <v>0</v>
      </c>
      <c r="R25" s="286">
        <f>SUM(J25:Q25)</f>
        <v>0</v>
      </c>
      <c r="S25" s="287">
        <f>I25-R25</f>
        <v>0</v>
      </c>
      <c r="T25" s="288">
        <f>G25-I25</f>
        <v>0</v>
      </c>
      <c r="U25" s="289">
        <v>0</v>
      </c>
      <c r="V25" s="290" t="e">
        <f t="shared" si="0"/>
        <v>#DIV/0!</v>
      </c>
      <c r="X25" s="329"/>
      <c r="Y25" s="285"/>
      <c r="Z25" s="285"/>
      <c r="AA25" s="285"/>
      <c r="AB25" s="285"/>
      <c r="AC25" s="285"/>
      <c r="AD25" s="285"/>
      <c r="AE25" s="285"/>
    </row>
    <row r="26" spans="1:31" ht="18.95" customHeight="1">
      <c r="A26" s="312"/>
      <c r="B26" s="279"/>
      <c r="C26" s="280" t="s">
        <v>39</v>
      </c>
      <c r="D26" s="281" t="s">
        <v>43</v>
      </c>
      <c r="E26" s="282">
        <v>0</v>
      </c>
      <c r="F26" s="283"/>
      <c r="G26" s="282">
        <v>0</v>
      </c>
      <c r="H26" s="283"/>
      <c r="I26" s="284">
        <v>0</v>
      </c>
      <c r="J26" s="285">
        <v>0</v>
      </c>
      <c r="K26" s="285">
        <v>0</v>
      </c>
      <c r="L26" s="285">
        <v>0</v>
      </c>
      <c r="M26" s="285">
        <v>0</v>
      </c>
      <c r="N26" s="285">
        <v>0</v>
      </c>
      <c r="O26" s="285">
        <v>0</v>
      </c>
      <c r="P26" s="285">
        <v>0</v>
      </c>
      <c r="Q26" s="285">
        <v>0</v>
      </c>
      <c r="R26" s="286">
        <f>SUM(J26:Q26)</f>
        <v>0</v>
      </c>
      <c r="S26" s="287">
        <f>I26-R26</f>
        <v>0</v>
      </c>
      <c r="T26" s="288">
        <f>G26-I26</f>
        <v>0</v>
      </c>
      <c r="U26" s="289">
        <v>0</v>
      </c>
      <c r="V26" s="290" t="e">
        <f t="shared" si="0"/>
        <v>#DIV/0!</v>
      </c>
      <c r="X26" s="329"/>
      <c r="Y26" s="285"/>
      <c r="Z26" s="285"/>
      <c r="AA26" s="285"/>
      <c r="AB26" s="285"/>
      <c r="AC26" s="285"/>
      <c r="AD26" s="285"/>
      <c r="AE26" s="285"/>
    </row>
    <row r="27" spans="1:31" ht="18.95" customHeight="1">
      <c r="A27" s="312"/>
      <c r="B27" s="279"/>
      <c r="C27" s="280" t="s">
        <v>45</v>
      </c>
      <c r="D27" s="281" t="s">
        <v>43</v>
      </c>
      <c r="E27" s="282">
        <v>0</v>
      </c>
      <c r="F27" s="283"/>
      <c r="G27" s="282">
        <v>0</v>
      </c>
      <c r="H27" s="283"/>
      <c r="I27" s="284">
        <v>200000</v>
      </c>
      <c r="J27" s="285">
        <v>0</v>
      </c>
      <c r="K27" s="285">
        <v>0</v>
      </c>
      <c r="L27" s="285">
        <v>0</v>
      </c>
      <c r="M27" s="285">
        <v>0</v>
      </c>
      <c r="N27" s="285">
        <v>0</v>
      </c>
      <c r="O27" s="285">
        <v>0</v>
      </c>
      <c r="P27" s="285">
        <v>0</v>
      </c>
      <c r="Q27" s="285">
        <v>0</v>
      </c>
      <c r="R27" s="286">
        <f>SUM(J27:Q27)</f>
        <v>0</v>
      </c>
      <c r="S27" s="287">
        <f>I27-R27</f>
        <v>200000</v>
      </c>
      <c r="T27" s="288">
        <f>G27-I27</f>
        <v>-200000</v>
      </c>
      <c r="U27" s="289">
        <v>0</v>
      </c>
      <c r="V27" s="290" t="e">
        <f t="shared" si="0"/>
        <v>#DIV/0!</v>
      </c>
      <c r="X27" s="329"/>
      <c r="Y27" s="285"/>
      <c r="Z27" s="285"/>
      <c r="AA27" s="285"/>
      <c r="AB27" s="285"/>
      <c r="AC27" s="285"/>
      <c r="AD27" s="285"/>
      <c r="AE27" s="285"/>
    </row>
    <row r="28" spans="1:31" ht="18.95" customHeight="1">
      <c r="A28" s="312"/>
      <c r="B28" s="279"/>
      <c r="C28" s="280" t="s">
        <v>42</v>
      </c>
      <c r="D28" s="281" t="s">
        <v>43</v>
      </c>
      <c r="E28" s="282">
        <v>1609000</v>
      </c>
      <c r="F28" s="283"/>
      <c r="G28" s="282">
        <v>0</v>
      </c>
      <c r="H28" s="283"/>
      <c r="I28" s="284">
        <v>0</v>
      </c>
      <c r="J28" s="285">
        <v>0</v>
      </c>
      <c r="K28" s="285">
        <v>0</v>
      </c>
      <c r="L28" s="285">
        <v>0</v>
      </c>
      <c r="M28" s="285">
        <v>0</v>
      </c>
      <c r="N28" s="285">
        <v>0</v>
      </c>
      <c r="O28" s="285">
        <v>0</v>
      </c>
      <c r="P28" s="285">
        <v>0</v>
      </c>
      <c r="Q28" s="285">
        <v>0</v>
      </c>
      <c r="R28" s="286">
        <f>SUM(J28:Q28)</f>
        <v>0</v>
      </c>
      <c r="S28" s="287">
        <f>I28-R28</f>
        <v>0</v>
      </c>
      <c r="T28" s="288">
        <f>G28-I28</f>
        <v>0</v>
      </c>
      <c r="U28" s="289">
        <v>0</v>
      </c>
      <c r="V28" s="290" t="e">
        <f t="shared" si="0"/>
        <v>#DIV/0!</v>
      </c>
      <c r="X28" s="329"/>
      <c r="Y28" s="285"/>
      <c r="Z28" s="285"/>
      <c r="AA28" s="285"/>
      <c r="AB28" s="285"/>
      <c r="AC28" s="285"/>
      <c r="AD28" s="285"/>
      <c r="AE28" s="285"/>
    </row>
    <row r="29" spans="1:31" ht="18.95" customHeight="1">
      <c r="A29" s="312"/>
      <c r="B29" s="279"/>
      <c r="C29" s="280" t="s">
        <v>64</v>
      </c>
      <c r="D29" s="281" t="s">
        <v>43</v>
      </c>
      <c r="E29" s="282">
        <v>0</v>
      </c>
      <c r="F29" s="283"/>
      <c r="G29" s="282">
        <v>0</v>
      </c>
      <c r="H29" s="283"/>
      <c r="I29" s="284">
        <v>0</v>
      </c>
      <c r="J29" s="285">
        <v>0</v>
      </c>
      <c r="K29" s="285">
        <v>0</v>
      </c>
      <c r="L29" s="285">
        <v>0</v>
      </c>
      <c r="M29" s="285">
        <v>0</v>
      </c>
      <c r="N29" s="285">
        <v>0</v>
      </c>
      <c r="O29" s="285">
        <v>0</v>
      </c>
      <c r="P29" s="285">
        <v>0</v>
      </c>
      <c r="Q29" s="285">
        <v>0</v>
      </c>
      <c r="R29" s="286">
        <f>SUM(J29:Q29)</f>
        <v>0</v>
      </c>
      <c r="S29" s="287">
        <f>I29-R29</f>
        <v>0</v>
      </c>
      <c r="T29" s="288">
        <f>G29-I29</f>
        <v>0</v>
      </c>
      <c r="U29" s="289">
        <v>0</v>
      </c>
      <c r="V29" s="290" t="e">
        <f t="shared" si="0"/>
        <v>#DIV/0!</v>
      </c>
      <c r="X29" s="329"/>
      <c r="Y29" s="285"/>
      <c r="Z29" s="285"/>
      <c r="AA29" s="285"/>
      <c r="AB29" s="285"/>
      <c r="AC29" s="285"/>
      <c r="AD29" s="285"/>
      <c r="AE29" s="285"/>
    </row>
    <row r="30" spans="1:31" ht="18.95" customHeight="1">
      <c r="A30" s="313"/>
      <c r="B30" s="279"/>
      <c r="C30" s="280" t="s">
        <v>50</v>
      </c>
      <c r="D30" s="281" t="s">
        <v>43</v>
      </c>
      <c r="E30" s="282">
        <v>970000</v>
      </c>
      <c r="F30" s="283"/>
      <c r="G30" s="282">
        <v>900000</v>
      </c>
      <c r="H30" s="283"/>
      <c r="I30" s="284">
        <v>700000</v>
      </c>
      <c r="J30" s="285">
        <v>0</v>
      </c>
      <c r="K30" s="285">
        <v>0</v>
      </c>
      <c r="L30" s="285">
        <v>0</v>
      </c>
      <c r="M30" s="285">
        <v>0</v>
      </c>
      <c r="N30" s="285">
        <v>0</v>
      </c>
      <c r="O30" s="285">
        <v>0</v>
      </c>
      <c r="P30" s="285">
        <v>0</v>
      </c>
      <c r="Q30" s="285">
        <v>0</v>
      </c>
      <c r="R30" s="286">
        <f>SUM(J30:Q30)</f>
        <v>0</v>
      </c>
      <c r="S30" s="287">
        <f>I30-R30</f>
        <v>700000</v>
      </c>
      <c r="T30" s="288">
        <f>G30-I30</f>
        <v>200000</v>
      </c>
      <c r="U30" s="289">
        <v>0</v>
      </c>
      <c r="V30" s="290" t="e">
        <f t="shared" si="0"/>
        <v>#DIV/0!</v>
      </c>
      <c r="X30" s="329"/>
      <c r="Y30" s="285"/>
      <c r="Z30" s="285"/>
      <c r="AA30" s="285"/>
      <c r="AB30" s="285"/>
      <c r="AC30" s="285"/>
      <c r="AD30" s="285"/>
      <c r="AE30" s="285"/>
    </row>
    <row r="31" spans="1:31" ht="18.95" customHeight="1">
      <c r="A31" s="314" t="s">
        <v>65</v>
      </c>
      <c r="B31" s="291" t="s">
        <v>66</v>
      </c>
      <c r="C31" s="292" t="s">
        <v>67</v>
      </c>
      <c r="D31" s="293" t="s">
        <v>68</v>
      </c>
      <c r="E31" s="294">
        <v>10752500</v>
      </c>
      <c r="F31" s="295"/>
      <c r="G31" s="294">
        <v>10700000</v>
      </c>
      <c r="H31" s="295"/>
      <c r="I31" s="296">
        <v>10700000</v>
      </c>
      <c r="J31" s="273">
        <v>0</v>
      </c>
      <c r="K31" s="273">
        <v>0</v>
      </c>
      <c r="L31" s="273">
        <v>4333500</v>
      </c>
      <c r="M31" s="273">
        <v>1444500</v>
      </c>
      <c r="N31" s="273">
        <v>0</v>
      </c>
      <c r="O31" s="273">
        <v>0</v>
      </c>
      <c r="P31" s="273">
        <v>0</v>
      </c>
      <c r="Q31" s="273">
        <v>0</v>
      </c>
      <c r="R31" s="274">
        <f>SUM(J31:Q31)</f>
        <v>5778000</v>
      </c>
      <c r="S31" s="275">
        <f>I31-R31</f>
        <v>4922000</v>
      </c>
      <c r="T31" s="276">
        <f>G31-I31</f>
        <v>0</v>
      </c>
      <c r="U31" s="297">
        <v>106</v>
      </c>
      <c r="V31" s="278">
        <f t="shared" si="0"/>
        <v>54509.433962264149</v>
      </c>
      <c r="X31" s="328"/>
      <c r="Y31" s="273"/>
      <c r="Z31" s="273"/>
      <c r="AA31" s="273"/>
      <c r="AB31" s="273"/>
      <c r="AC31" s="273"/>
      <c r="AD31" s="273"/>
      <c r="AE31" s="273"/>
    </row>
    <row r="32" spans="1:31" ht="18.95" customHeight="1">
      <c r="A32" s="312"/>
      <c r="B32" s="279"/>
      <c r="C32" s="280" t="s">
        <v>67</v>
      </c>
      <c r="D32" s="281" t="s">
        <v>43</v>
      </c>
      <c r="E32" s="282">
        <v>0</v>
      </c>
      <c r="F32" s="283"/>
      <c r="G32" s="282">
        <v>0</v>
      </c>
      <c r="H32" s="283"/>
      <c r="I32" s="284">
        <v>0</v>
      </c>
      <c r="J32" s="285">
        <v>0</v>
      </c>
      <c r="K32" s="285">
        <v>0</v>
      </c>
      <c r="L32" s="285">
        <v>0</v>
      </c>
      <c r="M32" s="285">
        <v>0</v>
      </c>
      <c r="N32" s="285">
        <v>0</v>
      </c>
      <c r="O32" s="285">
        <v>0</v>
      </c>
      <c r="P32" s="285">
        <v>0</v>
      </c>
      <c r="Q32" s="285">
        <v>0</v>
      </c>
      <c r="R32" s="286">
        <f>SUM(J32:Q32)</f>
        <v>0</v>
      </c>
      <c r="S32" s="287">
        <f>I32-R32</f>
        <v>0</v>
      </c>
      <c r="T32" s="288">
        <f>G32-I32</f>
        <v>0</v>
      </c>
      <c r="U32" s="289">
        <v>0</v>
      </c>
      <c r="V32" s="290" t="e">
        <f t="shared" si="0"/>
        <v>#DIV/0!</v>
      </c>
      <c r="X32" s="329"/>
      <c r="Y32" s="285"/>
      <c r="Z32" s="285"/>
      <c r="AA32" s="285"/>
      <c r="AB32" s="285"/>
      <c r="AC32" s="285"/>
      <c r="AD32" s="285"/>
      <c r="AE32" s="285"/>
    </row>
    <row r="33" spans="1:31" ht="18.95" customHeight="1">
      <c r="A33" s="312"/>
      <c r="B33" s="279"/>
      <c r="C33" s="280" t="s">
        <v>69</v>
      </c>
      <c r="D33" s="281" t="s">
        <v>43</v>
      </c>
      <c r="E33" s="282">
        <v>0</v>
      </c>
      <c r="F33" s="283"/>
      <c r="G33" s="282">
        <v>0</v>
      </c>
      <c r="H33" s="283"/>
      <c r="I33" s="284">
        <v>0</v>
      </c>
      <c r="J33" s="285">
        <v>0</v>
      </c>
      <c r="K33" s="285">
        <v>0</v>
      </c>
      <c r="L33" s="285">
        <v>0</v>
      </c>
      <c r="M33" s="285">
        <v>0</v>
      </c>
      <c r="N33" s="285">
        <v>0</v>
      </c>
      <c r="O33" s="285">
        <v>0</v>
      </c>
      <c r="P33" s="285">
        <v>0</v>
      </c>
      <c r="Q33" s="285">
        <v>0</v>
      </c>
      <c r="R33" s="286">
        <f>SUM(J33:Q33)</f>
        <v>0</v>
      </c>
      <c r="S33" s="287">
        <f>I33-R33</f>
        <v>0</v>
      </c>
      <c r="T33" s="288">
        <f>G33-I33</f>
        <v>0</v>
      </c>
      <c r="U33" s="289">
        <v>0</v>
      </c>
      <c r="V33" s="290" t="e">
        <f t="shared" si="0"/>
        <v>#DIV/0!</v>
      </c>
      <c r="X33" s="329"/>
      <c r="Y33" s="285"/>
      <c r="Z33" s="285"/>
      <c r="AA33" s="285"/>
      <c r="AB33" s="285"/>
      <c r="AC33" s="285"/>
      <c r="AD33" s="285"/>
      <c r="AE33" s="285"/>
    </row>
    <row r="34" spans="1:31" ht="18.95" customHeight="1">
      <c r="A34" s="312"/>
      <c r="B34" s="279"/>
      <c r="C34" s="280" t="s">
        <v>70</v>
      </c>
      <c r="D34" s="281" t="s">
        <v>43</v>
      </c>
      <c r="E34" s="282">
        <v>126000</v>
      </c>
      <c r="F34" s="283"/>
      <c r="G34" s="282">
        <v>0</v>
      </c>
      <c r="H34" s="283"/>
      <c r="I34" s="284">
        <v>0</v>
      </c>
      <c r="J34" s="285">
        <v>0</v>
      </c>
      <c r="K34" s="285">
        <v>0</v>
      </c>
      <c r="L34" s="285">
        <v>0</v>
      </c>
      <c r="M34" s="285">
        <v>0</v>
      </c>
      <c r="N34" s="285">
        <v>0</v>
      </c>
      <c r="O34" s="285">
        <v>0</v>
      </c>
      <c r="P34" s="285">
        <v>0</v>
      </c>
      <c r="Q34" s="285">
        <v>0</v>
      </c>
      <c r="R34" s="286">
        <f>SUM(J34:Q34)</f>
        <v>0</v>
      </c>
      <c r="S34" s="287">
        <f>I34-R34</f>
        <v>0</v>
      </c>
      <c r="T34" s="288">
        <f>G34-I34</f>
        <v>0</v>
      </c>
      <c r="U34" s="289">
        <v>0</v>
      </c>
      <c r="V34" s="290" t="e">
        <f t="shared" si="0"/>
        <v>#DIV/0!</v>
      </c>
      <c r="X34" s="329"/>
      <c r="Y34" s="285"/>
      <c r="Z34" s="285"/>
      <c r="AA34" s="285"/>
      <c r="AB34" s="285"/>
      <c r="AC34" s="285"/>
      <c r="AD34" s="285"/>
      <c r="AE34" s="285"/>
    </row>
    <row r="35" spans="1:31" ht="18.95" customHeight="1">
      <c r="A35" s="312"/>
      <c r="B35" s="279"/>
      <c r="C35" s="280" t="s">
        <v>71</v>
      </c>
      <c r="D35" s="281" t="s">
        <v>43</v>
      </c>
      <c r="E35" s="282">
        <v>0</v>
      </c>
      <c r="F35" s="283"/>
      <c r="G35" s="282">
        <v>0</v>
      </c>
      <c r="H35" s="283"/>
      <c r="I35" s="284">
        <v>0</v>
      </c>
      <c r="J35" s="285">
        <v>0</v>
      </c>
      <c r="K35" s="285">
        <v>0</v>
      </c>
      <c r="L35" s="285">
        <v>0</v>
      </c>
      <c r="M35" s="285">
        <v>0</v>
      </c>
      <c r="N35" s="285">
        <v>0</v>
      </c>
      <c r="O35" s="285">
        <v>0</v>
      </c>
      <c r="P35" s="285">
        <v>0</v>
      </c>
      <c r="Q35" s="285">
        <v>0</v>
      </c>
      <c r="R35" s="286">
        <f>SUM(J35:Q35)</f>
        <v>0</v>
      </c>
      <c r="S35" s="287">
        <f>I35-R35</f>
        <v>0</v>
      </c>
      <c r="T35" s="288">
        <f>G35-I35</f>
        <v>0</v>
      </c>
      <c r="U35" s="289">
        <v>0</v>
      </c>
      <c r="V35" s="290" t="e">
        <f t="shared" si="0"/>
        <v>#DIV/0!</v>
      </c>
      <c r="X35" s="329"/>
      <c r="Y35" s="285"/>
      <c r="Z35" s="285"/>
      <c r="AA35" s="285"/>
      <c r="AB35" s="285"/>
      <c r="AC35" s="285"/>
      <c r="AD35" s="285"/>
      <c r="AE35" s="285"/>
    </row>
    <row r="36" spans="1:31" ht="18.95" customHeight="1">
      <c r="A36" s="312"/>
      <c r="B36" s="279"/>
      <c r="C36" s="280" t="s">
        <v>72</v>
      </c>
      <c r="D36" s="281" t="s">
        <v>43</v>
      </c>
      <c r="E36" s="282">
        <v>3750000</v>
      </c>
      <c r="F36" s="283"/>
      <c r="G36" s="282">
        <v>625000</v>
      </c>
      <c r="H36" s="283"/>
      <c r="I36" s="284">
        <v>375000</v>
      </c>
      <c r="J36" s="285">
        <v>0</v>
      </c>
      <c r="K36" s="285">
        <v>0</v>
      </c>
      <c r="L36" s="285">
        <v>0</v>
      </c>
      <c r="M36" s="285">
        <v>0</v>
      </c>
      <c r="N36" s="285">
        <v>0</v>
      </c>
      <c r="O36" s="285">
        <v>0</v>
      </c>
      <c r="P36" s="285">
        <v>0</v>
      </c>
      <c r="Q36" s="285">
        <v>0</v>
      </c>
      <c r="R36" s="286">
        <f>SUM(J36:Q36)</f>
        <v>0</v>
      </c>
      <c r="S36" s="287">
        <f>I36-R36</f>
        <v>375000</v>
      </c>
      <c r="T36" s="288">
        <f>G36-I36</f>
        <v>250000</v>
      </c>
      <c r="U36" s="289">
        <v>0</v>
      </c>
      <c r="V36" s="290" t="e">
        <f t="shared" si="0"/>
        <v>#DIV/0!</v>
      </c>
      <c r="X36" s="329"/>
      <c r="Y36" s="285"/>
      <c r="Z36" s="285"/>
      <c r="AA36" s="285"/>
      <c r="AB36" s="285"/>
      <c r="AC36" s="285"/>
      <c r="AD36" s="285"/>
      <c r="AE36" s="285"/>
    </row>
    <row r="37" spans="1:31" ht="18.95" customHeight="1">
      <c r="A37" s="313"/>
      <c r="B37" s="279"/>
      <c r="C37" s="280" t="s">
        <v>73</v>
      </c>
      <c r="D37" s="281" t="s">
        <v>43</v>
      </c>
      <c r="E37" s="282">
        <v>0</v>
      </c>
      <c r="F37" s="283"/>
      <c r="G37" s="282">
        <v>0</v>
      </c>
      <c r="H37" s="283"/>
      <c r="I37" s="284">
        <v>0</v>
      </c>
      <c r="J37" s="285">
        <v>0</v>
      </c>
      <c r="K37" s="285">
        <v>0</v>
      </c>
      <c r="L37" s="285">
        <v>0</v>
      </c>
      <c r="M37" s="285">
        <v>0</v>
      </c>
      <c r="N37" s="285">
        <v>0</v>
      </c>
      <c r="O37" s="285">
        <v>0</v>
      </c>
      <c r="P37" s="285">
        <v>0</v>
      </c>
      <c r="Q37" s="285">
        <v>0</v>
      </c>
      <c r="R37" s="286">
        <f>SUM(J37:Q37)</f>
        <v>0</v>
      </c>
      <c r="S37" s="287">
        <f>I37-R37</f>
        <v>0</v>
      </c>
      <c r="T37" s="288">
        <f>G37-I37</f>
        <v>0</v>
      </c>
      <c r="U37" s="289">
        <v>0</v>
      </c>
      <c r="V37" s="290" t="e">
        <f t="shared" si="0"/>
        <v>#DIV/0!</v>
      </c>
      <c r="X37" s="329"/>
      <c r="Y37" s="285"/>
      <c r="Z37" s="285"/>
      <c r="AA37" s="285"/>
      <c r="AB37" s="285"/>
      <c r="AC37" s="285"/>
      <c r="AD37" s="285"/>
      <c r="AE37" s="285"/>
    </row>
    <row r="38" spans="1:31" ht="18.95" customHeight="1">
      <c r="A38" s="314" t="s">
        <v>74</v>
      </c>
      <c r="B38" s="291" t="s">
        <v>38</v>
      </c>
      <c r="C38" s="292" t="s">
        <v>75</v>
      </c>
      <c r="D38" s="293" t="s">
        <v>40</v>
      </c>
      <c r="E38" s="294">
        <v>8049475</v>
      </c>
      <c r="F38" s="295"/>
      <c r="G38" s="294">
        <v>8583000</v>
      </c>
      <c r="H38" s="295"/>
      <c r="I38" s="296">
        <v>8583000</v>
      </c>
      <c r="J38" s="273">
        <v>0</v>
      </c>
      <c r="K38" s="273">
        <v>0</v>
      </c>
      <c r="L38" s="273">
        <v>1900000</v>
      </c>
      <c r="M38" s="273">
        <v>4270000</v>
      </c>
      <c r="N38" s="273">
        <v>1470000</v>
      </c>
      <c r="O38" s="273">
        <v>0</v>
      </c>
      <c r="P38" s="273">
        <v>0</v>
      </c>
      <c r="Q38" s="273">
        <v>0</v>
      </c>
      <c r="R38" s="274">
        <f>SUM(J38:Q38)</f>
        <v>7640000</v>
      </c>
      <c r="S38" s="275">
        <f>I38-R38</f>
        <v>943000</v>
      </c>
      <c r="T38" s="276">
        <f>G38-I38</f>
        <v>0</v>
      </c>
      <c r="U38" s="297">
        <v>128</v>
      </c>
      <c r="V38" s="278">
        <f t="shared" si="0"/>
        <v>59687.5</v>
      </c>
      <c r="X38" s="328"/>
      <c r="Y38" s="273"/>
      <c r="Z38" s="273"/>
      <c r="AA38" s="273"/>
      <c r="AB38" s="273"/>
      <c r="AC38" s="273"/>
      <c r="AD38" s="273"/>
      <c r="AE38" s="273"/>
    </row>
    <row r="39" spans="1:31" ht="18.95" customHeight="1">
      <c r="A39" s="312"/>
      <c r="B39" s="279" t="s">
        <v>38</v>
      </c>
      <c r="C39" s="280" t="s">
        <v>75</v>
      </c>
      <c r="D39" s="281" t="s">
        <v>43</v>
      </c>
      <c r="E39" s="282">
        <v>0</v>
      </c>
      <c r="F39" s="283"/>
      <c r="G39" s="282">
        <v>0</v>
      </c>
      <c r="H39" s="283"/>
      <c r="I39" s="284">
        <v>0</v>
      </c>
      <c r="J39" s="285">
        <v>0</v>
      </c>
      <c r="K39" s="285">
        <v>0</v>
      </c>
      <c r="L39" s="285">
        <v>0</v>
      </c>
      <c r="M39" s="285">
        <v>-235800</v>
      </c>
      <c r="N39" s="285">
        <v>-527600</v>
      </c>
      <c r="O39" s="285">
        <v>-399200</v>
      </c>
      <c r="P39" s="285">
        <v>0</v>
      </c>
      <c r="Q39" s="285">
        <v>0</v>
      </c>
      <c r="R39" s="286">
        <f>SUM(J39:Q39)</f>
        <v>-1162600</v>
      </c>
      <c r="S39" s="287">
        <f>I39-R39</f>
        <v>1162600</v>
      </c>
      <c r="T39" s="288">
        <f>G39-I39</f>
        <v>0</v>
      </c>
      <c r="U39" s="289">
        <v>0</v>
      </c>
      <c r="V39" s="290" t="e">
        <f t="shared" si="0"/>
        <v>#DIV/0!</v>
      </c>
      <c r="X39" s="329"/>
      <c r="Y39" s="285"/>
      <c r="Z39" s="285"/>
      <c r="AA39" s="285"/>
      <c r="AB39" s="285"/>
      <c r="AC39" s="285"/>
      <c r="AD39" s="285"/>
      <c r="AE39" s="285"/>
    </row>
    <row r="40" spans="1:31" ht="18.95" customHeight="1">
      <c r="A40" s="312"/>
      <c r="B40" s="279" t="s">
        <v>53</v>
      </c>
      <c r="C40" s="280" t="s">
        <v>76</v>
      </c>
      <c r="D40" s="281" t="s">
        <v>43</v>
      </c>
      <c r="E40" s="282">
        <v>0</v>
      </c>
      <c r="F40" s="283"/>
      <c r="G40" s="282">
        <v>0</v>
      </c>
      <c r="H40" s="283"/>
      <c r="I40" s="284">
        <v>0</v>
      </c>
      <c r="J40" s="285">
        <v>0</v>
      </c>
      <c r="K40" s="285">
        <v>0</v>
      </c>
      <c r="L40" s="285">
        <v>221600</v>
      </c>
      <c r="M40" s="285">
        <v>495200</v>
      </c>
      <c r="N40" s="285">
        <v>376200</v>
      </c>
      <c r="O40" s="285">
        <v>0</v>
      </c>
      <c r="P40" s="285">
        <v>0</v>
      </c>
      <c r="Q40" s="285">
        <v>0</v>
      </c>
      <c r="R40" s="286">
        <f>SUM(J40:Q40)</f>
        <v>1093000</v>
      </c>
      <c r="S40" s="287">
        <f>I40-R40</f>
        <v>-1093000</v>
      </c>
      <c r="T40" s="288">
        <f>G40-I40</f>
        <v>0</v>
      </c>
      <c r="U40" s="289">
        <v>0</v>
      </c>
      <c r="V40" s="290" t="e">
        <f t="shared" si="0"/>
        <v>#DIV/0!</v>
      </c>
      <c r="X40" s="329"/>
      <c r="Y40" s="285"/>
      <c r="Z40" s="285"/>
      <c r="AA40" s="285"/>
      <c r="AB40" s="285"/>
      <c r="AC40" s="285"/>
      <c r="AD40" s="285"/>
      <c r="AE40" s="285"/>
    </row>
    <row r="41" spans="1:31" ht="18.95" customHeight="1">
      <c r="A41" s="312"/>
      <c r="B41" s="279"/>
      <c r="C41" s="280" t="s">
        <v>75</v>
      </c>
      <c r="D41" s="281" t="s">
        <v>43</v>
      </c>
      <c r="E41" s="282">
        <v>0</v>
      </c>
      <c r="F41" s="283"/>
      <c r="G41" s="282">
        <v>0</v>
      </c>
      <c r="H41" s="283"/>
      <c r="I41" s="284">
        <v>0</v>
      </c>
      <c r="J41" s="285">
        <v>0</v>
      </c>
      <c r="K41" s="285">
        <v>0</v>
      </c>
      <c r="L41" s="285">
        <v>0</v>
      </c>
      <c r="M41" s="285">
        <v>0</v>
      </c>
      <c r="N41" s="285">
        <v>0</v>
      </c>
      <c r="O41" s="285">
        <v>0</v>
      </c>
      <c r="P41" s="285">
        <v>0</v>
      </c>
      <c r="Q41" s="285">
        <v>0</v>
      </c>
      <c r="R41" s="286">
        <f>SUM(J41:Q41)</f>
        <v>0</v>
      </c>
      <c r="S41" s="287">
        <f>I41-R41</f>
        <v>0</v>
      </c>
      <c r="T41" s="288">
        <f>G41-I41</f>
        <v>0</v>
      </c>
      <c r="U41" s="289">
        <v>0</v>
      </c>
      <c r="V41" s="290" t="e">
        <f t="shared" si="0"/>
        <v>#DIV/0!</v>
      </c>
      <c r="X41" s="329"/>
      <c r="Y41" s="285"/>
      <c r="Z41" s="285"/>
      <c r="AA41" s="285"/>
      <c r="AB41" s="285"/>
      <c r="AC41" s="285"/>
      <c r="AD41" s="285"/>
      <c r="AE41" s="285"/>
    </row>
    <row r="42" spans="1:31" ht="18.95" customHeight="1">
      <c r="A42" s="313"/>
      <c r="B42" s="279"/>
      <c r="C42" s="280" t="s">
        <v>76</v>
      </c>
      <c r="D42" s="281" t="s">
        <v>43</v>
      </c>
      <c r="E42" s="282">
        <v>0</v>
      </c>
      <c r="F42" s="283"/>
      <c r="G42" s="282">
        <v>0</v>
      </c>
      <c r="H42" s="283"/>
      <c r="I42" s="284">
        <v>0</v>
      </c>
      <c r="J42" s="285">
        <v>0</v>
      </c>
      <c r="K42" s="285">
        <v>0</v>
      </c>
      <c r="L42" s="285">
        <v>0</v>
      </c>
      <c r="M42" s="285">
        <v>0</v>
      </c>
      <c r="N42" s="285">
        <v>0</v>
      </c>
      <c r="O42" s="285">
        <v>0</v>
      </c>
      <c r="P42" s="285">
        <v>0</v>
      </c>
      <c r="Q42" s="285">
        <v>0</v>
      </c>
      <c r="R42" s="286">
        <f>SUM(J42:Q42)</f>
        <v>0</v>
      </c>
      <c r="S42" s="287">
        <f>I42-R42</f>
        <v>0</v>
      </c>
      <c r="T42" s="288">
        <f>G42-I42</f>
        <v>0</v>
      </c>
      <c r="U42" s="289">
        <v>0</v>
      </c>
      <c r="V42" s="290" t="e">
        <f t="shared" si="0"/>
        <v>#DIV/0!</v>
      </c>
      <c r="X42" s="329"/>
      <c r="Y42" s="285"/>
      <c r="Z42" s="285"/>
      <c r="AA42" s="285"/>
      <c r="AB42" s="285"/>
      <c r="AC42" s="285"/>
      <c r="AD42" s="285"/>
      <c r="AE42" s="285"/>
    </row>
    <row r="43" spans="1:31" ht="18.95" customHeight="1">
      <c r="A43" s="314" t="s">
        <v>77</v>
      </c>
      <c r="B43" s="291" t="s">
        <v>38</v>
      </c>
      <c r="C43" s="292" t="s">
        <v>78</v>
      </c>
      <c r="D43" s="293" t="s">
        <v>40</v>
      </c>
      <c r="E43" s="294">
        <v>822100</v>
      </c>
      <c r="F43" s="295"/>
      <c r="G43" s="294">
        <v>679200</v>
      </c>
      <c r="H43" s="295"/>
      <c r="I43" s="296">
        <v>679200</v>
      </c>
      <c r="J43" s="273">
        <v>0</v>
      </c>
      <c r="K43" s="273">
        <v>0</v>
      </c>
      <c r="L43" s="273">
        <v>0</v>
      </c>
      <c r="M43" s="273">
        <v>679200</v>
      </c>
      <c r="N43" s="273">
        <v>0</v>
      </c>
      <c r="O43" s="273">
        <v>0</v>
      </c>
      <c r="P43" s="273">
        <v>0</v>
      </c>
      <c r="Q43" s="273">
        <v>0</v>
      </c>
      <c r="R43" s="274">
        <f>SUM(J43:Q43)</f>
        <v>679200</v>
      </c>
      <c r="S43" s="275">
        <f>I43-R43</f>
        <v>0</v>
      </c>
      <c r="T43" s="276">
        <f>G43-I43</f>
        <v>0</v>
      </c>
      <c r="U43" s="297">
        <v>35</v>
      </c>
      <c r="V43" s="278">
        <f t="shared" si="0"/>
        <v>19405.714285714286</v>
      </c>
      <c r="X43" s="328"/>
      <c r="Y43" s="273"/>
      <c r="Z43" s="273"/>
      <c r="AA43" s="273"/>
      <c r="AB43" s="273"/>
      <c r="AC43" s="273"/>
      <c r="AD43" s="273"/>
      <c r="AE43" s="273"/>
    </row>
    <row r="44" spans="1:31" ht="18.95" customHeight="1">
      <c r="A44" s="312"/>
      <c r="B44" s="279" t="s">
        <v>38</v>
      </c>
      <c r="C44" s="280" t="s">
        <v>78</v>
      </c>
      <c r="D44" s="281" t="s">
        <v>43</v>
      </c>
      <c r="E44" s="282">
        <v>0</v>
      </c>
      <c r="F44" s="283"/>
      <c r="G44" s="282">
        <v>0</v>
      </c>
      <c r="H44" s="283"/>
      <c r="I44" s="284">
        <v>0</v>
      </c>
      <c r="J44" s="285">
        <v>0</v>
      </c>
      <c r="K44" s="285">
        <v>0</v>
      </c>
      <c r="L44" s="285">
        <v>325000</v>
      </c>
      <c r="M44" s="285">
        <v>0</v>
      </c>
      <c r="N44" s="285">
        <v>-54300</v>
      </c>
      <c r="O44" s="285">
        <v>0</v>
      </c>
      <c r="P44" s="285">
        <v>0</v>
      </c>
      <c r="Q44" s="285">
        <v>0</v>
      </c>
      <c r="R44" s="286">
        <f>SUM(J44:Q44)</f>
        <v>270700</v>
      </c>
      <c r="S44" s="287">
        <f>I44-R44</f>
        <v>-270700</v>
      </c>
      <c r="T44" s="288">
        <f>G44-I44</f>
        <v>0</v>
      </c>
      <c r="U44" s="289">
        <v>0</v>
      </c>
      <c r="V44" s="290" t="e">
        <f t="shared" si="0"/>
        <v>#DIV/0!</v>
      </c>
      <c r="X44" s="329"/>
      <c r="Y44" s="285"/>
      <c r="Z44" s="285"/>
      <c r="AA44" s="285"/>
      <c r="AB44" s="285"/>
      <c r="AC44" s="285"/>
      <c r="AD44" s="285"/>
      <c r="AE44" s="285"/>
    </row>
    <row r="45" spans="1:31" ht="18.95" customHeight="1">
      <c r="A45" s="312"/>
      <c r="B45" s="279" t="s">
        <v>38</v>
      </c>
      <c r="C45" s="280" t="s">
        <v>79</v>
      </c>
      <c r="D45" s="281" t="s">
        <v>40</v>
      </c>
      <c r="E45" s="282">
        <v>3684600</v>
      </c>
      <c r="F45" s="283"/>
      <c r="G45" s="282">
        <v>3756250</v>
      </c>
      <c r="H45" s="283"/>
      <c r="I45" s="284">
        <v>3756250</v>
      </c>
      <c r="J45" s="285">
        <v>0</v>
      </c>
      <c r="K45" s="285">
        <v>0</v>
      </c>
      <c r="L45" s="285">
        <v>0</v>
      </c>
      <c r="M45" s="285">
        <v>1280800</v>
      </c>
      <c r="N45" s="285">
        <v>1680000</v>
      </c>
      <c r="O45" s="285">
        <v>0</v>
      </c>
      <c r="P45" s="285">
        <v>0</v>
      </c>
      <c r="Q45" s="285">
        <v>0</v>
      </c>
      <c r="R45" s="286">
        <f>SUM(J45:Q45)</f>
        <v>2960800</v>
      </c>
      <c r="S45" s="287">
        <f>I45-R45</f>
        <v>795450</v>
      </c>
      <c r="T45" s="288">
        <f>G45-I45</f>
        <v>0</v>
      </c>
      <c r="U45" s="289">
        <v>30</v>
      </c>
      <c r="V45" s="290">
        <f t="shared" si="0"/>
        <v>98693.333333333328</v>
      </c>
      <c r="X45" s="329"/>
      <c r="Y45" s="285"/>
      <c r="Z45" s="285"/>
      <c r="AA45" s="285"/>
      <c r="AB45" s="285"/>
      <c r="AC45" s="285"/>
      <c r="AD45" s="285"/>
      <c r="AE45" s="285"/>
    </row>
    <row r="46" spans="1:31" ht="18.95" customHeight="1">
      <c r="A46" s="312"/>
      <c r="B46" s="279" t="s">
        <v>38</v>
      </c>
      <c r="C46" s="280" t="s">
        <v>79</v>
      </c>
      <c r="D46" s="281" t="s">
        <v>43</v>
      </c>
      <c r="E46" s="282">
        <v>0</v>
      </c>
      <c r="F46" s="283"/>
      <c r="G46" s="282">
        <v>0</v>
      </c>
      <c r="H46" s="283"/>
      <c r="I46" s="284">
        <v>0</v>
      </c>
      <c r="J46" s="285">
        <v>0</v>
      </c>
      <c r="K46" s="285">
        <v>0</v>
      </c>
      <c r="L46" s="285">
        <v>0</v>
      </c>
      <c r="M46" s="285">
        <v>259400</v>
      </c>
      <c r="N46" s="285">
        <v>0</v>
      </c>
      <c r="O46" s="285">
        <v>0</v>
      </c>
      <c r="P46" s="285">
        <v>0</v>
      </c>
      <c r="Q46" s="285">
        <v>0</v>
      </c>
      <c r="R46" s="286">
        <f>SUM(J46:Q46)</f>
        <v>259400</v>
      </c>
      <c r="S46" s="287">
        <f>I46-R46</f>
        <v>-259400</v>
      </c>
      <c r="T46" s="288">
        <f>G46-I46</f>
        <v>0</v>
      </c>
      <c r="U46" s="289">
        <v>0</v>
      </c>
      <c r="V46" s="290" t="e">
        <f t="shared" si="0"/>
        <v>#DIV/0!</v>
      </c>
      <c r="X46" s="329"/>
      <c r="Y46" s="285"/>
      <c r="Z46" s="285"/>
      <c r="AA46" s="285"/>
      <c r="AB46" s="285"/>
      <c r="AC46" s="285"/>
      <c r="AD46" s="285"/>
      <c r="AE46" s="285"/>
    </row>
    <row r="47" spans="1:31" ht="18.95" customHeight="1">
      <c r="A47" s="312"/>
      <c r="B47" s="279" t="s">
        <v>38</v>
      </c>
      <c r="C47" s="280" t="s">
        <v>80</v>
      </c>
      <c r="D47" s="281" t="s">
        <v>40</v>
      </c>
      <c r="E47" s="282">
        <v>1771450</v>
      </c>
      <c r="F47" s="283"/>
      <c r="G47" s="282">
        <v>1879290</v>
      </c>
      <c r="H47" s="283"/>
      <c r="I47" s="284">
        <v>1879290</v>
      </c>
      <c r="J47" s="285">
        <v>0</v>
      </c>
      <c r="K47" s="285">
        <v>0</v>
      </c>
      <c r="L47" s="285">
        <v>0</v>
      </c>
      <c r="M47" s="285">
        <v>0</v>
      </c>
      <c r="N47" s="285">
        <v>0</v>
      </c>
      <c r="O47" s="285">
        <v>0</v>
      </c>
      <c r="P47" s="285">
        <v>0</v>
      </c>
      <c r="Q47" s="285">
        <v>0</v>
      </c>
      <c r="R47" s="286">
        <f>SUM(J47:Q47)</f>
        <v>0</v>
      </c>
      <c r="S47" s="287">
        <f>I47-R47</f>
        <v>1879290</v>
      </c>
      <c r="T47" s="288">
        <f>G47-I47</f>
        <v>0</v>
      </c>
      <c r="U47" s="289">
        <v>10</v>
      </c>
      <c r="V47" s="290">
        <f t="shared" si="0"/>
        <v>0</v>
      </c>
      <c r="X47" s="329"/>
      <c r="Y47" s="285"/>
      <c r="Z47" s="285"/>
      <c r="AA47" s="285"/>
      <c r="AB47" s="285"/>
      <c r="AC47" s="285"/>
      <c r="AD47" s="285"/>
      <c r="AE47" s="285"/>
    </row>
    <row r="48" spans="1:31" ht="18.95" customHeight="1">
      <c r="A48" s="312"/>
      <c r="B48" s="279" t="s">
        <v>53</v>
      </c>
      <c r="C48" s="280" t="s">
        <v>81</v>
      </c>
      <c r="D48" s="281" t="s">
        <v>43</v>
      </c>
      <c r="E48" s="282">
        <v>0</v>
      </c>
      <c r="F48" s="283"/>
      <c r="G48" s="282">
        <v>0</v>
      </c>
      <c r="H48" s="283"/>
      <c r="I48" s="284">
        <v>0</v>
      </c>
      <c r="J48" s="285">
        <v>0</v>
      </c>
      <c r="K48" s="285">
        <v>0</v>
      </c>
      <c r="L48" s="285">
        <v>0</v>
      </c>
      <c r="M48" s="285">
        <v>48280</v>
      </c>
      <c r="N48" s="285">
        <v>0</v>
      </c>
      <c r="O48" s="285">
        <v>0</v>
      </c>
      <c r="P48" s="285">
        <v>0</v>
      </c>
      <c r="Q48" s="285">
        <v>0</v>
      </c>
      <c r="R48" s="286">
        <f>SUM(J48:Q48)</f>
        <v>48280</v>
      </c>
      <c r="S48" s="287">
        <f>I48-R48</f>
        <v>-48280</v>
      </c>
      <c r="T48" s="288">
        <f>G48-I48</f>
        <v>0</v>
      </c>
      <c r="U48" s="289">
        <v>0</v>
      </c>
      <c r="V48" s="290" t="e">
        <f t="shared" si="0"/>
        <v>#DIV/0!</v>
      </c>
      <c r="X48" s="329"/>
      <c r="Y48" s="285"/>
      <c r="Z48" s="285"/>
      <c r="AA48" s="285"/>
      <c r="AB48" s="285"/>
      <c r="AC48" s="285"/>
      <c r="AD48" s="285"/>
      <c r="AE48" s="285"/>
    </row>
    <row r="49" spans="1:31" ht="18.95" customHeight="1">
      <c r="A49" s="312"/>
      <c r="B49" s="279" t="s">
        <v>53</v>
      </c>
      <c r="C49" s="280" t="s">
        <v>82</v>
      </c>
      <c r="D49" s="281" t="s">
        <v>43</v>
      </c>
      <c r="E49" s="282">
        <v>0</v>
      </c>
      <c r="F49" s="283"/>
      <c r="G49" s="282">
        <v>0</v>
      </c>
      <c r="H49" s="283"/>
      <c r="I49" s="284">
        <v>0</v>
      </c>
      <c r="J49" s="285">
        <v>0</v>
      </c>
      <c r="K49" s="285">
        <v>0</v>
      </c>
      <c r="L49" s="285">
        <v>14700</v>
      </c>
      <c r="M49" s="285">
        <v>33880</v>
      </c>
      <c r="N49" s="285">
        <v>0</v>
      </c>
      <c r="O49" s="285">
        <v>0</v>
      </c>
      <c r="P49" s="285">
        <v>0</v>
      </c>
      <c r="Q49" s="285">
        <v>0</v>
      </c>
      <c r="R49" s="286">
        <f>SUM(J49:Q49)</f>
        <v>48580</v>
      </c>
      <c r="S49" s="287">
        <f>I49-R49</f>
        <v>-48580</v>
      </c>
      <c r="T49" s="288">
        <f>G49-I49</f>
        <v>0</v>
      </c>
      <c r="U49" s="289">
        <v>0</v>
      </c>
      <c r="V49" s="290" t="e">
        <f t="shared" si="0"/>
        <v>#DIV/0!</v>
      </c>
      <c r="X49" s="329"/>
      <c r="Y49" s="285"/>
      <c r="Z49" s="285"/>
      <c r="AA49" s="285"/>
      <c r="AB49" s="285"/>
      <c r="AC49" s="285"/>
      <c r="AD49" s="285"/>
      <c r="AE49" s="285"/>
    </row>
    <row r="50" spans="1:31" ht="18.95" customHeight="1">
      <c r="A50" s="312"/>
      <c r="B50" s="279" t="s">
        <v>83</v>
      </c>
      <c r="C50" s="280" t="s">
        <v>82</v>
      </c>
      <c r="D50" s="281" t="s">
        <v>43</v>
      </c>
      <c r="E50" s="282">
        <v>0</v>
      </c>
      <c r="F50" s="283"/>
      <c r="G50" s="282">
        <v>0</v>
      </c>
      <c r="H50" s="283"/>
      <c r="I50" s="284">
        <v>0</v>
      </c>
      <c r="J50" s="285">
        <v>0</v>
      </c>
      <c r="K50" s="285">
        <v>0</v>
      </c>
      <c r="L50" s="285">
        <v>0</v>
      </c>
      <c r="M50" s="285">
        <v>510900</v>
      </c>
      <c r="N50" s="285">
        <v>0</v>
      </c>
      <c r="O50" s="285">
        <v>0</v>
      </c>
      <c r="P50" s="285">
        <v>0</v>
      </c>
      <c r="Q50" s="285">
        <v>0</v>
      </c>
      <c r="R50" s="286">
        <f>SUM(J50:Q50)</f>
        <v>510900</v>
      </c>
      <c r="S50" s="287">
        <f>I50-R50</f>
        <v>-510900</v>
      </c>
      <c r="T50" s="288">
        <f>G50-I50</f>
        <v>0</v>
      </c>
      <c r="U50" s="289">
        <v>0</v>
      </c>
      <c r="V50" s="290" t="e">
        <f t="shared" si="0"/>
        <v>#DIV/0!</v>
      </c>
      <c r="X50" s="329"/>
      <c r="Y50" s="285"/>
      <c r="Z50" s="285"/>
      <c r="AA50" s="285"/>
      <c r="AB50" s="285"/>
      <c r="AC50" s="285"/>
      <c r="AD50" s="285"/>
      <c r="AE50" s="285"/>
    </row>
    <row r="51" spans="1:31" ht="18.95" customHeight="1">
      <c r="A51" s="312"/>
      <c r="B51" s="279" t="s">
        <v>55</v>
      </c>
      <c r="C51" s="280" t="s">
        <v>82</v>
      </c>
      <c r="D51" s="281" t="s">
        <v>43</v>
      </c>
      <c r="E51" s="282">
        <v>0</v>
      </c>
      <c r="F51" s="283"/>
      <c r="G51" s="282">
        <v>0</v>
      </c>
      <c r="H51" s="283"/>
      <c r="I51" s="284">
        <v>0</v>
      </c>
      <c r="J51" s="285">
        <v>0</v>
      </c>
      <c r="K51" s="285">
        <v>0</v>
      </c>
      <c r="L51" s="285">
        <v>0</v>
      </c>
      <c r="M51" s="285">
        <v>0</v>
      </c>
      <c r="N51" s="285">
        <v>17420</v>
      </c>
      <c r="O51" s="285">
        <v>0</v>
      </c>
      <c r="P51" s="285">
        <v>0</v>
      </c>
      <c r="Q51" s="285">
        <v>0</v>
      </c>
      <c r="R51" s="286">
        <f>SUM(J51:Q51)</f>
        <v>17420</v>
      </c>
      <c r="S51" s="287">
        <f>I51-R51</f>
        <v>-17420</v>
      </c>
      <c r="T51" s="288">
        <f>G51-I51</f>
        <v>0</v>
      </c>
      <c r="U51" s="289">
        <v>0</v>
      </c>
      <c r="V51" s="290" t="e">
        <f t="shared" si="0"/>
        <v>#DIV/0!</v>
      </c>
      <c r="X51" s="329"/>
      <c r="Y51" s="285"/>
      <c r="Z51" s="285"/>
      <c r="AA51" s="285"/>
      <c r="AB51" s="285"/>
      <c r="AC51" s="285"/>
      <c r="AD51" s="285"/>
      <c r="AE51" s="285"/>
    </row>
    <row r="52" spans="1:31" ht="18.95" customHeight="1">
      <c r="A52" s="312"/>
      <c r="B52" s="279" t="s">
        <v>84</v>
      </c>
      <c r="C52" s="280" t="s">
        <v>79</v>
      </c>
      <c r="D52" s="281" t="s">
        <v>43</v>
      </c>
      <c r="E52" s="282">
        <v>0</v>
      </c>
      <c r="F52" s="283"/>
      <c r="G52" s="282">
        <v>0</v>
      </c>
      <c r="H52" s="283"/>
      <c r="I52" s="284">
        <v>220000</v>
      </c>
      <c r="J52" s="285">
        <v>0</v>
      </c>
      <c r="K52" s="285">
        <v>0</v>
      </c>
      <c r="L52" s="285">
        <v>0</v>
      </c>
      <c r="M52" s="285">
        <v>0</v>
      </c>
      <c r="N52" s="285">
        <v>0</v>
      </c>
      <c r="O52" s="285">
        <v>220000</v>
      </c>
      <c r="P52" s="285">
        <v>0</v>
      </c>
      <c r="Q52" s="285">
        <v>0</v>
      </c>
      <c r="R52" s="286">
        <f>SUM(J52:Q52)</f>
        <v>220000</v>
      </c>
      <c r="S52" s="287">
        <f>I52-R52</f>
        <v>0</v>
      </c>
      <c r="T52" s="288">
        <f>G52-I52</f>
        <v>-220000</v>
      </c>
      <c r="U52" s="289">
        <v>0</v>
      </c>
      <c r="V52" s="290" t="e">
        <f t="shared" si="0"/>
        <v>#DIV/0!</v>
      </c>
      <c r="X52" s="329"/>
      <c r="Y52" s="285"/>
      <c r="Z52" s="285"/>
      <c r="AA52" s="285"/>
      <c r="AB52" s="285"/>
      <c r="AC52" s="285"/>
      <c r="AD52" s="285"/>
      <c r="AE52" s="285"/>
    </row>
    <row r="53" spans="1:31" ht="18.95" customHeight="1">
      <c r="A53" s="312"/>
      <c r="B53" s="279"/>
      <c r="C53" s="280" t="s">
        <v>78</v>
      </c>
      <c r="D53" s="281" t="s">
        <v>43</v>
      </c>
      <c r="E53" s="282">
        <v>0</v>
      </c>
      <c r="F53" s="283"/>
      <c r="G53" s="282">
        <v>250000</v>
      </c>
      <c r="H53" s="283"/>
      <c r="I53" s="284">
        <v>325000</v>
      </c>
      <c r="J53" s="285">
        <v>0</v>
      </c>
      <c r="K53" s="285">
        <v>0</v>
      </c>
      <c r="L53" s="285">
        <v>0</v>
      </c>
      <c r="M53" s="285">
        <v>0</v>
      </c>
      <c r="N53" s="285">
        <v>0</v>
      </c>
      <c r="O53" s="285">
        <v>0</v>
      </c>
      <c r="P53" s="285">
        <v>0</v>
      </c>
      <c r="Q53" s="285">
        <v>0</v>
      </c>
      <c r="R53" s="286">
        <f>SUM(J53:Q53)</f>
        <v>0</v>
      </c>
      <c r="S53" s="287">
        <f>I53-R53</f>
        <v>325000</v>
      </c>
      <c r="T53" s="288">
        <f>G53-I53</f>
        <v>-75000</v>
      </c>
      <c r="U53" s="289">
        <v>0</v>
      </c>
      <c r="V53" s="290" t="e">
        <f t="shared" si="0"/>
        <v>#DIV/0!</v>
      </c>
      <c r="X53" s="329"/>
      <c r="Y53" s="285"/>
      <c r="Z53" s="285"/>
      <c r="AA53" s="285"/>
      <c r="AB53" s="285"/>
      <c r="AC53" s="285"/>
      <c r="AD53" s="285"/>
      <c r="AE53" s="285"/>
    </row>
    <row r="54" spans="1:31" ht="18.95" customHeight="1">
      <c r="A54" s="312"/>
      <c r="B54" s="279"/>
      <c r="C54" s="280" t="s">
        <v>81</v>
      </c>
      <c r="D54" s="281" t="s">
        <v>43</v>
      </c>
      <c r="E54" s="282">
        <v>0</v>
      </c>
      <c r="F54" s="283"/>
      <c r="G54" s="282">
        <v>0</v>
      </c>
      <c r="H54" s="283"/>
      <c r="I54" s="284">
        <v>0</v>
      </c>
      <c r="J54" s="285">
        <v>0</v>
      </c>
      <c r="K54" s="285">
        <v>0</v>
      </c>
      <c r="L54" s="285">
        <v>0</v>
      </c>
      <c r="M54" s="285">
        <v>0</v>
      </c>
      <c r="N54" s="285">
        <v>0</v>
      </c>
      <c r="O54" s="285">
        <v>0</v>
      </c>
      <c r="P54" s="285">
        <v>0</v>
      </c>
      <c r="Q54" s="285">
        <v>0</v>
      </c>
      <c r="R54" s="286">
        <f>SUM(J54:Q54)</f>
        <v>0</v>
      </c>
      <c r="S54" s="287">
        <f>I54-R54</f>
        <v>0</v>
      </c>
      <c r="T54" s="288">
        <f>G54-I54</f>
        <v>0</v>
      </c>
      <c r="U54" s="289">
        <v>0</v>
      </c>
      <c r="V54" s="290" t="e">
        <f t="shared" si="0"/>
        <v>#DIV/0!</v>
      </c>
      <c r="X54" s="329"/>
      <c r="Y54" s="285"/>
      <c r="Z54" s="285"/>
      <c r="AA54" s="285"/>
      <c r="AB54" s="285"/>
      <c r="AC54" s="285"/>
      <c r="AD54" s="285"/>
      <c r="AE54" s="285"/>
    </row>
    <row r="55" spans="1:31" ht="18.95" customHeight="1">
      <c r="A55" s="312"/>
      <c r="B55" s="279"/>
      <c r="C55" s="280" t="s">
        <v>79</v>
      </c>
      <c r="D55" s="281" t="s">
        <v>43</v>
      </c>
      <c r="E55" s="282">
        <v>911360</v>
      </c>
      <c r="F55" s="283"/>
      <c r="G55" s="282">
        <v>945000</v>
      </c>
      <c r="H55" s="283"/>
      <c r="I55" s="284">
        <v>945000</v>
      </c>
      <c r="J55" s="285">
        <v>0</v>
      </c>
      <c r="K55" s="285">
        <v>0</v>
      </c>
      <c r="L55" s="285">
        <v>0</v>
      </c>
      <c r="M55" s="285">
        <v>0</v>
      </c>
      <c r="N55" s="285">
        <v>0</v>
      </c>
      <c r="O55" s="285">
        <v>0</v>
      </c>
      <c r="P55" s="285">
        <v>0</v>
      </c>
      <c r="Q55" s="285">
        <v>0</v>
      </c>
      <c r="R55" s="286">
        <f>SUM(J55:Q55)</f>
        <v>0</v>
      </c>
      <c r="S55" s="287">
        <f>I55-R55</f>
        <v>945000</v>
      </c>
      <c r="T55" s="288">
        <f>G55-I55</f>
        <v>0</v>
      </c>
      <c r="U55" s="289">
        <v>0</v>
      </c>
      <c r="V55" s="290" t="e">
        <f t="shared" si="0"/>
        <v>#DIV/0!</v>
      </c>
      <c r="X55" s="329"/>
      <c r="Y55" s="285"/>
      <c r="Z55" s="285"/>
      <c r="AA55" s="285"/>
      <c r="AB55" s="285"/>
      <c r="AC55" s="285"/>
      <c r="AD55" s="285"/>
      <c r="AE55" s="285"/>
    </row>
    <row r="56" spans="1:31" ht="18.95" customHeight="1">
      <c r="A56" s="312"/>
      <c r="B56" s="279"/>
      <c r="C56" s="280" t="s">
        <v>82</v>
      </c>
      <c r="D56" s="281" t="s">
        <v>43</v>
      </c>
      <c r="E56" s="282">
        <v>0</v>
      </c>
      <c r="F56" s="283"/>
      <c r="G56" s="282">
        <v>0</v>
      </c>
      <c r="H56" s="283"/>
      <c r="I56" s="284">
        <v>60000</v>
      </c>
      <c r="J56" s="285">
        <v>0</v>
      </c>
      <c r="K56" s="285">
        <v>0</v>
      </c>
      <c r="L56" s="285">
        <v>0</v>
      </c>
      <c r="M56" s="285">
        <v>0</v>
      </c>
      <c r="N56" s="285">
        <v>0</v>
      </c>
      <c r="O56" s="285">
        <v>0</v>
      </c>
      <c r="P56" s="285">
        <v>0</v>
      </c>
      <c r="Q56" s="285">
        <v>0</v>
      </c>
      <c r="R56" s="286">
        <f>SUM(J56:Q56)</f>
        <v>0</v>
      </c>
      <c r="S56" s="287">
        <f>I56-R56</f>
        <v>60000</v>
      </c>
      <c r="T56" s="288">
        <f>G56-I56</f>
        <v>-60000</v>
      </c>
      <c r="U56" s="289">
        <v>0</v>
      </c>
      <c r="V56" s="290" t="e">
        <f t="shared" si="0"/>
        <v>#DIV/0!</v>
      </c>
      <c r="X56" s="329"/>
      <c r="Y56" s="285"/>
      <c r="Z56" s="285"/>
      <c r="AA56" s="285"/>
      <c r="AB56" s="285"/>
      <c r="AC56" s="285"/>
      <c r="AD56" s="285"/>
      <c r="AE56" s="285"/>
    </row>
    <row r="57" spans="1:31" ht="18.95" customHeight="1">
      <c r="A57" s="312"/>
      <c r="B57" s="279"/>
      <c r="C57" s="280" t="s">
        <v>80</v>
      </c>
      <c r="D57" s="281" t="s">
        <v>43</v>
      </c>
      <c r="E57" s="282">
        <v>0</v>
      </c>
      <c r="F57" s="283"/>
      <c r="G57" s="282">
        <v>0</v>
      </c>
      <c r="H57" s="283"/>
      <c r="I57" s="284">
        <v>0</v>
      </c>
      <c r="J57" s="285">
        <v>0</v>
      </c>
      <c r="K57" s="285">
        <v>0</v>
      </c>
      <c r="L57" s="285">
        <v>0</v>
      </c>
      <c r="M57" s="285">
        <v>0</v>
      </c>
      <c r="N57" s="285">
        <v>0</v>
      </c>
      <c r="O57" s="285">
        <v>0</v>
      </c>
      <c r="P57" s="285">
        <v>0</v>
      </c>
      <c r="Q57" s="285">
        <v>0</v>
      </c>
      <c r="R57" s="286">
        <f>SUM(J57:Q57)</f>
        <v>0</v>
      </c>
      <c r="S57" s="287">
        <f>I57-R57</f>
        <v>0</v>
      </c>
      <c r="T57" s="288">
        <f>G57-I57</f>
        <v>0</v>
      </c>
      <c r="U57" s="289">
        <v>0</v>
      </c>
      <c r="V57" s="290" t="e">
        <f t="shared" si="0"/>
        <v>#DIV/0!</v>
      </c>
      <c r="X57" s="329"/>
      <c r="Y57" s="285"/>
      <c r="Z57" s="285"/>
      <c r="AA57" s="285"/>
      <c r="AB57" s="285"/>
      <c r="AC57" s="285"/>
      <c r="AD57" s="285"/>
      <c r="AE57" s="285"/>
    </row>
    <row r="58" spans="1:31" ht="18.95" customHeight="1">
      <c r="A58" s="313"/>
      <c r="B58" s="279"/>
      <c r="C58" s="280" t="s">
        <v>85</v>
      </c>
      <c r="D58" s="281" t="s">
        <v>43</v>
      </c>
      <c r="E58" s="282">
        <v>0</v>
      </c>
      <c r="F58" s="283"/>
      <c r="G58" s="282">
        <v>0</v>
      </c>
      <c r="H58" s="283"/>
      <c r="I58" s="284">
        <v>0</v>
      </c>
      <c r="J58" s="285">
        <v>0</v>
      </c>
      <c r="K58" s="285">
        <v>0</v>
      </c>
      <c r="L58" s="285">
        <v>0</v>
      </c>
      <c r="M58" s="285">
        <v>0</v>
      </c>
      <c r="N58" s="285">
        <v>0</v>
      </c>
      <c r="O58" s="285">
        <v>0</v>
      </c>
      <c r="P58" s="285">
        <v>0</v>
      </c>
      <c r="Q58" s="285">
        <v>0</v>
      </c>
      <c r="R58" s="286">
        <f>SUM(J58:Q58)</f>
        <v>0</v>
      </c>
      <c r="S58" s="287">
        <f>I58-R58</f>
        <v>0</v>
      </c>
      <c r="T58" s="288">
        <f>G58-I58</f>
        <v>0</v>
      </c>
      <c r="U58" s="289">
        <v>0</v>
      </c>
      <c r="V58" s="290" t="e">
        <f t="shared" si="0"/>
        <v>#DIV/0!</v>
      </c>
      <c r="X58" s="329"/>
      <c r="Y58" s="285"/>
      <c r="Z58" s="285"/>
      <c r="AA58" s="285"/>
      <c r="AB58" s="285"/>
      <c r="AC58" s="285"/>
      <c r="AD58" s="285"/>
      <c r="AE58" s="285"/>
    </row>
    <row r="59" spans="1:31" ht="18.95" customHeight="1">
      <c r="A59" s="314" t="s">
        <v>86</v>
      </c>
      <c r="B59" s="291" t="s">
        <v>38</v>
      </c>
      <c r="C59" s="292" t="s">
        <v>87</v>
      </c>
      <c r="D59" s="293" t="s">
        <v>40</v>
      </c>
      <c r="E59" s="294">
        <v>2752050</v>
      </c>
      <c r="F59" s="295"/>
      <c r="G59" s="294">
        <v>2659000</v>
      </c>
      <c r="H59" s="295"/>
      <c r="I59" s="296">
        <v>2659000</v>
      </c>
      <c r="J59" s="273">
        <v>0</v>
      </c>
      <c r="K59" s="273">
        <v>0</v>
      </c>
      <c r="L59" s="273">
        <v>0</v>
      </c>
      <c r="M59" s="273">
        <v>0</v>
      </c>
      <c r="N59" s="273">
        <v>710000</v>
      </c>
      <c r="O59" s="273">
        <v>1910000</v>
      </c>
      <c r="P59" s="273">
        <v>0</v>
      </c>
      <c r="Q59" s="273">
        <v>0</v>
      </c>
      <c r="R59" s="274">
        <f>SUM(J59:Q59)</f>
        <v>2620000</v>
      </c>
      <c r="S59" s="275">
        <f>I59-R59</f>
        <v>39000</v>
      </c>
      <c r="T59" s="276">
        <f>G59-I59</f>
        <v>0</v>
      </c>
      <c r="U59" s="297">
        <v>0</v>
      </c>
      <c r="V59" s="278" t="e">
        <f t="shared" si="0"/>
        <v>#DIV/0!</v>
      </c>
      <c r="X59" s="328"/>
      <c r="Y59" s="273"/>
      <c r="Z59" s="273"/>
      <c r="AA59" s="273"/>
      <c r="AB59" s="273"/>
      <c r="AC59" s="273"/>
      <c r="AD59" s="273"/>
      <c r="AE59" s="273"/>
    </row>
    <row r="60" spans="1:31" ht="18.95" customHeight="1">
      <c r="A60" s="312"/>
      <c r="B60" s="279" t="s">
        <v>53</v>
      </c>
      <c r="C60" s="280" t="s">
        <v>88</v>
      </c>
      <c r="D60" s="281" t="s">
        <v>43</v>
      </c>
      <c r="E60" s="282">
        <v>0</v>
      </c>
      <c r="F60" s="283"/>
      <c r="G60" s="282">
        <v>0</v>
      </c>
      <c r="H60" s="283"/>
      <c r="I60" s="284">
        <v>0</v>
      </c>
      <c r="J60" s="285">
        <v>0</v>
      </c>
      <c r="K60" s="285">
        <v>0</v>
      </c>
      <c r="L60" s="285">
        <v>0</v>
      </c>
      <c r="M60" s="285">
        <v>0</v>
      </c>
      <c r="N60" s="285">
        <v>0</v>
      </c>
      <c r="O60" s="285">
        <v>1260</v>
      </c>
      <c r="P60" s="285">
        <v>0</v>
      </c>
      <c r="Q60" s="285">
        <v>0</v>
      </c>
      <c r="R60" s="286">
        <f>SUM(J60:Q60)</f>
        <v>1260</v>
      </c>
      <c r="S60" s="287">
        <f>I60-R60</f>
        <v>-1260</v>
      </c>
      <c r="T60" s="288">
        <f>G60-I60</f>
        <v>0</v>
      </c>
      <c r="U60" s="289">
        <v>0</v>
      </c>
      <c r="V60" s="290" t="e">
        <f t="shared" si="0"/>
        <v>#DIV/0!</v>
      </c>
      <c r="X60" s="329"/>
      <c r="Y60" s="285"/>
      <c r="Z60" s="285"/>
      <c r="AA60" s="285"/>
      <c r="AB60" s="285"/>
      <c r="AC60" s="285"/>
      <c r="AD60" s="285"/>
      <c r="AE60" s="285"/>
    </row>
    <row r="61" spans="1:31" ht="18.95" customHeight="1">
      <c r="A61" s="312"/>
      <c r="B61" s="279" t="s">
        <v>89</v>
      </c>
      <c r="C61" s="280" t="s">
        <v>88</v>
      </c>
      <c r="D61" s="281" t="s">
        <v>43</v>
      </c>
      <c r="E61" s="282">
        <v>0</v>
      </c>
      <c r="F61" s="283"/>
      <c r="G61" s="282">
        <v>0</v>
      </c>
      <c r="H61" s="283"/>
      <c r="I61" s="284">
        <v>0</v>
      </c>
      <c r="J61" s="285">
        <v>0</v>
      </c>
      <c r="K61" s="285">
        <v>0</v>
      </c>
      <c r="L61" s="285">
        <v>19900</v>
      </c>
      <c r="M61" s="285">
        <v>0</v>
      </c>
      <c r="N61" s="285">
        <v>474400</v>
      </c>
      <c r="O61" s="285">
        <v>217600</v>
      </c>
      <c r="P61" s="285">
        <v>0</v>
      </c>
      <c r="Q61" s="285">
        <v>0</v>
      </c>
      <c r="R61" s="286">
        <f>SUM(J61:Q61)</f>
        <v>711900</v>
      </c>
      <c r="S61" s="287">
        <f>I61-R61</f>
        <v>-711900</v>
      </c>
      <c r="T61" s="288">
        <f>G61-I61</f>
        <v>0</v>
      </c>
      <c r="U61" s="289">
        <v>0</v>
      </c>
      <c r="V61" s="290" t="e">
        <f t="shared" si="0"/>
        <v>#DIV/0!</v>
      </c>
      <c r="X61" s="329"/>
      <c r="Y61" s="285"/>
      <c r="Z61" s="285"/>
      <c r="AA61" s="285"/>
      <c r="AB61" s="285"/>
      <c r="AC61" s="285"/>
      <c r="AD61" s="285"/>
      <c r="AE61" s="285"/>
    </row>
    <row r="62" spans="1:31" ht="18.95" customHeight="1">
      <c r="A62" s="312"/>
      <c r="B62" s="279"/>
      <c r="C62" s="280" t="s">
        <v>87</v>
      </c>
      <c r="D62" s="281" t="s">
        <v>43</v>
      </c>
      <c r="E62" s="282">
        <v>0</v>
      </c>
      <c r="F62" s="283"/>
      <c r="G62" s="282">
        <v>50000</v>
      </c>
      <c r="H62" s="283"/>
      <c r="I62" s="284">
        <v>50000</v>
      </c>
      <c r="J62" s="285">
        <v>0</v>
      </c>
      <c r="K62" s="285">
        <v>0</v>
      </c>
      <c r="L62" s="285">
        <v>0</v>
      </c>
      <c r="M62" s="285">
        <v>0</v>
      </c>
      <c r="N62" s="285">
        <v>0</v>
      </c>
      <c r="O62" s="285">
        <v>0</v>
      </c>
      <c r="P62" s="285">
        <v>0</v>
      </c>
      <c r="Q62" s="285">
        <v>0</v>
      </c>
      <c r="R62" s="286">
        <f>SUM(J62:Q62)</f>
        <v>0</v>
      </c>
      <c r="S62" s="287">
        <f>I62-R62</f>
        <v>50000</v>
      </c>
      <c r="T62" s="288">
        <f>G62-I62</f>
        <v>0</v>
      </c>
      <c r="U62" s="289">
        <v>0</v>
      </c>
      <c r="V62" s="290" t="e">
        <f t="shared" si="0"/>
        <v>#DIV/0!</v>
      </c>
      <c r="X62" s="329"/>
      <c r="Y62" s="285"/>
      <c r="Z62" s="285"/>
      <c r="AA62" s="285"/>
      <c r="AB62" s="285"/>
      <c r="AC62" s="285"/>
      <c r="AD62" s="285"/>
      <c r="AE62" s="285"/>
    </row>
    <row r="63" spans="1:31" ht="18.95" customHeight="1">
      <c r="A63" s="313"/>
      <c r="B63" s="279"/>
      <c r="C63" s="280" t="s">
        <v>88</v>
      </c>
      <c r="D63" s="281" t="s">
        <v>43</v>
      </c>
      <c r="E63" s="282">
        <v>715800</v>
      </c>
      <c r="F63" s="283"/>
      <c r="G63" s="282">
        <v>715800</v>
      </c>
      <c r="H63" s="283"/>
      <c r="I63" s="284">
        <v>815800</v>
      </c>
      <c r="J63" s="285">
        <v>0</v>
      </c>
      <c r="K63" s="285">
        <v>0</v>
      </c>
      <c r="L63" s="285">
        <v>0</v>
      </c>
      <c r="M63" s="285">
        <v>0</v>
      </c>
      <c r="N63" s="285">
        <v>0</v>
      </c>
      <c r="O63" s="285">
        <v>0</v>
      </c>
      <c r="P63" s="285">
        <v>0</v>
      </c>
      <c r="Q63" s="285">
        <v>0</v>
      </c>
      <c r="R63" s="286">
        <f>SUM(J63:Q63)</f>
        <v>0</v>
      </c>
      <c r="S63" s="287">
        <f>I63-R63</f>
        <v>815800</v>
      </c>
      <c r="T63" s="288">
        <f>G63-I63</f>
        <v>-100000</v>
      </c>
      <c r="U63" s="289">
        <v>0</v>
      </c>
      <c r="V63" s="290" t="e">
        <f t="shared" si="0"/>
        <v>#DIV/0!</v>
      </c>
      <c r="X63" s="329"/>
      <c r="Y63" s="285"/>
      <c r="Z63" s="285"/>
      <c r="AA63" s="285"/>
      <c r="AB63" s="285"/>
      <c r="AC63" s="285"/>
      <c r="AD63" s="285"/>
      <c r="AE63" s="285"/>
    </row>
    <row r="64" spans="1:31" ht="18.95" customHeight="1">
      <c r="A64" s="314" t="s">
        <v>90</v>
      </c>
      <c r="B64" s="291" t="s">
        <v>38</v>
      </c>
      <c r="C64" s="292" t="s">
        <v>91</v>
      </c>
      <c r="D64" s="293" t="s">
        <v>40</v>
      </c>
      <c r="E64" s="294">
        <v>2083500</v>
      </c>
      <c r="F64" s="295"/>
      <c r="G64" s="294">
        <v>2152500</v>
      </c>
      <c r="H64" s="295"/>
      <c r="I64" s="296">
        <v>2152500</v>
      </c>
      <c r="J64" s="273">
        <v>0</v>
      </c>
      <c r="K64" s="273">
        <v>0</v>
      </c>
      <c r="L64" s="273">
        <v>500000</v>
      </c>
      <c r="M64" s="273">
        <v>1080000</v>
      </c>
      <c r="N64" s="273">
        <v>100000</v>
      </c>
      <c r="O64" s="273">
        <v>120000</v>
      </c>
      <c r="P64" s="273">
        <v>0</v>
      </c>
      <c r="Q64" s="273">
        <v>0</v>
      </c>
      <c r="R64" s="274">
        <f>SUM(J64:Q64)</f>
        <v>1800000</v>
      </c>
      <c r="S64" s="275">
        <f>I64-R64</f>
        <v>352500</v>
      </c>
      <c r="T64" s="276">
        <f>G64-I64</f>
        <v>0</v>
      </c>
      <c r="U64" s="297">
        <v>86</v>
      </c>
      <c r="V64" s="278">
        <f t="shared" si="0"/>
        <v>20930.232558139534</v>
      </c>
      <c r="X64" s="328"/>
      <c r="Y64" s="273"/>
      <c r="Z64" s="273"/>
      <c r="AA64" s="273"/>
      <c r="AB64" s="273"/>
      <c r="AC64" s="273"/>
      <c r="AD64" s="273"/>
      <c r="AE64" s="273"/>
    </row>
    <row r="65" spans="1:31" ht="18.95" customHeight="1">
      <c r="A65" s="312"/>
      <c r="B65" s="279" t="s">
        <v>38</v>
      </c>
      <c r="C65" s="280" t="s">
        <v>92</v>
      </c>
      <c r="D65" s="281" t="s">
        <v>40</v>
      </c>
      <c r="E65" s="282">
        <v>60000</v>
      </c>
      <c r="F65" s="283"/>
      <c r="G65" s="282">
        <v>52500</v>
      </c>
      <c r="H65" s="283"/>
      <c r="I65" s="284">
        <v>52500</v>
      </c>
      <c r="J65" s="285">
        <v>0</v>
      </c>
      <c r="K65" s="285">
        <v>0</v>
      </c>
      <c r="L65" s="285">
        <v>0</v>
      </c>
      <c r="M65" s="285">
        <v>0</v>
      </c>
      <c r="N65" s="285">
        <v>0</v>
      </c>
      <c r="O65" s="285">
        <v>0</v>
      </c>
      <c r="P65" s="285">
        <v>0</v>
      </c>
      <c r="Q65" s="285">
        <v>0</v>
      </c>
      <c r="R65" s="286">
        <f>SUM(J65:Q65)</f>
        <v>0</v>
      </c>
      <c r="S65" s="287">
        <f>I65-R65</f>
        <v>52500</v>
      </c>
      <c r="T65" s="288">
        <f>G65-I65</f>
        <v>0</v>
      </c>
      <c r="U65" s="289">
        <v>0</v>
      </c>
      <c r="V65" s="290" t="e">
        <f t="shared" si="0"/>
        <v>#DIV/0!</v>
      </c>
      <c r="X65" s="329"/>
      <c r="Y65" s="285"/>
      <c r="Z65" s="285"/>
      <c r="AA65" s="285"/>
      <c r="AB65" s="285"/>
      <c r="AC65" s="285"/>
      <c r="AD65" s="285"/>
      <c r="AE65" s="285"/>
    </row>
    <row r="66" spans="1:31" ht="18.95" customHeight="1">
      <c r="A66" s="312"/>
      <c r="B66" s="279" t="s">
        <v>89</v>
      </c>
      <c r="C66" s="280" t="s">
        <v>93</v>
      </c>
      <c r="D66" s="281" t="s">
        <v>43</v>
      </c>
      <c r="E66" s="282">
        <v>0</v>
      </c>
      <c r="F66" s="283"/>
      <c r="G66" s="282">
        <v>0</v>
      </c>
      <c r="H66" s="283"/>
      <c r="I66" s="284">
        <v>0</v>
      </c>
      <c r="J66" s="285">
        <v>0</v>
      </c>
      <c r="K66" s="285">
        <v>0</v>
      </c>
      <c r="L66" s="285">
        <v>123300</v>
      </c>
      <c r="M66" s="285">
        <v>185400</v>
      </c>
      <c r="N66" s="285">
        <v>0</v>
      </c>
      <c r="O66" s="285">
        <v>0</v>
      </c>
      <c r="P66" s="285">
        <v>0</v>
      </c>
      <c r="Q66" s="285">
        <v>0</v>
      </c>
      <c r="R66" s="286">
        <f>SUM(J66:Q66)</f>
        <v>308700</v>
      </c>
      <c r="S66" s="287">
        <f>I66-R66</f>
        <v>-308700</v>
      </c>
      <c r="T66" s="288">
        <f>G66-I66</f>
        <v>0</v>
      </c>
      <c r="U66" s="289">
        <v>0</v>
      </c>
      <c r="V66" s="290" t="e">
        <f t="shared" si="0"/>
        <v>#DIV/0!</v>
      </c>
      <c r="X66" s="329"/>
      <c r="Y66" s="285"/>
      <c r="Z66" s="285"/>
      <c r="AA66" s="285"/>
      <c r="AB66" s="285"/>
      <c r="AC66" s="285"/>
      <c r="AD66" s="285"/>
      <c r="AE66" s="285"/>
    </row>
    <row r="67" spans="1:31" ht="18.95" customHeight="1">
      <c r="A67" s="312"/>
      <c r="B67" s="279"/>
      <c r="C67" s="280" t="s">
        <v>91</v>
      </c>
      <c r="D67" s="281" t="s">
        <v>43</v>
      </c>
      <c r="E67" s="282">
        <v>0</v>
      </c>
      <c r="F67" s="283"/>
      <c r="G67" s="282">
        <v>0</v>
      </c>
      <c r="H67" s="283"/>
      <c r="I67" s="284">
        <v>0</v>
      </c>
      <c r="J67" s="285">
        <v>0</v>
      </c>
      <c r="K67" s="285">
        <v>0</v>
      </c>
      <c r="L67" s="285">
        <v>0</v>
      </c>
      <c r="M67" s="285">
        <v>0</v>
      </c>
      <c r="N67" s="285">
        <v>0</v>
      </c>
      <c r="O67" s="285">
        <v>0</v>
      </c>
      <c r="P67" s="285">
        <v>0</v>
      </c>
      <c r="Q67" s="285">
        <v>0</v>
      </c>
      <c r="R67" s="286">
        <f>SUM(J67:Q67)</f>
        <v>0</v>
      </c>
      <c r="S67" s="287">
        <f>I67-R67</f>
        <v>0</v>
      </c>
      <c r="T67" s="288">
        <f>G67-I67</f>
        <v>0</v>
      </c>
      <c r="U67" s="289">
        <v>0</v>
      </c>
      <c r="V67" s="290" t="e">
        <f t="shared" si="0"/>
        <v>#DIV/0!</v>
      </c>
      <c r="X67" s="329"/>
      <c r="Y67" s="285"/>
      <c r="Z67" s="285"/>
      <c r="AA67" s="285"/>
      <c r="AB67" s="285"/>
      <c r="AC67" s="285"/>
      <c r="AD67" s="285"/>
      <c r="AE67" s="285"/>
    </row>
    <row r="68" spans="1:31" ht="18.95" customHeight="1">
      <c r="A68" s="312"/>
      <c r="B68" s="279"/>
      <c r="C68" s="280" t="s">
        <v>93</v>
      </c>
      <c r="D68" s="281" t="s">
        <v>43</v>
      </c>
      <c r="E68" s="282">
        <v>118300</v>
      </c>
      <c r="F68" s="283"/>
      <c r="G68" s="282">
        <v>539300</v>
      </c>
      <c r="H68" s="283"/>
      <c r="I68" s="284">
        <v>439300</v>
      </c>
      <c r="J68" s="285">
        <v>0</v>
      </c>
      <c r="K68" s="285">
        <v>0</v>
      </c>
      <c r="L68" s="285">
        <v>0</v>
      </c>
      <c r="M68" s="285">
        <v>0</v>
      </c>
      <c r="N68" s="285">
        <v>0</v>
      </c>
      <c r="O68" s="285">
        <v>0</v>
      </c>
      <c r="P68" s="285">
        <v>0</v>
      </c>
      <c r="Q68" s="285">
        <v>0</v>
      </c>
      <c r="R68" s="286">
        <f>SUM(J68:Q68)</f>
        <v>0</v>
      </c>
      <c r="S68" s="287">
        <f>I68-R68</f>
        <v>439300</v>
      </c>
      <c r="T68" s="288">
        <f>G68-I68</f>
        <v>100000</v>
      </c>
      <c r="U68" s="289">
        <v>0</v>
      </c>
      <c r="V68" s="290" t="e">
        <f t="shared" si="0"/>
        <v>#DIV/0!</v>
      </c>
      <c r="X68" s="329"/>
      <c r="Y68" s="285"/>
      <c r="Z68" s="285"/>
      <c r="AA68" s="285"/>
      <c r="AB68" s="285"/>
      <c r="AC68" s="285"/>
      <c r="AD68" s="285"/>
      <c r="AE68" s="285"/>
    </row>
    <row r="69" spans="1:31" ht="18.95" customHeight="1">
      <c r="A69" s="312"/>
      <c r="B69" s="279"/>
      <c r="C69" s="280" t="s">
        <v>92</v>
      </c>
      <c r="D69" s="281" t="s">
        <v>43</v>
      </c>
      <c r="E69" s="282">
        <v>0</v>
      </c>
      <c r="F69" s="283"/>
      <c r="G69" s="282">
        <v>0</v>
      </c>
      <c r="H69" s="283"/>
      <c r="I69" s="284">
        <v>0</v>
      </c>
      <c r="J69" s="285">
        <v>0</v>
      </c>
      <c r="K69" s="285">
        <v>0</v>
      </c>
      <c r="L69" s="285">
        <v>0</v>
      </c>
      <c r="M69" s="285">
        <v>0</v>
      </c>
      <c r="N69" s="285">
        <v>0</v>
      </c>
      <c r="O69" s="285">
        <v>0</v>
      </c>
      <c r="P69" s="285">
        <v>0</v>
      </c>
      <c r="Q69" s="285">
        <v>0</v>
      </c>
      <c r="R69" s="286">
        <f>SUM(J69:Q69)</f>
        <v>0</v>
      </c>
      <c r="S69" s="287">
        <f>I69-R69</f>
        <v>0</v>
      </c>
      <c r="T69" s="288">
        <f>G69-I69</f>
        <v>0</v>
      </c>
      <c r="U69" s="289">
        <v>0</v>
      </c>
      <c r="V69" s="290" t="e">
        <f t="shared" si="0"/>
        <v>#DIV/0!</v>
      </c>
      <c r="X69" s="329"/>
      <c r="Y69" s="285"/>
      <c r="Z69" s="285"/>
      <c r="AA69" s="285"/>
      <c r="AB69" s="285"/>
      <c r="AC69" s="285"/>
      <c r="AD69" s="285"/>
      <c r="AE69" s="285"/>
    </row>
    <row r="70" spans="1:31" ht="18.95" customHeight="1">
      <c r="A70" s="313"/>
      <c r="B70" s="279"/>
      <c r="C70" s="280" t="s">
        <v>94</v>
      </c>
      <c r="D70" s="281" t="s">
        <v>43</v>
      </c>
      <c r="E70" s="282">
        <v>0</v>
      </c>
      <c r="F70" s="283"/>
      <c r="G70" s="282">
        <v>0</v>
      </c>
      <c r="H70" s="283"/>
      <c r="I70" s="284">
        <v>0</v>
      </c>
      <c r="J70" s="285">
        <v>0</v>
      </c>
      <c r="K70" s="285">
        <v>0</v>
      </c>
      <c r="L70" s="285">
        <v>0</v>
      </c>
      <c r="M70" s="285">
        <v>0</v>
      </c>
      <c r="N70" s="285">
        <v>0</v>
      </c>
      <c r="O70" s="285">
        <v>0</v>
      </c>
      <c r="P70" s="285">
        <v>0</v>
      </c>
      <c r="Q70" s="285">
        <v>0</v>
      </c>
      <c r="R70" s="286">
        <f>SUM(J70:Q70)</f>
        <v>0</v>
      </c>
      <c r="S70" s="287">
        <f>I70-R70</f>
        <v>0</v>
      </c>
      <c r="T70" s="288">
        <f>G70-I70</f>
        <v>0</v>
      </c>
      <c r="U70" s="289">
        <v>0</v>
      </c>
      <c r="V70" s="290" t="e">
        <f t="shared" si="0"/>
        <v>#DIV/0!</v>
      </c>
      <c r="X70" s="329"/>
      <c r="Y70" s="285"/>
      <c r="Z70" s="285"/>
      <c r="AA70" s="285"/>
      <c r="AB70" s="285"/>
      <c r="AC70" s="285"/>
      <c r="AD70" s="285"/>
      <c r="AE70" s="285"/>
    </row>
    <row r="71" spans="1:31" ht="18.95" customHeight="1">
      <c r="A71" s="314" t="s">
        <v>95</v>
      </c>
      <c r="B71" s="291" t="s">
        <v>38</v>
      </c>
      <c r="C71" s="292" t="s">
        <v>96</v>
      </c>
      <c r="D71" s="293" t="s">
        <v>40</v>
      </c>
      <c r="E71" s="294">
        <v>267800</v>
      </c>
      <c r="F71" s="295"/>
      <c r="G71" s="294">
        <v>282240</v>
      </c>
      <c r="H71" s="295"/>
      <c r="I71" s="296">
        <v>282240</v>
      </c>
      <c r="J71" s="273">
        <v>0</v>
      </c>
      <c r="K71" s="273">
        <v>0</v>
      </c>
      <c r="L71" s="273">
        <v>0</v>
      </c>
      <c r="M71" s="273">
        <v>0</v>
      </c>
      <c r="N71" s="273">
        <v>0</v>
      </c>
      <c r="O71" s="273">
        <v>0</v>
      </c>
      <c r="P71" s="273">
        <v>0</v>
      </c>
      <c r="Q71" s="273">
        <v>0</v>
      </c>
      <c r="R71" s="274">
        <f>SUM(J71:Q71)</f>
        <v>0</v>
      </c>
      <c r="S71" s="275">
        <f>I71-R71</f>
        <v>282240</v>
      </c>
      <c r="T71" s="276">
        <f>G71-I71</f>
        <v>0</v>
      </c>
      <c r="U71" s="297">
        <v>0</v>
      </c>
      <c r="V71" s="278" t="e">
        <f t="shared" si="0"/>
        <v>#DIV/0!</v>
      </c>
      <c r="X71" s="328"/>
      <c r="Y71" s="273"/>
      <c r="Z71" s="273"/>
      <c r="AA71" s="273"/>
      <c r="AB71" s="273"/>
      <c r="AC71" s="273"/>
      <c r="AD71" s="273"/>
      <c r="AE71" s="273"/>
    </row>
    <row r="72" spans="1:31" ht="18.95" customHeight="1">
      <c r="A72" s="312"/>
      <c r="B72" s="279" t="s">
        <v>38</v>
      </c>
      <c r="C72" s="280" t="s">
        <v>97</v>
      </c>
      <c r="D72" s="281" t="s">
        <v>40</v>
      </c>
      <c r="E72" s="282">
        <v>1378700</v>
      </c>
      <c r="F72" s="283"/>
      <c r="G72" s="282">
        <v>3052820</v>
      </c>
      <c r="H72" s="283"/>
      <c r="I72" s="284">
        <v>1652820</v>
      </c>
      <c r="J72" s="285">
        <v>0</v>
      </c>
      <c r="K72" s="285">
        <v>0</v>
      </c>
      <c r="L72" s="285">
        <v>0</v>
      </c>
      <c r="M72" s="285">
        <v>0</v>
      </c>
      <c r="N72" s="285">
        <v>0</v>
      </c>
      <c r="O72" s="285">
        <v>0</v>
      </c>
      <c r="P72" s="285">
        <v>0</v>
      </c>
      <c r="Q72" s="285">
        <v>0</v>
      </c>
      <c r="R72" s="286">
        <f>SUM(J72:Q72)</f>
        <v>0</v>
      </c>
      <c r="S72" s="287">
        <f>I72-R72</f>
        <v>1652820</v>
      </c>
      <c r="T72" s="288">
        <f>G72-I72</f>
        <v>1400000</v>
      </c>
      <c r="U72" s="289">
        <v>0</v>
      </c>
      <c r="V72" s="290" t="e">
        <f t="shared" ref="V72:V117" si="1">R72/U72</f>
        <v>#DIV/0!</v>
      </c>
      <c r="X72" s="329"/>
      <c r="Y72" s="285"/>
      <c r="Z72" s="285"/>
      <c r="AA72" s="285"/>
      <c r="AB72" s="285"/>
      <c r="AC72" s="285"/>
      <c r="AD72" s="285"/>
      <c r="AE72" s="285"/>
    </row>
    <row r="73" spans="1:31" ht="18.95" customHeight="1">
      <c r="A73" s="312"/>
      <c r="B73" s="279" t="s">
        <v>53</v>
      </c>
      <c r="C73" s="280" t="s">
        <v>98</v>
      </c>
      <c r="D73" s="281" t="s">
        <v>43</v>
      </c>
      <c r="E73" s="282">
        <v>0</v>
      </c>
      <c r="F73" s="283"/>
      <c r="G73" s="282">
        <v>0</v>
      </c>
      <c r="H73" s="283"/>
      <c r="I73" s="284">
        <v>0</v>
      </c>
      <c r="J73" s="285">
        <v>0</v>
      </c>
      <c r="K73" s="285">
        <v>0</v>
      </c>
      <c r="L73" s="285">
        <v>0</v>
      </c>
      <c r="M73" s="285">
        <v>0</v>
      </c>
      <c r="N73" s="285">
        <v>0</v>
      </c>
      <c r="O73" s="285">
        <v>69620</v>
      </c>
      <c r="P73" s="285">
        <v>0</v>
      </c>
      <c r="Q73" s="285">
        <v>0</v>
      </c>
      <c r="R73" s="286">
        <f>SUM(J73:Q73)</f>
        <v>69620</v>
      </c>
      <c r="S73" s="287">
        <f>I73-R73</f>
        <v>-69620</v>
      </c>
      <c r="T73" s="288">
        <f>G73-I73</f>
        <v>0</v>
      </c>
      <c r="U73" s="289">
        <v>0</v>
      </c>
      <c r="V73" s="290" t="e">
        <f t="shared" si="1"/>
        <v>#DIV/0!</v>
      </c>
      <c r="X73" s="329"/>
      <c r="Y73" s="285"/>
      <c r="Z73" s="285"/>
      <c r="AA73" s="285"/>
      <c r="AB73" s="285"/>
      <c r="AC73" s="285"/>
      <c r="AD73" s="285"/>
      <c r="AE73" s="285"/>
    </row>
    <row r="74" spans="1:31" ht="18.95" customHeight="1">
      <c r="A74" s="312"/>
      <c r="B74" s="279" t="s">
        <v>99</v>
      </c>
      <c r="C74" s="280" t="s">
        <v>97</v>
      </c>
      <c r="D74" s="281" t="s">
        <v>100</v>
      </c>
      <c r="E74" s="282">
        <v>540000</v>
      </c>
      <c r="F74" s="283"/>
      <c r="G74" s="282">
        <v>0</v>
      </c>
      <c r="H74" s="283"/>
      <c r="I74" s="284">
        <v>331000</v>
      </c>
      <c r="J74" s="285">
        <v>0</v>
      </c>
      <c r="K74" s="285">
        <v>0</v>
      </c>
      <c r="L74" s="285">
        <v>0</v>
      </c>
      <c r="M74" s="285">
        <v>0</v>
      </c>
      <c r="N74" s="285">
        <v>331000</v>
      </c>
      <c r="O74" s="285">
        <v>0</v>
      </c>
      <c r="P74" s="285">
        <v>0</v>
      </c>
      <c r="Q74" s="285">
        <v>0</v>
      </c>
      <c r="R74" s="286">
        <f>SUM(J74:Q74)</f>
        <v>331000</v>
      </c>
      <c r="S74" s="287">
        <f>I74-R74</f>
        <v>0</v>
      </c>
      <c r="T74" s="288">
        <f>G74-I74</f>
        <v>-331000</v>
      </c>
      <c r="U74" s="289">
        <v>0</v>
      </c>
      <c r="V74" s="290" t="e">
        <f t="shared" si="1"/>
        <v>#DIV/0!</v>
      </c>
      <c r="X74" s="329"/>
      <c r="Y74" s="285"/>
      <c r="Z74" s="285"/>
      <c r="AA74" s="285"/>
      <c r="AB74" s="285"/>
      <c r="AC74" s="285"/>
      <c r="AD74" s="285"/>
      <c r="AE74" s="285"/>
    </row>
    <row r="75" spans="1:31" ht="18.95" customHeight="1">
      <c r="A75" s="312"/>
      <c r="B75" s="279" t="s">
        <v>99</v>
      </c>
      <c r="C75" s="280" t="s">
        <v>97</v>
      </c>
      <c r="D75" s="281" t="s">
        <v>101</v>
      </c>
      <c r="E75" s="282">
        <v>0</v>
      </c>
      <c r="F75" s="283"/>
      <c r="G75" s="282">
        <v>0</v>
      </c>
      <c r="H75" s="283"/>
      <c r="I75" s="284">
        <v>603000</v>
      </c>
      <c r="J75" s="285">
        <v>0</v>
      </c>
      <c r="K75" s="285">
        <v>0</v>
      </c>
      <c r="L75" s="285">
        <v>0</v>
      </c>
      <c r="M75" s="285">
        <v>0</v>
      </c>
      <c r="N75" s="285">
        <v>0</v>
      </c>
      <c r="O75" s="285">
        <v>603000</v>
      </c>
      <c r="P75" s="285">
        <v>0</v>
      </c>
      <c r="Q75" s="285">
        <v>0</v>
      </c>
      <c r="R75" s="286">
        <f>SUM(J75:Q75)</f>
        <v>603000</v>
      </c>
      <c r="S75" s="287">
        <f>I75-R75</f>
        <v>0</v>
      </c>
      <c r="T75" s="288">
        <f>G75-I75</f>
        <v>-603000</v>
      </c>
      <c r="U75" s="289">
        <v>0</v>
      </c>
      <c r="V75" s="290" t="e">
        <f t="shared" si="1"/>
        <v>#DIV/0!</v>
      </c>
      <c r="X75" s="329"/>
      <c r="Y75" s="285"/>
      <c r="Z75" s="285"/>
      <c r="AA75" s="285"/>
      <c r="AB75" s="285"/>
      <c r="AC75" s="285"/>
      <c r="AD75" s="285"/>
      <c r="AE75" s="285"/>
    </row>
    <row r="76" spans="1:31" ht="18.95" customHeight="1">
      <c r="A76" s="312"/>
      <c r="B76" s="279" t="s">
        <v>102</v>
      </c>
      <c r="C76" s="280" t="s">
        <v>96</v>
      </c>
      <c r="D76" s="281" t="s">
        <v>43</v>
      </c>
      <c r="E76" s="282">
        <v>0</v>
      </c>
      <c r="F76" s="283"/>
      <c r="G76" s="282">
        <v>0</v>
      </c>
      <c r="H76" s="283"/>
      <c r="I76" s="284">
        <v>0</v>
      </c>
      <c r="J76" s="285">
        <v>0</v>
      </c>
      <c r="K76" s="285">
        <v>0</v>
      </c>
      <c r="L76" s="285">
        <v>0</v>
      </c>
      <c r="M76" s="285">
        <v>0</v>
      </c>
      <c r="N76" s="285">
        <v>0</v>
      </c>
      <c r="O76" s="285">
        <v>0</v>
      </c>
      <c r="P76" s="285">
        <v>-74360</v>
      </c>
      <c r="Q76" s="285">
        <v>0</v>
      </c>
      <c r="R76" s="286">
        <f>SUM(J76:Q76)</f>
        <v>-74360</v>
      </c>
      <c r="S76" s="287">
        <f>I76-R76</f>
        <v>74360</v>
      </c>
      <c r="T76" s="288">
        <f>G76-I76</f>
        <v>0</v>
      </c>
      <c r="U76" s="289">
        <v>0</v>
      </c>
      <c r="V76" s="290" t="e">
        <f t="shared" si="1"/>
        <v>#DIV/0!</v>
      </c>
      <c r="X76" s="329"/>
      <c r="Y76" s="285"/>
      <c r="Z76" s="285"/>
      <c r="AA76" s="285"/>
      <c r="AB76" s="285"/>
      <c r="AC76" s="285"/>
      <c r="AD76" s="285"/>
      <c r="AE76" s="285"/>
    </row>
    <row r="77" spans="1:31" ht="18.95" customHeight="1">
      <c r="A77" s="312"/>
      <c r="B77" s="279" t="s">
        <v>102</v>
      </c>
      <c r="C77" s="280" t="s">
        <v>103</v>
      </c>
      <c r="D77" s="281" t="s">
        <v>104</v>
      </c>
      <c r="E77" s="282">
        <v>0</v>
      </c>
      <c r="F77" s="283"/>
      <c r="G77" s="282">
        <v>0</v>
      </c>
      <c r="H77" s="283"/>
      <c r="I77" s="284">
        <v>8150000</v>
      </c>
      <c r="J77" s="285">
        <v>0</v>
      </c>
      <c r="K77" s="285">
        <v>0</v>
      </c>
      <c r="L77" s="285">
        <v>0</v>
      </c>
      <c r="M77" s="285">
        <v>0</v>
      </c>
      <c r="N77" s="285">
        <v>4914450</v>
      </c>
      <c r="O77" s="285">
        <v>2273850</v>
      </c>
      <c r="P77" s="285">
        <v>0</v>
      </c>
      <c r="Q77" s="285">
        <v>0</v>
      </c>
      <c r="R77" s="286">
        <f>SUM(J77:Q77)</f>
        <v>7188300</v>
      </c>
      <c r="S77" s="287">
        <f>I77-R77</f>
        <v>961700</v>
      </c>
      <c r="T77" s="288">
        <f>G77-I77</f>
        <v>-8150000</v>
      </c>
      <c r="U77" s="289">
        <v>0</v>
      </c>
      <c r="V77" s="290" t="e">
        <f t="shared" si="1"/>
        <v>#DIV/0!</v>
      </c>
      <c r="X77" s="329"/>
      <c r="Y77" s="285"/>
      <c r="Z77" s="285"/>
      <c r="AA77" s="285"/>
      <c r="AB77" s="285"/>
      <c r="AC77" s="285"/>
      <c r="AD77" s="285"/>
      <c r="AE77" s="285"/>
    </row>
    <row r="78" spans="1:31" ht="18.95" customHeight="1">
      <c r="A78" s="312"/>
      <c r="B78" s="279"/>
      <c r="C78" s="280" t="s">
        <v>96</v>
      </c>
      <c r="D78" s="281" t="s">
        <v>43</v>
      </c>
      <c r="E78" s="282">
        <v>0</v>
      </c>
      <c r="F78" s="283"/>
      <c r="G78" s="282">
        <v>0</v>
      </c>
      <c r="H78" s="283"/>
      <c r="I78" s="284">
        <v>0</v>
      </c>
      <c r="J78" s="285">
        <v>0</v>
      </c>
      <c r="K78" s="285">
        <v>0</v>
      </c>
      <c r="L78" s="285">
        <v>0</v>
      </c>
      <c r="M78" s="285">
        <v>0</v>
      </c>
      <c r="N78" s="285">
        <v>0</v>
      </c>
      <c r="O78" s="285">
        <v>0</v>
      </c>
      <c r="P78" s="285">
        <v>0</v>
      </c>
      <c r="Q78" s="285">
        <v>0</v>
      </c>
      <c r="R78" s="286">
        <f>SUM(J78:Q78)</f>
        <v>0</v>
      </c>
      <c r="S78" s="287">
        <f>I78-R78</f>
        <v>0</v>
      </c>
      <c r="T78" s="288">
        <f>G78-I78</f>
        <v>0</v>
      </c>
      <c r="U78" s="289">
        <v>0</v>
      </c>
      <c r="V78" s="290" t="e">
        <f t="shared" si="1"/>
        <v>#DIV/0!</v>
      </c>
      <c r="X78" s="329"/>
      <c r="Y78" s="285"/>
      <c r="Z78" s="285"/>
      <c r="AA78" s="285"/>
      <c r="AB78" s="285"/>
      <c r="AC78" s="285"/>
      <c r="AD78" s="285"/>
      <c r="AE78" s="285"/>
    </row>
    <row r="79" spans="1:31" ht="18.95" customHeight="1">
      <c r="A79" s="312"/>
      <c r="B79" s="279"/>
      <c r="C79" s="280" t="s">
        <v>98</v>
      </c>
      <c r="D79" s="281" t="s">
        <v>43</v>
      </c>
      <c r="E79" s="282">
        <v>0</v>
      </c>
      <c r="F79" s="283"/>
      <c r="G79" s="282">
        <v>0</v>
      </c>
      <c r="H79" s="283"/>
      <c r="I79" s="284">
        <v>0</v>
      </c>
      <c r="J79" s="285">
        <v>0</v>
      </c>
      <c r="K79" s="285">
        <v>0</v>
      </c>
      <c r="L79" s="285">
        <v>0</v>
      </c>
      <c r="M79" s="285">
        <v>0</v>
      </c>
      <c r="N79" s="285">
        <v>0</v>
      </c>
      <c r="O79" s="285">
        <v>0</v>
      </c>
      <c r="P79" s="285">
        <v>0</v>
      </c>
      <c r="Q79" s="285">
        <v>0</v>
      </c>
      <c r="R79" s="286">
        <f>SUM(J79:Q79)</f>
        <v>0</v>
      </c>
      <c r="S79" s="287">
        <f>I79-R79</f>
        <v>0</v>
      </c>
      <c r="T79" s="288">
        <f>G79-I79</f>
        <v>0</v>
      </c>
      <c r="U79" s="289">
        <v>0</v>
      </c>
      <c r="V79" s="290" t="e">
        <f t="shared" si="1"/>
        <v>#DIV/0!</v>
      </c>
      <c r="X79" s="329"/>
      <c r="Y79" s="285"/>
      <c r="Z79" s="285"/>
      <c r="AA79" s="285"/>
      <c r="AB79" s="285"/>
      <c r="AC79" s="285"/>
      <c r="AD79" s="285"/>
      <c r="AE79" s="285"/>
    </row>
    <row r="80" spans="1:31" ht="18.95" customHeight="1">
      <c r="A80" s="312"/>
      <c r="B80" s="279"/>
      <c r="C80" s="280" t="s">
        <v>97</v>
      </c>
      <c r="D80" s="281" t="s">
        <v>43</v>
      </c>
      <c r="E80" s="282">
        <v>1070000</v>
      </c>
      <c r="F80" s="283"/>
      <c r="G80" s="282">
        <v>0</v>
      </c>
      <c r="H80" s="283"/>
      <c r="I80" s="284">
        <v>0</v>
      </c>
      <c r="J80" s="285">
        <v>0</v>
      </c>
      <c r="K80" s="285">
        <v>0</v>
      </c>
      <c r="L80" s="285">
        <v>0</v>
      </c>
      <c r="M80" s="285">
        <v>0</v>
      </c>
      <c r="N80" s="285">
        <v>0</v>
      </c>
      <c r="O80" s="285">
        <v>0</v>
      </c>
      <c r="P80" s="285">
        <v>0</v>
      </c>
      <c r="Q80" s="285">
        <v>0</v>
      </c>
      <c r="R80" s="286">
        <f>SUM(J80:Q80)</f>
        <v>0</v>
      </c>
      <c r="S80" s="287">
        <f>I80-R80</f>
        <v>0</v>
      </c>
      <c r="T80" s="288">
        <f>G80-I80</f>
        <v>0</v>
      </c>
      <c r="U80" s="289">
        <v>0</v>
      </c>
      <c r="V80" s="290" t="e">
        <f t="shared" si="1"/>
        <v>#DIV/0!</v>
      </c>
      <c r="X80" s="329"/>
      <c r="Y80" s="285"/>
      <c r="Z80" s="285"/>
      <c r="AA80" s="285"/>
      <c r="AB80" s="285"/>
      <c r="AC80" s="285"/>
      <c r="AD80" s="285"/>
      <c r="AE80" s="285"/>
    </row>
    <row r="81" spans="1:31" ht="18.95" customHeight="1">
      <c r="A81" s="313"/>
      <c r="B81" s="279"/>
      <c r="C81" s="280" t="s">
        <v>105</v>
      </c>
      <c r="D81" s="281" t="s">
        <v>43</v>
      </c>
      <c r="E81" s="282">
        <v>0</v>
      </c>
      <c r="F81" s="283"/>
      <c r="G81" s="282">
        <v>0</v>
      </c>
      <c r="H81" s="283"/>
      <c r="I81" s="284">
        <v>0</v>
      </c>
      <c r="J81" s="285">
        <v>0</v>
      </c>
      <c r="K81" s="285">
        <v>0</v>
      </c>
      <c r="L81" s="285">
        <v>0</v>
      </c>
      <c r="M81" s="285">
        <v>0</v>
      </c>
      <c r="N81" s="285">
        <v>0</v>
      </c>
      <c r="O81" s="285">
        <v>0</v>
      </c>
      <c r="P81" s="285">
        <v>0</v>
      </c>
      <c r="Q81" s="285">
        <v>0</v>
      </c>
      <c r="R81" s="286">
        <f>SUM(J81:Q81)</f>
        <v>0</v>
      </c>
      <c r="S81" s="287">
        <f>I81-R81</f>
        <v>0</v>
      </c>
      <c r="T81" s="288">
        <f>G81-I81</f>
        <v>0</v>
      </c>
      <c r="U81" s="289">
        <v>0</v>
      </c>
      <c r="V81" s="290" t="e">
        <f t="shared" si="1"/>
        <v>#DIV/0!</v>
      </c>
      <c r="X81" s="329"/>
      <c r="Y81" s="285"/>
      <c r="Z81" s="285"/>
      <c r="AA81" s="285"/>
      <c r="AB81" s="285"/>
      <c r="AC81" s="285"/>
      <c r="AD81" s="285"/>
      <c r="AE81" s="285"/>
    </row>
    <row r="82" spans="1:31" ht="18.95" customHeight="1">
      <c r="A82" s="314" t="s">
        <v>106</v>
      </c>
      <c r="B82" s="291" t="s">
        <v>38</v>
      </c>
      <c r="C82" s="292" t="s">
        <v>107</v>
      </c>
      <c r="D82" s="293" t="s">
        <v>40</v>
      </c>
      <c r="E82" s="294">
        <v>884700</v>
      </c>
      <c r="F82" s="295"/>
      <c r="G82" s="294">
        <v>1071750</v>
      </c>
      <c r="H82" s="295"/>
      <c r="I82" s="296">
        <v>1071750</v>
      </c>
      <c r="J82" s="273">
        <v>0</v>
      </c>
      <c r="K82" s="273">
        <v>0</v>
      </c>
      <c r="L82" s="273">
        <v>0</v>
      </c>
      <c r="M82" s="273">
        <v>0</v>
      </c>
      <c r="N82" s="273">
        <v>0</v>
      </c>
      <c r="O82" s="273">
        <v>0</v>
      </c>
      <c r="P82" s="273">
        <v>0</v>
      </c>
      <c r="Q82" s="273">
        <v>0</v>
      </c>
      <c r="R82" s="274">
        <f>SUM(J82:Q82)</f>
        <v>0</v>
      </c>
      <c r="S82" s="275">
        <f>I82-R82</f>
        <v>1071750</v>
      </c>
      <c r="T82" s="276">
        <f>G82-I82</f>
        <v>0</v>
      </c>
      <c r="U82" s="297">
        <v>8</v>
      </c>
      <c r="V82" s="278">
        <f t="shared" si="1"/>
        <v>0</v>
      </c>
      <c r="X82" s="328"/>
      <c r="Y82" s="273"/>
      <c r="Z82" s="273"/>
      <c r="AA82" s="273"/>
      <c r="AB82" s="273"/>
      <c r="AC82" s="273"/>
      <c r="AD82" s="273"/>
      <c r="AE82" s="273"/>
    </row>
    <row r="83" spans="1:31" ht="18.95" customHeight="1">
      <c r="A83" s="312"/>
      <c r="B83" s="279"/>
      <c r="C83" s="280" t="s">
        <v>107</v>
      </c>
      <c r="D83" s="281" t="s">
        <v>43</v>
      </c>
      <c r="E83" s="282">
        <v>0</v>
      </c>
      <c r="F83" s="283"/>
      <c r="G83" s="282">
        <v>0</v>
      </c>
      <c r="H83" s="283"/>
      <c r="I83" s="284">
        <v>0</v>
      </c>
      <c r="J83" s="285">
        <v>0</v>
      </c>
      <c r="K83" s="285">
        <v>0</v>
      </c>
      <c r="L83" s="285">
        <v>0</v>
      </c>
      <c r="M83" s="285">
        <v>0</v>
      </c>
      <c r="N83" s="285">
        <v>0</v>
      </c>
      <c r="O83" s="285">
        <v>0</v>
      </c>
      <c r="P83" s="285">
        <v>0</v>
      </c>
      <c r="Q83" s="285">
        <v>0</v>
      </c>
      <c r="R83" s="286">
        <f>SUM(J83:Q83)</f>
        <v>0</v>
      </c>
      <c r="S83" s="287">
        <f>I83-R83</f>
        <v>0</v>
      </c>
      <c r="T83" s="288">
        <f>G83-I83</f>
        <v>0</v>
      </c>
      <c r="U83" s="289">
        <v>0</v>
      </c>
      <c r="V83" s="290" t="e">
        <f t="shared" si="1"/>
        <v>#DIV/0!</v>
      </c>
      <c r="X83" s="329"/>
      <c r="Y83" s="285"/>
      <c r="Z83" s="285"/>
      <c r="AA83" s="285"/>
      <c r="AB83" s="285"/>
      <c r="AC83" s="285"/>
      <c r="AD83" s="285"/>
      <c r="AE83" s="285"/>
    </row>
    <row r="84" spans="1:31" ht="18.95" customHeight="1">
      <c r="A84" s="313"/>
      <c r="B84" s="279"/>
      <c r="C84" s="280" t="s">
        <v>108</v>
      </c>
      <c r="D84" s="281" t="s">
        <v>43</v>
      </c>
      <c r="E84" s="282">
        <v>0</v>
      </c>
      <c r="F84" s="283"/>
      <c r="G84" s="282">
        <v>0</v>
      </c>
      <c r="H84" s="283"/>
      <c r="I84" s="284">
        <v>0</v>
      </c>
      <c r="J84" s="285">
        <v>0</v>
      </c>
      <c r="K84" s="285">
        <v>0</v>
      </c>
      <c r="L84" s="285">
        <v>0</v>
      </c>
      <c r="M84" s="285">
        <v>0</v>
      </c>
      <c r="N84" s="285">
        <v>0</v>
      </c>
      <c r="O84" s="285">
        <v>0</v>
      </c>
      <c r="P84" s="285">
        <v>0</v>
      </c>
      <c r="Q84" s="285">
        <v>0</v>
      </c>
      <c r="R84" s="286">
        <f>SUM(J84:Q84)</f>
        <v>0</v>
      </c>
      <c r="S84" s="287">
        <f>I84-R84</f>
        <v>0</v>
      </c>
      <c r="T84" s="288">
        <f>G84-I84</f>
        <v>0</v>
      </c>
      <c r="U84" s="289">
        <v>0</v>
      </c>
      <c r="V84" s="290" t="e">
        <f t="shared" si="1"/>
        <v>#DIV/0!</v>
      </c>
      <c r="X84" s="329"/>
      <c r="Y84" s="285"/>
      <c r="Z84" s="285"/>
      <c r="AA84" s="285"/>
      <c r="AB84" s="285"/>
      <c r="AC84" s="285"/>
      <c r="AD84" s="285"/>
      <c r="AE84" s="285"/>
    </row>
    <row r="85" spans="1:31" ht="18.95" customHeight="1">
      <c r="A85" s="314" t="s">
        <v>109</v>
      </c>
      <c r="B85" s="291" t="s">
        <v>38</v>
      </c>
      <c r="C85" s="292" t="s">
        <v>110</v>
      </c>
      <c r="D85" s="293" t="s">
        <v>40</v>
      </c>
      <c r="E85" s="294">
        <v>4145400</v>
      </c>
      <c r="F85" s="295"/>
      <c r="G85" s="294">
        <v>4604830</v>
      </c>
      <c r="H85" s="295"/>
      <c r="I85" s="296">
        <v>4545390</v>
      </c>
      <c r="J85" s="273">
        <v>0</v>
      </c>
      <c r="K85" s="273">
        <v>0</v>
      </c>
      <c r="L85" s="273">
        <v>2800000</v>
      </c>
      <c r="M85" s="273">
        <v>0</v>
      </c>
      <c r="N85" s="273">
        <v>0</v>
      </c>
      <c r="O85" s="273">
        <v>1141700</v>
      </c>
      <c r="P85" s="273">
        <v>0</v>
      </c>
      <c r="Q85" s="273">
        <v>0</v>
      </c>
      <c r="R85" s="274">
        <f>SUM(J85:Q85)</f>
        <v>3941700</v>
      </c>
      <c r="S85" s="275">
        <f>I85-R85</f>
        <v>603690</v>
      </c>
      <c r="T85" s="276">
        <f>G85-I85</f>
        <v>59440</v>
      </c>
      <c r="U85" s="297">
        <v>2</v>
      </c>
      <c r="V85" s="278">
        <f t="shared" si="1"/>
        <v>1970850</v>
      </c>
      <c r="X85" s="328"/>
      <c r="Y85" s="273"/>
      <c r="Z85" s="273"/>
      <c r="AA85" s="273"/>
      <c r="AB85" s="273"/>
      <c r="AC85" s="273"/>
      <c r="AD85" s="273"/>
      <c r="AE85" s="273"/>
    </row>
    <row r="86" spans="1:31" ht="18.95" customHeight="1">
      <c r="A86" s="312"/>
      <c r="B86" s="279" t="s">
        <v>38</v>
      </c>
      <c r="C86" s="280" t="s">
        <v>110</v>
      </c>
      <c r="D86" s="281" t="s">
        <v>43</v>
      </c>
      <c r="E86" s="282">
        <v>0</v>
      </c>
      <c r="F86" s="283"/>
      <c r="G86" s="282">
        <v>0</v>
      </c>
      <c r="H86" s="283"/>
      <c r="I86" s="284">
        <v>0</v>
      </c>
      <c r="J86" s="285">
        <v>0</v>
      </c>
      <c r="K86" s="285">
        <v>0</v>
      </c>
      <c r="L86" s="285">
        <v>0</v>
      </c>
      <c r="M86" s="285">
        <v>0</v>
      </c>
      <c r="N86" s="285">
        <v>-158100</v>
      </c>
      <c r="O86" s="285">
        <v>-479500</v>
      </c>
      <c r="P86" s="285">
        <v>-727180</v>
      </c>
      <c r="Q86" s="285">
        <v>0</v>
      </c>
      <c r="R86" s="286">
        <f>SUM(J86:Q86)</f>
        <v>-1364780</v>
      </c>
      <c r="S86" s="287">
        <f>I86-R86</f>
        <v>1364780</v>
      </c>
      <c r="T86" s="288">
        <f>G86-I86</f>
        <v>0</v>
      </c>
      <c r="U86" s="289">
        <v>0</v>
      </c>
      <c r="V86" s="290" t="e">
        <f t="shared" si="1"/>
        <v>#DIV/0!</v>
      </c>
      <c r="X86" s="329"/>
      <c r="Y86" s="285"/>
      <c r="Z86" s="285"/>
      <c r="AA86" s="285"/>
      <c r="AB86" s="285"/>
      <c r="AC86" s="285"/>
      <c r="AD86" s="285"/>
      <c r="AE86" s="285"/>
    </row>
    <row r="87" spans="1:31" ht="18.95" customHeight="1">
      <c r="A87" s="312"/>
      <c r="B87" s="279" t="s">
        <v>38</v>
      </c>
      <c r="C87" s="280" t="s">
        <v>111</v>
      </c>
      <c r="D87" s="281" t="s">
        <v>40</v>
      </c>
      <c r="E87" s="282">
        <v>4275800</v>
      </c>
      <c r="F87" s="283"/>
      <c r="G87" s="282">
        <v>4366500</v>
      </c>
      <c r="H87" s="283"/>
      <c r="I87" s="284">
        <v>4366500</v>
      </c>
      <c r="J87" s="285">
        <v>0</v>
      </c>
      <c r="K87" s="285">
        <v>0</v>
      </c>
      <c r="L87" s="285">
        <v>0</v>
      </c>
      <c r="M87" s="285">
        <v>1840000</v>
      </c>
      <c r="N87" s="285">
        <v>1860000</v>
      </c>
      <c r="O87" s="285">
        <v>0</v>
      </c>
      <c r="P87" s="285">
        <v>0</v>
      </c>
      <c r="Q87" s="285">
        <v>0</v>
      </c>
      <c r="R87" s="286">
        <f>SUM(J87:Q87)</f>
        <v>3700000</v>
      </c>
      <c r="S87" s="287">
        <f>I87-R87</f>
        <v>666500</v>
      </c>
      <c r="T87" s="288">
        <f>G87-I87</f>
        <v>0</v>
      </c>
      <c r="U87" s="289">
        <v>21</v>
      </c>
      <c r="V87" s="290">
        <f t="shared" si="1"/>
        <v>176190.47619047618</v>
      </c>
      <c r="X87" s="329"/>
      <c r="Y87" s="285"/>
      <c r="Z87" s="285"/>
      <c r="AA87" s="285"/>
      <c r="AB87" s="285"/>
      <c r="AC87" s="285"/>
      <c r="AD87" s="285"/>
      <c r="AE87" s="285"/>
    </row>
    <row r="88" spans="1:31" ht="18.95" customHeight="1">
      <c r="A88" s="312"/>
      <c r="B88" s="279" t="s">
        <v>53</v>
      </c>
      <c r="C88" s="280" t="s">
        <v>112</v>
      </c>
      <c r="D88" s="281" t="s">
        <v>43</v>
      </c>
      <c r="E88" s="282">
        <v>0</v>
      </c>
      <c r="F88" s="283"/>
      <c r="G88" s="282">
        <v>0</v>
      </c>
      <c r="H88" s="283"/>
      <c r="I88" s="284">
        <v>0</v>
      </c>
      <c r="J88" s="285">
        <v>0</v>
      </c>
      <c r="K88" s="285">
        <v>0</v>
      </c>
      <c r="L88" s="285">
        <v>0</v>
      </c>
      <c r="M88" s="285">
        <v>149560</v>
      </c>
      <c r="N88" s="285">
        <v>803080</v>
      </c>
      <c r="O88" s="285">
        <v>688060</v>
      </c>
      <c r="P88" s="285">
        <v>0</v>
      </c>
      <c r="Q88" s="285">
        <v>0</v>
      </c>
      <c r="R88" s="286">
        <f>SUM(J88:Q88)</f>
        <v>1640700</v>
      </c>
      <c r="S88" s="287">
        <f>I88-R88</f>
        <v>-1640700</v>
      </c>
      <c r="T88" s="288">
        <f>G88-I88</f>
        <v>0</v>
      </c>
      <c r="U88" s="289">
        <v>0</v>
      </c>
      <c r="V88" s="290" t="e">
        <f t="shared" si="1"/>
        <v>#DIV/0!</v>
      </c>
      <c r="X88" s="329"/>
      <c r="Y88" s="285"/>
      <c r="Z88" s="285"/>
      <c r="AA88" s="285"/>
      <c r="AB88" s="285"/>
      <c r="AC88" s="285"/>
      <c r="AD88" s="285"/>
      <c r="AE88" s="285"/>
    </row>
    <row r="89" spans="1:31" ht="18.95" customHeight="1">
      <c r="A89" s="312"/>
      <c r="B89" s="279" t="s">
        <v>102</v>
      </c>
      <c r="C89" s="280" t="s">
        <v>110</v>
      </c>
      <c r="D89" s="281" t="s">
        <v>43</v>
      </c>
      <c r="E89" s="282">
        <v>0</v>
      </c>
      <c r="F89" s="283"/>
      <c r="G89" s="282">
        <v>0</v>
      </c>
      <c r="H89" s="283"/>
      <c r="I89" s="284">
        <v>0</v>
      </c>
      <c r="J89" s="285">
        <v>0</v>
      </c>
      <c r="K89" s="285">
        <v>0</v>
      </c>
      <c r="L89" s="285">
        <v>0</v>
      </c>
      <c r="M89" s="285">
        <v>0</v>
      </c>
      <c r="N89" s="285">
        <v>0</v>
      </c>
      <c r="O89" s="285">
        <v>-368600</v>
      </c>
      <c r="P89" s="285">
        <v>0</v>
      </c>
      <c r="Q89" s="285">
        <v>0</v>
      </c>
      <c r="R89" s="286">
        <f>SUM(J89:Q89)</f>
        <v>-368600</v>
      </c>
      <c r="S89" s="287">
        <f>I89-R89</f>
        <v>368600</v>
      </c>
      <c r="T89" s="288">
        <f>G89-I89</f>
        <v>0</v>
      </c>
      <c r="U89" s="289">
        <v>0</v>
      </c>
      <c r="V89" s="290" t="e">
        <f t="shared" si="1"/>
        <v>#DIV/0!</v>
      </c>
      <c r="X89" s="329"/>
      <c r="Y89" s="285"/>
      <c r="Z89" s="285"/>
      <c r="AA89" s="285"/>
      <c r="AB89" s="285"/>
      <c r="AC89" s="285"/>
      <c r="AD89" s="285"/>
      <c r="AE89" s="285"/>
    </row>
    <row r="90" spans="1:31" ht="18.95" customHeight="1">
      <c r="A90" s="312"/>
      <c r="B90" s="279"/>
      <c r="C90" s="280" t="s">
        <v>110</v>
      </c>
      <c r="D90" s="281" t="s">
        <v>43</v>
      </c>
      <c r="E90" s="282">
        <v>81200</v>
      </c>
      <c r="F90" s="283"/>
      <c r="G90" s="282">
        <v>0</v>
      </c>
      <c r="H90" s="283"/>
      <c r="I90" s="284">
        <v>0</v>
      </c>
      <c r="J90" s="285">
        <v>0</v>
      </c>
      <c r="K90" s="285">
        <v>0</v>
      </c>
      <c r="L90" s="285">
        <v>0</v>
      </c>
      <c r="M90" s="285">
        <v>0</v>
      </c>
      <c r="N90" s="285">
        <v>0</v>
      </c>
      <c r="O90" s="285">
        <v>0</v>
      </c>
      <c r="P90" s="285">
        <v>0</v>
      </c>
      <c r="Q90" s="285">
        <v>0</v>
      </c>
      <c r="R90" s="286">
        <f>SUM(J90:Q90)</f>
        <v>0</v>
      </c>
      <c r="S90" s="287">
        <f>I90-R90</f>
        <v>0</v>
      </c>
      <c r="T90" s="288">
        <f>G90-I90</f>
        <v>0</v>
      </c>
      <c r="U90" s="289">
        <v>0</v>
      </c>
      <c r="V90" s="290" t="e">
        <f t="shared" si="1"/>
        <v>#DIV/0!</v>
      </c>
      <c r="X90" s="329"/>
      <c r="Y90" s="285"/>
      <c r="Z90" s="285"/>
      <c r="AA90" s="285"/>
      <c r="AB90" s="285"/>
      <c r="AC90" s="285"/>
      <c r="AD90" s="285"/>
      <c r="AE90" s="285"/>
    </row>
    <row r="91" spans="1:31" ht="18.95" customHeight="1">
      <c r="A91" s="312"/>
      <c r="B91" s="279"/>
      <c r="C91" s="280" t="s">
        <v>112</v>
      </c>
      <c r="D91" s="281" t="s">
        <v>43</v>
      </c>
      <c r="E91" s="282">
        <v>0</v>
      </c>
      <c r="F91" s="283"/>
      <c r="G91" s="282">
        <v>0</v>
      </c>
      <c r="H91" s="283"/>
      <c r="I91" s="284">
        <v>0</v>
      </c>
      <c r="J91" s="285">
        <v>0</v>
      </c>
      <c r="K91" s="285">
        <v>0</v>
      </c>
      <c r="L91" s="285">
        <v>0</v>
      </c>
      <c r="M91" s="285">
        <v>0</v>
      </c>
      <c r="N91" s="285">
        <v>0</v>
      </c>
      <c r="O91" s="285">
        <v>0</v>
      </c>
      <c r="P91" s="285">
        <v>0</v>
      </c>
      <c r="Q91" s="285">
        <v>0</v>
      </c>
      <c r="R91" s="286">
        <f>SUM(J91:Q91)</f>
        <v>0</v>
      </c>
      <c r="S91" s="287">
        <f>I91-R91</f>
        <v>0</v>
      </c>
      <c r="T91" s="288">
        <f>G91-I91</f>
        <v>0</v>
      </c>
      <c r="U91" s="289">
        <v>0</v>
      </c>
      <c r="V91" s="290" t="e">
        <f t="shared" si="1"/>
        <v>#DIV/0!</v>
      </c>
      <c r="X91" s="329"/>
      <c r="Y91" s="285"/>
      <c r="Z91" s="285"/>
      <c r="AA91" s="285"/>
      <c r="AB91" s="285"/>
      <c r="AC91" s="285"/>
      <c r="AD91" s="285"/>
      <c r="AE91" s="285"/>
    </row>
    <row r="92" spans="1:31" ht="18.95" customHeight="1">
      <c r="A92" s="312"/>
      <c r="B92" s="279"/>
      <c r="C92" s="280" t="s">
        <v>111</v>
      </c>
      <c r="D92" s="281" t="s">
        <v>43</v>
      </c>
      <c r="E92" s="282">
        <v>0</v>
      </c>
      <c r="F92" s="283"/>
      <c r="G92" s="282">
        <v>0</v>
      </c>
      <c r="H92" s="283"/>
      <c r="I92" s="284">
        <v>0</v>
      </c>
      <c r="J92" s="285">
        <v>0</v>
      </c>
      <c r="K92" s="285">
        <v>0</v>
      </c>
      <c r="L92" s="285">
        <v>0</v>
      </c>
      <c r="M92" s="285">
        <v>0</v>
      </c>
      <c r="N92" s="285">
        <v>0</v>
      </c>
      <c r="O92" s="285">
        <v>0</v>
      </c>
      <c r="P92" s="285">
        <v>0</v>
      </c>
      <c r="Q92" s="285">
        <v>0</v>
      </c>
      <c r="R92" s="286">
        <f>SUM(J92:Q92)</f>
        <v>0</v>
      </c>
      <c r="S92" s="287">
        <f>I92-R92</f>
        <v>0</v>
      </c>
      <c r="T92" s="288">
        <f>G92-I92</f>
        <v>0</v>
      </c>
      <c r="U92" s="289">
        <v>0</v>
      </c>
      <c r="V92" s="290" t="e">
        <f t="shared" si="1"/>
        <v>#DIV/0!</v>
      </c>
      <c r="X92" s="329"/>
      <c r="Y92" s="285"/>
      <c r="Z92" s="285"/>
      <c r="AA92" s="285"/>
      <c r="AB92" s="285"/>
      <c r="AC92" s="285"/>
      <c r="AD92" s="285"/>
      <c r="AE92" s="285"/>
    </row>
    <row r="93" spans="1:31" ht="18.95" customHeight="1">
      <c r="A93" s="313"/>
      <c r="B93" s="279"/>
      <c r="C93" s="280" t="s">
        <v>113</v>
      </c>
      <c r="D93" s="281" t="s">
        <v>43</v>
      </c>
      <c r="E93" s="282">
        <v>0</v>
      </c>
      <c r="F93" s="283"/>
      <c r="G93" s="282">
        <v>0</v>
      </c>
      <c r="H93" s="283"/>
      <c r="I93" s="284">
        <v>0</v>
      </c>
      <c r="J93" s="285">
        <v>0</v>
      </c>
      <c r="K93" s="285">
        <v>0</v>
      </c>
      <c r="L93" s="285">
        <v>0</v>
      </c>
      <c r="M93" s="285">
        <v>0</v>
      </c>
      <c r="N93" s="285">
        <v>0</v>
      </c>
      <c r="O93" s="285">
        <v>0</v>
      </c>
      <c r="P93" s="285">
        <v>0</v>
      </c>
      <c r="Q93" s="285">
        <v>0</v>
      </c>
      <c r="R93" s="286">
        <f>SUM(J93:Q93)</f>
        <v>0</v>
      </c>
      <c r="S93" s="287">
        <f>I93-R93</f>
        <v>0</v>
      </c>
      <c r="T93" s="288">
        <f>G93-I93</f>
        <v>0</v>
      </c>
      <c r="U93" s="289">
        <v>0</v>
      </c>
      <c r="V93" s="290" t="e">
        <f t="shared" si="1"/>
        <v>#DIV/0!</v>
      </c>
      <c r="X93" s="329"/>
      <c r="Y93" s="285"/>
      <c r="Z93" s="285"/>
      <c r="AA93" s="285"/>
      <c r="AB93" s="285"/>
      <c r="AC93" s="285"/>
      <c r="AD93" s="285"/>
      <c r="AE93" s="285"/>
    </row>
    <row r="94" spans="1:31" ht="18.95" customHeight="1">
      <c r="A94" s="314" t="s">
        <v>114</v>
      </c>
      <c r="B94" s="291" t="s">
        <v>38</v>
      </c>
      <c r="C94" s="292" t="s">
        <v>115</v>
      </c>
      <c r="D94" s="293" t="s">
        <v>40</v>
      </c>
      <c r="E94" s="294">
        <v>2843500</v>
      </c>
      <c r="F94" s="295"/>
      <c r="G94" s="294">
        <v>3056300</v>
      </c>
      <c r="H94" s="295"/>
      <c r="I94" s="296">
        <v>3056300</v>
      </c>
      <c r="J94" s="273">
        <v>0</v>
      </c>
      <c r="K94" s="273">
        <v>0</v>
      </c>
      <c r="L94" s="273">
        <v>0</v>
      </c>
      <c r="M94" s="273">
        <v>0</v>
      </c>
      <c r="N94" s="273">
        <v>0</v>
      </c>
      <c r="O94" s="273">
        <v>3056300</v>
      </c>
      <c r="P94" s="273">
        <v>0</v>
      </c>
      <c r="Q94" s="273">
        <v>0</v>
      </c>
      <c r="R94" s="274">
        <f>SUM(J94:Q94)</f>
        <v>3056300</v>
      </c>
      <c r="S94" s="275">
        <f>I94-R94</f>
        <v>0</v>
      </c>
      <c r="T94" s="276">
        <f>G94-I94</f>
        <v>0</v>
      </c>
      <c r="U94" s="297">
        <v>0</v>
      </c>
      <c r="V94" s="278" t="e">
        <f t="shared" si="1"/>
        <v>#DIV/0!</v>
      </c>
      <c r="X94" s="328"/>
      <c r="Y94" s="273"/>
      <c r="Z94" s="273"/>
      <c r="AA94" s="273"/>
      <c r="AB94" s="273"/>
      <c r="AC94" s="273"/>
      <c r="AD94" s="273"/>
      <c r="AE94" s="273"/>
    </row>
    <row r="95" spans="1:31" ht="18.95" customHeight="1">
      <c r="A95" s="312"/>
      <c r="B95" s="279" t="s">
        <v>38</v>
      </c>
      <c r="C95" s="280" t="s">
        <v>116</v>
      </c>
      <c r="D95" s="281" t="s">
        <v>40</v>
      </c>
      <c r="E95" s="282">
        <v>3837900</v>
      </c>
      <c r="F95" s="283"/>
      <c r="G95" s="282">
        <v>3892000</v>
      </c>
      <c r="H95" s="283"/>
      <c r="I95" s="284">
        <v>3892000</v>
      </c>
      <c r="J95" s="285">
        <v>0</v>
      </c>
      <c r="K95" s="285">
        <v>0</v>
      </c>
      <c r="L95" s="285">
        <v>0</v>
      </c>
      <c r="M95" s="285">
        <v>0</v>
      </c>
      <c r="N95" s="285">
        <v>0</v>
      </c>
      <c r="O95" s="285">
        <v>3892000</v>
      </c>
      <c r="P95" s="285">
        <v>0</v>
      </c>
      <c r="Q95" s="285">
        <v>0</v>
      </c>
      <c r="R95" s="286">
        <f>SUM(J95:Q95)</f>
        <v>3892000</v>
      </c>
      <c r="S95" s="287">
        <f>I95-R95</f>
        <v>0</v>
      </c>
      <c r="T95" s="288">
        <f>G95-I95</f>
        <v>0</v>
      </c>
      <c r="U95" s="289">
        <v>17</v>
      </c>
      <c r="V95" s="290">
        <f t="shared" si="1"/>
        <v>228941.17647058822</v>
      </c>
      <c r="X95" s="329"/>
      <c r="Y95" s="285"/>
      <c r="Z95" s="285"/>
      <c r="AA95" s="285"/>
      <c r="AB95" s="285"/>
      <c r="AC95" s="285"/>
      <c r="AD95" s="285"/>
      <c r="AE95" s="285"/>
    </row>
    <row r="96" spans="1:31" ht="18.95" customHeight="1">
      <c r="A96" s="312"/>
      <c r="B96" s="279"/>
      <c r="C96" s="280" t="s">
        <v>115</v>
      </c>
      <c r="D96" s="281" t="s">
        <v>43</v>
      </c>
      <c r="E96" s="282">
        <v>62300</v>
      </c>
      <c r="F96" s="283"/>
      <c r="G96" s="282">
        <v>0</v>
      </c>
      <c r="H96" s="283"/>
      <c r="I96" s="284">
        <v>0</v>
      </c>
      <c r="J96" s="285">
        <v>0</v>
      </c>
      <c r="K96" s="285">
        <v>0</v>
      </c>
      <c r="L96" s="285">
        <v>0</v>
      </c>
      <c r="M96" s="285">
        <v>0</v>
      </c>
      <c r="N96" s="285">
        <v>0</v>
      </c>
      <c r="O96" s="285">
        <v>0</v>
      </c>
      <c r="P96" s="285">
        <v>0</v>
      </c>
      <c r="Q96" s="285">
        <v>0</v>
      </c>
      <c r="R96" s="286">
        <f>SUM(J96:Q96)</f>
        <v>0</v>
      </c>
      <c r="S96" s="287">
        <f>I96-R96</f>
        <v>0</v>
      </c>
      <c r="T96" s="288">
        <f>G96-I96</f>
        <v>0</v>
      </c>
      <c r="U96" s="289">
        <v>0</v>
      </c>
      <c r="V96" s="290" t="e">
        <f t="shared" si="1"/>
        <v>#DIV/0!</v>
      </c>
      <c r="X96" s="329"/>
      <c r="Y96" s="285"/>
      <c r="Z96" s="285"/>
      <c r="AA96" s="285"/>
      <c r="AB96" s="285"/>
      <c r="AC96" s="285"/>
      <c r="AD96" s="285"/>
      <c r="AE96" s="285"/>
    </row>
    <row r="97" spans="1:31" ht="18.95" customHeight="1">
      <c r="A97" s="312"/>
      <c r="B97" s="279"/>
      <c r="C97" s="280" t="s">
        <v>117</v>
      </c>
      <c r="D97" s="281" t="s">
        <v>43</v>
      </c>
      <c r="E97" s="282">
        <v>0</v>
      </c>
      <c r="F97" s="283"/>
      <c r="G97" s="282">
        <v>0</v>
      </c>
      <c r="H97" s="283"/>
      <c r="I97" s="284">
        <v>0</v>
      </c>
      <c r="J97" s="285">
        <v>0</v>
      </c>
      <c r="K97" s="285">
        <v>0</v>
      </c>
      <c r="L97" s="285">
        <v>0</v>
      </c>
      <c r="M97" s="285">
        <v>0</v>
      </c>
      <c r="N97" s="285">
        <v>0</v>
      </c>
      <c r="O97" s="285">
        <v>0</v>
      </c>
      <c r="P97" s="285">
        <v>0</v>
      </c>
      <c r="Q97" s="285">
        <v>0</v>
      </c>
      <c r="R97" s="286">
        <f>SUM(J97:Q97)</f>
        <v>0</v>
      </c>
      <c r="S97" s="287">
        <f>I97-R97</f>
        <v>0</v>
      </c>
      <c r="T97" s="288">
        <f>G97-I97</f>
        <v>0</v>
      </c>
      <c r="U97" s="289">
        <v>0</v>
      </c>
      <c r="V97" s="290" t="e">
        <f t="shared" si="1"/>
        <v>#DIV/0!</v>
      </c>
      <c r="X97" s="329"/>
      <c r="Y97" s="285"/>
      <c r="Z97" s="285"/>
      <c r="AA97" s="285"/>
      <c r="AB97" s="285"/>
      <c r="AC97" s="285"/>
      <c r="AD97" s="285"/>
      <c r="AE97" s="285"/>
    </row>
    <row r="98" spans="1:31" ht="18.95" customHeight="1">
      <c r="A98" s="312"/>
      <c r="B98" s="279"/>
      <c r="C98" s="280" t="s">
        <v>116</v>
      </c>
      <c r="D98" s="281" t="s">
        <v>43</v>
      </c>
      <c r="E98" s="282">
        <v>0</v>
      </c>
      <c r="F98" s="283"/>
      <c r="G98" s="282">
        <v>0</v>
      </c>
      <c r="H98" s="283"/>
      <c r="I98" s="284">
        <v>0</v>
      </c>
      <c r="J98" s="285">
        <v>0</v>
      </c>
      <c r="K98" s="285">
        <v>0</v>
      </c>
      <c r="L98" s="285">
        <v>0</v>
      </c>
      <c r="M98" s="285">
        <v>0</v>
      </c>
      <c r="N98" s="285">
        <v>0</v>
      </c>
      <c r="O98" s="285">
        <v>0</v>
      </c>
      <c r="P98" s="285">
        <v>0</v>
      </c>
      <c r="Q98" s="285">
        <v>0</v>
      </c>
      <c r="R98" s="286">
        <f>SUM(J98:Q98)</f>
        <v>0</v>
      </c>
      <c r="S98" s="287">
        <f>I98-R98</f>
        <v>0</v>
      </c>
      <c r="T98" s="288">
        <f>G98-I98</f>
        <v>0</v>
      </c>
      <c r="U98" s="289">
        <v>0</v>
      </c>
      <c r="V98" s="290" t="e">
        <f t="shared" si="1"/>
        <v>#DIV/0!</v>
      </c>
      <c r="X98" s="329"/>
      <c r="Y98" s="285"/>
      <c r="Z98" s="285"/>
      <c r="AA98" s="285"/>
      <c r="AB98" s="285"/>
      <c r="AC98" s="285"/>
      <c r="AD98" s="285"/>
      <c r="AE98" s="285"/>
    </row>
    <row r="99" spans="1:31" ht="18.95" customHeight="1">
      <c r="A99" s="313"/>
      <c r="B99" s="279"/>
      <c r="C99" s="280" t="s">
        <v>118</v>
      </c>
      <c r="D99" s="281" t="s">
        <v>43</v>
      </c>
      <c r="E99" s="282">
        <v>0</v>
      </c>
      <c r="F99" s="283"/>
      <c r="G99" s="282">
        <v>0</v>
      </c>
      <c r="H99" s="283"/>
      <c r="I99" s="284">
        <v>0</v>
      </c>
      <c r="J99" s="285">
        <v>0</v>
      </c>
      <c r="K99" s="285">
        <v>0</v>
      </c>
      <c r="L99" s="285">
        <v>0</v>
      </c>
      <c r="M99" s="285">
        <v>0</v>
      </c>
      <c r="N99" s="285">
        <v>0</v>
      </c>
      <c r="O99" s="285">
        <v>0</v>
      </c>
      <c r="P99" s="285">
        <v>0</v>
      </c>
      <c r="Q99" s="285">
        <v>0</v>
      </c>
      <c r="R99" s="286">
        <f>SUM(J99:Q99)</f>
        <v>0</v>
      </c>
      <c r="S99" s="287">
        <f>I99-R99</f>
        <v>0</v>
      </c>
      <c r="T99" s="288">
        <f>G99-I99</f>
        <v>0</v>
      </c>
      <c r="U99" s="289">
        <v>0</v>
      </c>
      <c r="V99" s="290" t="e">
        <f t="shared" si="1"/>
        <v>#DIV/0!</v>
      </c>
      <c r="X99" s="329"/>
      <c r="Y99" s="285"/>
      <c r="Z99" s="285"/>
      <c r="AA99" s="285"/>
      <c r="AB99" s="285"/>
      <c r="AC99" s="285"/>
      <c r="AD99" s="285"/>
      <c r="AE99" s="285"/>
    </row>
    <row r="100" spans="1:31" ht="18.95" customHeight="1">
      <c r="A100" s="314" t="s">
        <v>119</v>
      </c>
      <c r="B100" s="291" t="s">
        <v>38</v>
      </c>
      <c r="C100" s="292" t="s">
        <v>120</v>
      </c>
      <c r="D100" s="293" t="s">
        <v>40</v>
      </c>
      <c r="E100" s="294">
        <v>1539000</v>
      </c>
      <c r="F100" s="295"/>
      <c r="G100" s="294">
        <v>1556560</v>
      </c>
      <c r="H100" s="295"/>
      <c r="I100" s="296">
        <v>1556560</v>
      </c>
      <c r="J100" s="273">
        <v>0</v>
      </c>
      <c r="K100" s="273">
        <v>0</v>
      </c>
      <c r="L100" s="273">
        <v>0</v>
      </c>
      <c r="M100" s="273">
        <v>0</v>
      </c>
      <c r="N100" s="273">
        <v>0</v>
      </c>
      <c r="O100" s="273">
        <v>0</v>
      </c>
      <c r="P100" s="273">
        <v>0</v>
      </c>
      <c r="Q100" s="273">
        <v>0</v>
      </c>
      <c r="R100" s="274">
        <f>SUM(J100:Q100)</f>
        <v>0</v>
      </c>
      <c r="S100" s="275">
        <f>I100-R100</f>
        <v>1556560</v>
      </c>
      <c r="T100" s="276">
        <f>G100-I100</f>
        <v>0</v>
      </c>
      <c r="U100" s="297">
        <v>0</v>
      </c>
      <c r="V100" s="278" t="e">
        <f t="shared" si="1"/>
        <v>#DIV/0!</v>
      </c>
      <c r="X100" s="328"/>
      <c r="Y100" s="273"/>
      <c r="Z100" s="273"/>
      <c r="AA100" s="273"/>
      <c r="AB100" s="273"/>
      <c r="AC100" s="273"/>
      <c r="AD100" s="273"/>
      <c r="AE100" s="273"/>
    </row>
    <row r="101" spans="1:31" ht="18.95" customHeight="1">
      <c r="A101" s="312"/>
      <c r="B101" s="279"/>
      <c r="C101" s="280" t="s">
        <v>120</v>
      </c>
      <c r="D101" s="281" t="s">
        <v>43</v>
      </c>
      <c r="E101" s="282">
        <v>0</v>
      </c>
      <c r="F101" s="283"/>
      <c r="G101" s="282">
        <v>0</v>
      </c>
      <c r="H101" s="283"/>
      <c r="I101" s="284">
        <v>0</v>
      </c>
      <c r="J101" s="285">
        <v>0</v>
      </c>
      <c r="K101" s="285">
        <v>0</v>
      </c>
      <c r="L101" s="285">
        <v>0</v>
      </c>
      <c r="M101" s="285">
        <v>0</v>
      </c>
      <c r="N101" s="285">
        <v>0</v>
      </c>
      <c r="O101" s="285">
        <v>0</v>
      </c>
      <c r="P101" s="285">
        <v>0</v>
      </c>
      <c r="Q101" s="285">
        <v>0</v>
      </c>
      <c r="R101" s="286">
        <f>SUM(J101:Q101)</f>
        <v>0</v>
      </c>
      <c r="S101" s="287">
        <f>I101-R101</f>
        <v>0</v>
      </c>
      <c r="T101" s="288">
        <f>G101-I101</f>
        <v>0</v>
      </c>
      <c r="U101" s="289">
        <v>0</v>
      </c>
      <c r="V101" s="290" t="e">
        <f t="shared" si="1"/>
        <v>#DIV/0!</v>
      </c>
      <c r="X101" s="329"/>
      <c r="Y101" s="285"/>
      <c r="Z101" s="285"/>
      <c r="AA101" s="285"/>
      <c r="AB101" s="285"/>
      <c r="AC101" s="285"/>
      <c r="AD101" s="285"/>
      <c r="AE101" s="285"/>
    </row>
    <row r="102" spans="1:31" ht="18.95" customHeight="1">
      <c r="A102" s="313"/>
      <c r="B102" s="279"/>
      <c r="C102" s="280" t="s">
        <v>121</v>
      </c>
      <c r="D102" s="281" t="s">
        <v>43</v>
      </c>
      <c r="E102" s="282">
        <v>0</v>
      </c>
      <c r="F102" s="283"/>
      <c r="G102" s="282">
        <v>0</v>
      </c>
      <c r="H102" s="283"/>
      <c r="I102" s="284">
        <v>0</v>
      </c>
      <c r="J102" s="285">
        <v>0</v>
      </c>
      <c r="K102" s="285">
        <v>0</v>
      </c>
      <c r="L102" s="285">
        <v>0</v>
      </c>
      <c r="M102" s="285">
        <v>0</v>
      </c>
      <c r="N102" s="285">
        <v>0</v>
      </c>
      <c r="O102" s="285">
        <v>0</v>
      </c>
      <c r="P102" s="285">
        <v>0</v>
      </c>
      <c r="Q102" s="285">
        <v>0</v>
      </c>
      <c r="R102" s="286">
        <f>SUM(J102:Q102)</f>
        <v>0</v>
      </c>
      <c r="S102" s="287">
        <f>I102-R102</f>
        <v>0</v>
      </c>
      <c r="T102" s="288">
        <f>G102-I102</f>
        <v>0</v>
      </c>
      <c r="U102" s="289">
        <v>0</v>
      </c>
      <c r="V102" s="290" t="e">
        <f t="shared" si="1"/>
        <v>#DIV/0!</v>
      </c>
      <c r="X102" s="329"/>
      <c r="Y102" s="285"/>
      <c r="Z102" s="285"/>
      <c r="AA102" s="285"/>
      <c r="AB102" s="285"/>
      <c r="AC102" s="285"/>
      <c r="AD102" s="285"/>
      <c r="AE102" s="285"/>
    </row>
    <row r="103" spans="1:31" ht="18.95" customHeight="1">
      <c r="A103" s="314" t="s">
        <v>122</v>
      </c>
      <c r="B103" s="291" t="s">
        <v>38</v>
      </c>
      <c r="C103" s="292" t="s">
        <v>123</v>
      </c>
      <c r="D103" s="293" t="s">
        <v>40</v>
      </c>
      <c r="E103" s="294">
        <v>2525000</v>
      </c>
      <c r="F103" s="295"/>
      <c r="G103" s="294">
        <v>3351500</v>
      </c>
      <c r="H103" s="295"/>
      <c r="I103" s="296">
        <v>2851450</v>
      </c>
      <c r="J103" s="273">
        <v>0</v>
      </c>
      <c r="K103" s="273">
        <v>0</v>
      </c>
      <c r="L103" s="273">
        <v>600000</v>
      </c>
      <c r="M103" s="273">
        <v>90000</v>
      </c>
      <c r="N103" s="273">
        <v>0</v>
      </c>
      <c r="O103" s="273">
        <v>690000</v>
      </c>
      <c r="P103" s="273">
        <v>0</v>
      </c>
      <c r="Q103" s="273">
        <v>0</v>
      </c>
      <c r="R103" s="274">
        <f>SUM(J103:Q103)</f>
        <v>1380000</v>
      </c>
      <c r="S103" s="275">
        <f>I103-R103</f>
        <v>1471450</v>
      </c>
      <c r="T103" s="276">
        <f>G103-I103</f>
        <v>500050</v>
      </c>
      <c r="U103" s="297">
        <v>27</v>
      </c>
      <c r="V103" s="278">
        <f t="shared" si="1"/>
        <v>51111.111111111109</v>
      </c>
      <c r="X103" s="328"/>
      <c r="Y103" s="273"/>
      <c r="Z103" s="273"/>
      <c r="AA103" s="273"/>
      <c r="AB103" s="273"/>
      <c r="AC103" s="273"/>
      <c r="AD103" s="273"/>
      <c r="AE103" s="273"/>
    </row>
    <row r="104" spans="1:31" ht="18.95" customHeight="1">
      <c r="A104" s="312"/>
      <c r="B104" s="279" t="s">
        <v>124</v>
      </c>
      <c r="C104" s="280" t="s">
        <v>123</v>
      </c>
      <c r="D104" s="281" t="s">
        <v>125</v>
      </c>
      <c r="E104" s="282">
        <v>500000</v>
      </c>
      <c r="F104" s="283"/>
      <c r="G104" s="282">
        <v>0</v>
      </c>
      <c r="H104" s="283"/>
      <c r="I104" s="284">
        <v>527000</v>
      </c>
      <c r="J104" s="285">
        <v>0</v>
      </c>
      <c r="K104" s="285">
        <v>0</v>
      </c>
      <c r="L104" s="285">
        <v>0</v>
      </c>
      <c r="M104" s="285">
        <v>0</v>
      </c>
      <c r="N104" s="285">
        <v>0</v>
      </c>
      <c r="O104" s="285">
        <v>527000</v>
      </c>
      <c r="P104" s="285">
        <v>0</v>
      </c>
      <c r="Q104" s="285">
        <v>0</v>
      </c>
      <c r="R104" s="286">
        <f>SUM(J104:Q104)</f>
        <v>527000</v>
      </c>
      <c r="S104" s="287">
        <f>I104-R104</f>
        <v>0</v>
      </c>
      <c r="T104" s="288">
        <f>G104-I104</f>
        <v>-527000</v>
      </c>
      <c r="U104" s="289">
        <v>0</v>
      </c>
      <c r="V104" s="290" t="e">
        <f t="shared" si="1"/>
        <v>#DIV/0!</v>
      </c>
      <c r="X104" s="329"/>
      <c r="Y104" s="285"/>
      <c r="Z104" s="285"/>
      <c r="AA104" s="285"/>
      <c r="AB104" s="285"/>
      <c r="AC104" s="285"/>
      <c r="AD104" s="285"/>
      <c r="AE104" s="285"/>
    </row>
    <row r="105" spans="1:31" ht="18.95" customHeight="1">
      <c r="A105" s="312"/>
      <c r="B105" s="279" t="s">
        <v>124</v>
      </c>
      <c r="C105" s="280" t="s">
        <v>123</v>
      </c>
      <c r="D105" s="281" t="s">
        <v>43</v>
      </c>
      <c r="E105" s="282">
        <v>0</v>
      </c>
      <c r="F105" s="283"/>
      <c r="G105" s="282">
        <v>0</v>
      </c>
      <c r="H105" s="283"/>
      <c r="I105" s="284">
        <v>0</v>
      </c>
      <c r="J105" s="285">
        <v>0</v>
      </c>
      <c r="K105" s="285">
        <v>0</v>
      </c>
      <c r="L105" s="285">
        <v>0</v>
      </c>
      <c r="M105" s="285">
        <v>0</v>
      </c>
      <c r="N105" s="285">
        <v>30000</v>
      </c>
      <c r="O105" s="285">
        <v>0</v>
      </c>
      <c r="P105" s="285">
        <v>0</v>
      </c>
      <c r="Q105" s="285">
        <v>0</v>
      </c>
      <c r="R105" s="286">
        <f>SUM(J105:Q105)</f>
        <v>30000</v>
      </c>
      <c r="S105" s="287">
        <f>I105-R105</f>
        <v>-30000</v>
      </c>
      <c r="T105" s="288">
        <f>G105-I105</f>
        <v>0</v>
      </c>
      <c r="U105" s="289">
        <v>0</v>
      </c>
      <c r="V105" s="290" t="e">
        <f t="shared" si="1"/>
        <v>#DIV/0!</v>
      </c>
      <c r="X105" s="329"/>
      <c r="Y105" s="285"/>
      <c r="Z105" s="285"/>
      <c r="AA105" s="285"/>
      <c r="AB105" s="285"/>
      <c r="AC105" s="285"/>
      <c r="AD105" s="285"/>
      <c r="AE105" s="285"/>
    </row>
    <row r="106" spans="1:31" ht="18.95" customHeight="1">
      <c r="A106" s="312"/>
      <c r="B106" s="279" t="s">
        <v>46</v>
      </c>
      <c r="C106" s="280" t="s">
        <v>126</v>
      </c>
      <c r="D106" s="281" t="s">
        <v>127</v>
      </c>
      <c r="E106" s="282">
        <v>3285050</v>
      </c>
      <c r="F106" s="283"/>
      <c r="G106" s="282">
        <v>2000000</v>
      </c>
      <c r="H106" s="283"/>
      <c r="I106" s="284">
        <v>2000000</v>
      </c>
      <c r="J106" s="285">
        <v>0</v>
      </c>
      <c r="K106" s="285">
        <v>0</v>
      </c>
      <c r="L106" s="285">
        <v>0</v>
      </c>
      <c r="M106" s="285">
        <v>0</v>
      </c>
      <c r="N106" s="285">
        <v>0</v>
      </c>
      <c r="O106" s="285">
        <v>0</v>
      </c>
      <c r="P106" s="285">
        <v>0</v>
      </c>
      <c r="Q106" s="285">
        <v>0</v>
      </c>
      <c r="R106" s="286">
        <f>SUM(J106:Q106)</f>
        <v>0</v>
      </c>
      <c r="S106" s="287">
        <f>I106-R106</f>
        <v>2000000</v>
      </c>
      <c r="T106" s="288">
        <f>G106-I106</f>
        <v>0</v>
      </c>
      <c r="U106" s="289">
        <v>0</v>
      </c>
      <c r="V106" s="290" t="e">
        <f t="shared" si="1"/>
        <v>#DIV/0!</v>
      </c>
      <c r="X106" s="329"/>
      <c r="Y106" s="285"/>
      <c r="Z106" s="285"/>
      <c r="AA106" s="285"/>
      <c r="AB106" s="285"/>
      <c r="AC106" s="285"/>
      <c r="AD106" s="285"/>
      <c r="AE106" s="285"/>
    </row>
    <row r="107" spans="1:31" ht="18.95" customHeight="1">
      <c r="A107" s="312"/>
      <c r="B107" s="279" t="s">
        <v>46</v>
      </c>
      <c r="C107" s="280" t="s">
        <v>123</v>
      </c>
      <c r="D107" s="281" t="s">
        <v>43</v>
      </c>
      <c r="E107" s="282">
        <v>0</v>
      </c>
      <c r="F107" s="283"/>
      <c r="G107" s="282">
        <v>0</v>
      </c>
      <c r="H107" s="283"/>
      <c r="I107" s="284">
        <v>0</v>
      </c>
      <c r="J107" s="285">
        <v>0</v>
      </c>
      <c r="K107" s="285">
        <v>0</v>
      </c>
      <c r="L107" s="285">
        <v>0</v>
      </c>
      <c r="M107" s="285">
        <v>108000</v>
      </c>
      <c r="N107" s="285">
        <v>0</v>
      </c>
      <c r="O107" s="285">
        <v>54000</v>
      </c>
      <c r="P107" s="285">
        <v>0</v>
      </c>
      <c r="Q107" s="285">
        <v>0</v>
      </c>
      <c r="R107" s="286">
        <f>SUM(J107:Q107)</f>
        <v>162000</v>
      </c>
      <c r="S107" s="287">
        <f>I107-R107</f>
        <v>-162000</v>
      </c>
      <c r="T107" s="288">
        <f>G107-I107</f>
        <v>0</v>
      </c>
      <c r="U107" s="289">
        <v>2</v>
      </c>
      <c r="V107" s="290">
        <f t="shared" si="1"/>
        <v>81000</v>
      </c>
      <c r="X107" s="329"/>
      <c r="Y107" s="285"/>
      <c r="Z107" s="285"/>
      <c r="AA107" s="285"/>
      <c r="AB107" s="285"/>
      <c r="AC107" s="285"/>
      <c r="AD107" s="285"/>
      <c r="AE107" s="285"/>
    </row>
    <row r="108" spans="1:31" ht="18.95" customHeight="1">
      <c r="A108" s="312"/>
      <c r="B108" s="279" t="s">
        <v>128</v>
      </c>
      <c r="C108" s="280" t="s">
        <v>123</v>
      </c>
      <c r="D108" s="281" t="s">
        <v>43</v>
      </c>
      <c r="E108" s="282">
        <v>0</v>
      </c>
      <c r="F108" s="283"/>
      <c r="G108" s="282">
        <v>0</v>
      </c>
      <c r="H108" s="283"/>
      <c r="I108" s="284">
        <v>0</v>
      </c>
      <c r="J108" s="285">
        <v>0</v>
      </c>
      <c r="K108" s="285">
        <v>0</v>
      </c>
      <c r="L108" s="285">
        <v>155000</v>
      </c>
      <c r="M108" s="285">
        <v>0</v>
      </c>
      <c r="N108" s="285">
        <v>0</v>
      </c>
      <c r="O108" s="285">
        <v>0</v>
      </c>
      <c r="P108" s="285">
        <v>0</v>
      </c>
      <c r="Q108" s="285">
        <v>0</v>
      </c>
      <c r="R108" s="286">
        <f>SUM(J108:Q108)</f>
        <v>155000</v>
      </c>
      <c r="S108" s="287">
        <f>I108-R108</f>
        <v>-155000</v>
      </c>
      <c r="T108" s="288">
        <f>G108-I108</f>
        <v>0</v>
      </c>
      <c r="U108" s="289">
        <v>0</v>
      </c>
      <c r="V108" s="290" t="e">
        <f t="shared" si="1"/>
        <v>#DIV/0!</v>
      </c>
      <c r="X108" s="329"/>
      <c r="Y108" s="285"/>
      <c r="Z108" s="285"/>
      <c r="AA108" s="285"/>
      <c r="AB108" s="285"/>
      <c r="AC108" s="285"/>
      <c r="AD108" s="285"/>
      <c r="AE108" s="285"/>
    </row>
    <row r="109" spans="1:31" ht="18.95" customHeight="1">
      <c r="A109" s="312"/>
      <c r="B109" s="279" t="s">
        <v>129</v>
      </c>
      <c r="C109" s="280" t="s">
        <v>123</v>
      </c>
      <c r="D109" s="281" t="s">
        <v>43</v>
      </c>
      <c r="E109" s="282">
        <v>0</v>
      </c>
      <c r="F109" s="283"/>
      <c r="G109" s="282">
        <v>0</v>
      </c>
      <c r="H109" s="283"/>
      <c r="I109" s="284">
        <v>90000</v>
      </c>
      <c r="J109" s="285">
        <v>0</v>
      </c>
      <c r="K109" s="285">
        <v>0</v>
      </c>
      <c r="L109" s="285">
        <v>0</v>
      </c>
      <c r="M109" s="285">
        <v>90000</v>
      </c>
      <c r="N109" s="285">
        <v>0</v>
      </c>
      <c r="O109" s="285">
        <v>0</v>
      </c>
      <c r="P109" s="285">
        <v>0</v>
      </c>
      <c r="Q109" s="285">
        <v>0</v>
      </c>
      <c r="R109" s="286">
        <f>SUM(J109:Q109)</f>
        <v>90000</v>
      </c>
      <c r="S109" s="287">
        <f>I109-R109</f>
        <v>0</v>
      </c>
      <c r="T109" s="288">
        <f>G109-I109</f>
        <v>-90000</v>
      </c>
      <c r="U109" s="289">
        <v>4</v>
      </c>
      <c r="V109" s="290">
        <f t="shared" si="1"/>
        <v>22500</v>
      </c>
      <c r="X109" s="329"/>
      <c r="Y109" s="285"/>
      <c r="Z109" s="285"/>
      <c r="AA109" s="285"/>
      <c r="AB109" s="285"/>
      <c r="AC109" s="285"/>
      <c r="AD109" s="285"/>
      <c r="AE109" s="285"/>
    </row>
    <row r="110" spans="1:31" ht="18.95" customHeight="1">
      <c r="A110" s="312"/>
      <c r="B110" s="279" t="s">
        <v>99</v>
      </c>
      <c r="C110" s="280" t="s">
        <v>123</v>
      </c>
      <c r="D110" s="281" t="s">
        <v>43</v>
      </c>
      <c r="E110" s="282">
        <v>0</v>
      </c>
      <c r="F110" s="283"/>
      <c r="G110" s="282">
        <v>0</v>
      </c>
      <c r="H110" s="283"/>
      <c r="I110" s="284">
        <v>75000</v>
      </c>
      <c r="J110" s="285">
        <v>0</v>
      </c>
      <c r="K110" s="285">
        <v>0</v>
      </c>
      <c r="L110" s="285">
        <v>0</v>
      </c>
      <c r="M110" s="285">
        <v>25000</v>
      </c>
      <c r="N110" s="285">
        <v>0</v>
      </c>
      <c r="O110" s="285">
        <v>0</v>
      </c>
      <c r="P110" s="285">
        <v>0</v>
      </c>
      <c r="Q110" s="285">
        <v>0</v>
      </c>
      <c r="R110" s="286">
        <f>SUM(J110:Q110)</f>
        <v>25000</v>
      </c>
      <c r="S110" s="287">
        <f>I110-R110</f>
        <v>50000</v>
      </c>
      <c r="T110" s="288">
        <f>G110-I110</f>
        <v>-75000</v>
      </c>
      <c r="U110" s="289">
        <v>1</v>
      </c>
      <c r="V110" s="290">
        <f t="shared" si="1"/>
        <v>25000</v>
      </c>
      <c r="X110" s="329"/>
      <c r="Y110" s="285"/>
      <c r="Z110" s="285"/>
      <c r="AA110" s="285"/>
      <c r="AB110" s="285"/>
      <c r="AC110" s="285"/>
      <c r="AD110" s="285"/>
      <c r="AE110" s="285"/>
    </row>
    <row r="111" spans="1:31" ht="18.95" customHeight="1">
      <c r="A111" s="312"/>
      <c r="B111" s="279"/>
      <c r="C111" s="280" t="s">
        <v>126</v>
      </c>
      <c r="D111" s="281" t="s">
        <v>43</v>
      </c>
      <c r="E111" s="282">
        <v>100000</v>
      </c>
      <c r="F111" s="283"/>
      <c r="G111" s="282">
        <v>0</v>
      </c>
      <c r="H111" s="283"/>
      <c r="I111" s="284">
        <v>0</v>
      </c>
      <c r="J111" s="285">
        <v>0</v>
      </c>
      <c r="K111" s="285">
        <v>0</v>
      </c>
      <c r="L111" s="285">
        <v>0</v>
      </c>
      <c r="M111" s="285">
        <v>0</v>
      </c>
      <c r="N111" s="285">
        <v>0</v>
      </c>
      <c r="O111" s="285">
        <v>0</v>
      </c>
      <c r="P111" s="285">
        <v>0</v>
      </c>
      <c r="Q111" s="285">
        <v>0</v>
      </c>
      <c r="R111" s="286">
        <f>SUM(J111:Q111)</f>
        <v>0</v>
      </c>
      <c r="S111" s="287">
        <f>I111-R111</f>
        <v>0</v>
      </c>
      <c r="T111" s="288">
        <f>G111-I111</f>
        <v>0</v>
      </c>
      <c r="U111" s="289">
        <v>0</v>
      </c>
      <c r="V111" s="290" t="e">
        <f t="shared" si="1"/>
        <v>#DIV/0!</v>
      </c>
      <c r="X111" s="329"/>
      <c r="Y111" s="285"/>
      <c r="Z111" s="285"/>
      <c r="AA111" s="285"/>
      <c r="AB111" s="285"/>
      <c r="AC111" s="285"/>
      <c r="AD111" s="285"/>
      <c r="AE111" s="285"/>
    </row>
    <row r="112" spans="1:31" ht="18.95" customHeight="1">
      <c r="A112" s="312"/>
      <c r="B112" s="279"/>
      <c r="C112" s="280" t="s">
        <v>130</v>
      </c>
      <c r="D112" s="281" t="s">
        <v>43</v>
      </c>
      <c r="E112" s="282">
        <v>0</v>
      </c>
      <c r="F112" s="283"/>
      <c r="G112" s="282">
        <v>0</v>
      </c>
      <c r="H112" s="283"/>
      <c r="I112" s="284">
        <v>0</v>
      </c>
      <c r="J112" s="285">
        <v>0</v>
      </c>
      <c r="K112" s="285">
        <v>0</v>
      </c>
      <c r="L112" s="285">
        <v>0</v>
      </c>
      <c r="M112" s="285">
        <v>0</v>
      </c>
      <c r="N112" s="285">
        <v>0</v>
      </c>
      <c r="O112" s="285">
        <v>0</v>
      </c>
      <c r="P112" s="285">
        <v>0</v>
      </c>
      <c r="Q112" s="285">
        <v>0</v>
      </c>
      <c r="R112" s="286">
        <f>SUM(J112:Q112)</f>
        <v>0</v>
      </c>
      <c r="S112" s="287">
        <f>I112-R112</f>
        <v>0</v>
      </c>
      <c r="T112" s="288">
        <f>G112-I112</f>
        <v>0</v>
      </c>
      <c r="U112" s="289">
        <v>0</v>
      </c>
      <c r="V112" s="290" t="e">
        <f t="shared" si="1"/>
        <v>#DIV/0!</v>
      </c>
      <c r="X112" s="329"/>
      <c r="Y112" s="285"/>
      <c r="Z112" s="285"/>
      <c r="AA112" s="285"/>
      <c r="AB112" s="285"/>
      <c r="AC112" s="285"/>
      <c r="AD112" s="285"/>
      <c r="AE112" s="285"/>
    </row>
    <row r="113" spans="1:31" ht="18.95" customHeight="1">
      <c r="A113" s="312"/>
      <c r="B113" s="279"/>
      <c r="C113" s="280" t="s">
        <v>123</v>
      </c>
      <c r="D113" s="281" t="s">
        <v>43</v>
      </c>
      <c r="E113" s="282">
        <v>300000</v>
      </c>
      <c r="F113" s="283"/>
      <c r="G113" s="282">
        <v>200000</v>
      </c>
      <c r="H113" s="283"/>
      <c r="I113" s="284">
        <v>425000</v>
      </c>
      <c r="J113" s="285">
        <v>0</v>
      </c>
      <c r="K113" s="285">
        <v>0</v>
      </c>
      <c r="L113" s="285">
        <v>0</v>
      </c>
      <c r="M113" s="285">
        <v>0</v>
      </c>
      <c r="N113" s="285">
        <v>0</v>
      </c>
      <c r="O113" s="285">
        <v>0</v>
      </c>
      <c r="P113" s="285">
        <v>0</v>
      </c>
      <c r="Q113" s="285">
        <v>0</v>
      </c>
      <c r="R113" s="286">
        <f>SUM(J113:Q113)</f>
        <v>0</v>
      </c>
      <c r="S113" s="287">
        <f>I113-R113</f>
        <v>425000</v>
      </c>
      <c r="T113" s="288">
        <f>G113-I113</f>
        <v>-225000</v>
      </c>
      <c r="U113" s="289">
        <v>0</v>
      </c>
      <c r="V113" s="290" t="e">
        <f t="shared" si="1"/>
        <v>#DIV/0!</v>
      </c>
      <c r="X113" s="329"/>
      <c r="Y113" s="285"/>
      <c r="Z113" s="285"/>
      <c r="AA113" s="285"/>
      <c r="AB113" s="285"/>
      <c r="AC113" s="285"/>
      <c r="AD113" s="285"/>
      <c r="AE113" s="285"/>
    </row>
    <row r="114" spans="1:31" ht="18.95" customHeight="1">
      <c r="A114" s="313"/>
      <c r="B114" s="279"/>
      <c r="C114" s="280" t="s">
        <v>131</v>
      </c>
      <c r="D114" s="281" t="s">
        <v>43</v>
      </c>
      <c r="E114" s="282">
        <v>0</v>
      </c>
      <c r="F114" s="283"/>
      <c r="G114" s="282">
        <v>0</v>
      </c>
      <c r="H114" s="283"/>
      <c r="I114" s="284">
        <v>0</v>
      </c>
      <c r="J114" s="285">
        <v>0</v>
      </c>
      <c r="K114" s="285">
        <v>0</v>
      </c>
      <c r="L114" s="285">
        <v>0</v>
      </c>
      <c r="M114" s="285">
        <v>0</v>
      </c>
      <c r="N114" s="285">
        <v>0</v>
      </c>
      <c r="O114" s="285">
        <v>0</v>
      </c>
      <c r="P114" s="285">
        <v>0</v>
      </c>
      <c r="Q114" s="285">
        <v>0</v>
      </c>
      <c r="R114" s="286">
        <f>SUM(J114:Q114)</f>
        <v>0</v>
      </c>
      <c r="S114" s="287">
        <f>I114-R114</f>
        <v>0</v>
      </c>
      <c r="T114" s="288">
        <f>G114-I114</f>
        <v>0</v>
      </c>
      <c r="U114" s="289">
        <v>0</v>
      </c>
      <c r="V114" s="290" t="e">
        <f t="shared" si="1"/>
        <v>#DIV/0!</v>
      </c>
      <c r="X114" s="329"/>
      <c r="Y114" s="285"/>
      <c r="Z114" s="285"/>
      <c r="AA114" s="285"/>
      <c r="AB114" s="285"/>
      <c r="AC114" s="285"/>
      <c r="AD114" s="285"/>
      <c r="AE114" s="285"/>
    </row>
    <row r="115" spans="1:31" ht="18.95" customHeight="1">
      <c r="A115" s="314" t="s">
        <v>132</v>
      </c>
      <c r="B115" s="291" t="s">
        <v>38</v>
      </c>
      <c r="C115" s="292" t="s">
        <v>133</v>
      </c>
      <c r="D115" s="293" t="s">
        <v>40</v>
      </c>
      <c r="E115" s="294">
        <v>607100</v>
      </c>
      <c r="F115" s="295"/>
      <c r="G115" s="294">
        <v>477250</v>
      </c>
      <c r="H115" s="295"/>
      <c r="I115" s="296">
        <v>477250</v>
      </c>
      <c r="J115" s="273">
        <v>0</v>
      </c>
      <c r="K115" s="273">
        <v>0</v>
      </c>
      <c r="L115" s="273">
        <v>0</v>
      </c>
      <c r="M115" s="273">
        <v>0</v>
      </c>
      <c r="N115" s="273">
        <v>0</v>
      </c>
      <c r="O115" s="273">
        <v>0</v>
      </c>
      <c r="P115" s="273">
        <v>0</v>
      </c>
      <c r="Q115" s="273">
        <v>0</v>
      </c>
      <c r="R115" s="274">
        <f>SUM(J115:Q115)</f>
        <v>0</v>
      </c>
      <c r="S115" s="275">
        <f>I115-R115</f>
        <v>477250</v>
      </c>
      <c r="T115" s="276">
        <f>G115-I115</f>
        <v>0</v>
      </c>
      <c r="U115" s="297">
        <v>0</v>
      </c>
      <c r="V115" s="278" t="e">
        <f t="shared" si="1"/>
        <v>#DIV/0!</v>
      </c>
      <c r="X115" s="328"/>
      <c r="Y115" s="273"/>
      <c r="Z115" s="273"/>
      <c r="AA115" s="273"/>
      <c r="AB115" s="273"/>
      <c r="AC115" s="273"/>
      <c r="AD115" s="273"/>
      <c r="AE115" s="273"/>
    </row>
    <row r="116" spans="1:31" ht="18.95" customHeight="1">
      <c r="A116" s="312"/>
      <c r="B116" s="279"/>
      <c r="C116" s="280" t="s">
        <v>133</v>
      </c>
      <c r="D116" s="281" t="s">
        <v>43</v>
      </c>
      <c r="E116" s="282">
        <v>150000</v>
      </c>
      <c r="F116" s="283"/>
      <c r="G116" s="282">
        <v>0</v>
      </c>
      <c r="H116" s="283"/>
      <c r="I116" s="284">
        <v>0</v>
      </c>
      <c r="J116" s="285">
        <v>0</v>
      </c>
      <c r="K116" s="285">
        <v>0</v>
      </c>
      <c r="L116" s="285">
        <v>0</v>
      </c>
      <c r="M116" s="285">
        <v>0</v>
      </c>
      <c r="N116" s="285">
        <v>0</v>
      </c>
      <c r="O116" s="285">
        <v>0</v>
      </c>
      <c r="P116" s="285">
        <v>0</v>
      </c>
      <c r="Q116" s="285">
        <v>0</v>
      </c>
      <c r="R116" s="286">
        <f>SUM(J116:Q116)</f>
        <v>0</v>
      </c>
      <c r="S116" s="287">
        <f>I116-R116</f>
        <v>0</v>
      </c>
      <c r="T116" s="288">
        <f>G116-I116</f>
        <v>0</v>
      </c>
      <c r="U116" s="289">
        <v>0</v>
      </c>
      <c r="V116" s="290" t="e">
        <f t="shared" si="1"/>
        <v>#DIV/0!</v>
      </c>
      <c r="X116" s="329"/>
      <c r="Y116" s="285"/>
      <c r="Z116" s="285"/>
      <c r="AA116" s="285"/>
      <c r="AB116" s="285"/>
      <c r="AC116" s="285"/>
      <c r="AD116" s="285"/>
      <c r="AE116" s="285"/>
    </row>
    <row r="117" spans="1:31" ht="18.95" customHeight="1" thickBot="1">
      <c r="A117" s="315"/>
      <c r="B117" s="299"/>
      <c r="C117" s="300" t="s">
        <v>134</v>
      </c>
      <c r="D117" s="301" t="s">
        <v>43</v>
      </c>
      <c r="E117" s="302">
        <v>0</v>
      </c>
      <c r="F117" s="303"/>
      <c r="G117" s="302">
        <v>0</v>
      </c>
      <c r="H117" s="303"/>
      <c r="I117" s="304">
        <v>0</v>
      </c>
      <c r="J117" s="305">
        <v>0</v>
      </c>
      <c r="K117" s="305">
        <v>0</v>
      </c>
      <c r="L117" s="305">
        <v>0</v>
      </c>
      <c r="M117" s="305">
        <v>0</v>
      </c>
      <c r="N117" s="305">
        <v>0</v>
      </c>
      <c r="O117" s="305">
        <v>0</v>
      </c>
      <c r="P117" s="305">
        <v>0</v>
      </c>
      <c r="Q117" s="305">
        <v>0</v>
      </c>
      <c r="R117" s="306">
        <f>SUM(J117:Q117)</f>
        <v>0</v>
      </c>
      <c r="S117" s="307">
        <f>I117-R117</f>
        <v>0</v>
      </c>
      <c r="T117" s="308">
        <f>G117-I117</f>
        <v>0</v>
      </c>
      <c r="U117" s="309">
        <v>0</v>
      </c>
      <c r="V117" s="310" t="e">
        <f t="shared" si="1"/>
        <v>#DIV/0!</v>
      </c>
      <c r="X117" s="330"/>
      <c r="Y117" s="305"/>
      <c r="Z117" s="305"/>
      <c r="AA117" s="305"/>
      <c r="AB117" s="305"/>
      <c r="AC117" s="305"/>
      <c r="AD117" s="305"/>
      <c r="AE117" s="305"/>
    </row>
    <row r="118" spans="1:31" ht="18.95" customHeight="1" thickTop="1" thickBot="1">
      <c r="A118" s="27"/>
      <c r="B118" s="28" t="s">
        <v>12</v>
      </c>
      <c r="C118" s="29"/>
      <c r="D118" s="29"/>
      <c r="E118" s="187">
        <f>SUM(E7:F117)</f>
        <v>68199585</v>
      </c>
      <c r="F118" s="188"/>
      <c r="G118" s="187">
        <f>SUM(G7:H117)</f>
        <v>66523590</v>
      </c>
      <c r="H118" s="188"/>
      <c r="I118" s="87">
        <f>SUM(I7:I117)</f>
        <v>73978400</v>
      </c>
      <c r="J118" s="30"/>
      <c r="K118" s="30"/>
      <c r="L118" s="30"/>
      <c r="M118" s="30"/>
      <c r="N118" s="30"/>
      <c r="O118" s="30"/>
      <c r="P118" s="30"/>
      <c r="Q118" s="30"/>
      <c r="R118" s="32">
        <f>SUM(R7:R117)</f>
        <v>52413802</v>
      </c>
      <c r="S118" s="32">
        <f>SUM(S7:S117)</f>
        <v>21564598</v>
      </c>
      <c r="T118" s="33">
        <f>SUM(T7:T117)</f>
        <v>-7454810</v>
      </c>
      <c r="U118" s="298">
        <f>SUM(U7:U117)</f>
        <v>478</v>
      </c>
      <c r="V118" s="34"/>
    </row>
    <row r="119" spans="1:31" ht="15" customHeight="1" thickTop="1">
      <c r="A119" s="189"/>
      <c r="B119" s="190"/>
      <c r="C119" s="190"/>
      <c r="D119" s="190"/>
      <c r="E119" s="191"/>
      <c r="F119" s="191"/>
      <c r="G119" s="191"/>
      <c r="H119" s="191"/>
      <c r="I119" s="191"/>
      <c r="J119" s="190"/>
      <c r="K119" s="190"/>
      <c r="L119" s="190"/>
      <c r="M119" s="190"/>
      <c r="N119" s="190"/>
      <c r="O119" s="190"/>
      <c r="P119" s="190"/>
      <c r="Q119" s="190"/>
      <c r="R119" s="190"/>
      <c r="S119" s="190"/>
      <c r="T119" s="190"/>
      <c r="U119" s="191"/>
      <c r="V119" s="192"/>
    </row>
    <row r="120" spans="1:31" ht="18.95" customHeight="1">
      <c r="A120" s="97"/>
      <c r="B120" s="98" t="s">
        <v>13</v>
      </c>
      <c r="C120" s="98"/>
      <c r="D120" s="99"/>
      <c r="E120" s="193" t="s">
        <v>32</v>
      </c>
      <c r="F120" s="194"/>
      <c r="G120" s="193" t="s">
        <v>14</v>
      </c>
      <c r="H120" s="194"/>
      <c r="I120" s="100" t="s">
        <v>15</v>
      </c>
      <c r="J120" s="101"/>
      <c r="K120" s="101"/>
      <c r="L120" s="101"/>
      <c r="M120" s="101"/>
      <c r="N120" s="101"/>
      <c r="O120" s="101"/>
      <c r="P120" s="101"/>
      <c r="Q120" s="101"/>
      <c r="R120" s="101"/>
      <c r="S120" s="102"/>
      <c r="T120" s="103"/>
      <c r="U120" s="103"/>
      <c r="V120" s="104"/>
    </row>
    <row r="121" spans="1:31" ht="18.95" customHeight="1">
      <c r="A121" s="105"/>
      <c r="B121" s="107"/>
      <c r="C121" s="80"/>
      <c r="D121" s="158"/>
      <c r="E121" s="183"/>
      <c r="F121" s="184"/>
      <c r="G121" s="183"/>
      <c r="H121" s="184"/>
      <c r="I121" s="108"/>
      <c r="J121" s="20"/>
      <c r="K121" s="20"/>
      <c r="L121" s="20"/>
      <c r="M121" s="20"/>
      <c r="N121" s="20"/>
      <c r="O121" s="20"/>
      <c r="P121" s="20"/>
      <c r="Q121" s="20"/>
      <c r="R121" s="81">
        <f>SUM(J121:Q121)</f>
        <v>0</v>
      </c>
      <c r="S121" s="23">
        <f>I121-R121</f>
        <v>0</v>
      </c>
      <c r="T121" s="24">
        <f>G121-I121</f>
        <v>0</v>
      </c>
      <c r="U121" s="68"/>
      <c r="V121" s="88" t="e">
        <f>R121/U121</f>
        <v>#DIV/0!</v>
      </c>
    </row>
    <row r="122" spans="1:31" ht="18.95" customHeight="1">
      <c r="A122" s="106"/>
      <c r="B122" s="109"/>
      <c r="C122" s="71"/>
      <c r="D122" s="157"/>
      <c r="E122" s="185"/>
      <c r="F122" s="186"/>
      <c r="G122" s="185"/>
      <c r="H122" s="186"/>
      <c r="I122" s="110"/>
      <c r="J122" s="111"/>
      <c r="K122" s="111"/>
      <c r="L122" s="111"/>
      <c r="M122" s="111"/>
      <c r="N122" s="111"/>
      <c r="O122" s="111"/>
      <c r="P122" s="111"/>
      <c r="Q122" s="111"/>
      <c r="R122" s="81">
        <f>SUM(J122:Q122)</f>
        <v>0</v>
      </c>
      <c r="S122" s="23">
        <f>I122-R122</f>
        <v>0</v>
      </c>
      <c r="T122" s="24">
        <f>G122-I122</f>
        <v>0</v>
      </c>
      <c r="U122" s="69"/>
      <c r="V122" s="160" t="e">
        <f>R122/U122</f>
        <v>#DIV/0!</v>
      </c>
    </row>
    <row r="123" spans="1:31" ht="18.95" customHeight="1" thickBot="1">
      <c r="A123" s="89"/>
      <c r="B123" s="35" t="s">
        <v>16</v>
      </c>
      <c r="C123" s="35"/>
      <c r="D123" s="36"/>
      <c r="E123" s="168">
        <f>SUM(E121:E122)</f>
        <v>0</v>
      </c>
      <c r="F123" s="169"/>
      <c r="G123" s="168">
        <f>SUM(G121:G122)</f>
        <v>0</v>
      </c>
      <c r="H123" s="169"/>
      <c r="I123" s="37">
        <f>SUM(I121:I122)</f>
        <v>0</v>
      </c>
      <c r="J123" s="38"/>
      <c r="K123" s="38"/>
      <c r="L123" s="38"/>
      <c r="M123" s="38"/>
      <c r="N123" s="38"/>
      <c r="O123" s="38"/>
      <c r="P123" s="38"/>
      <c r="Q123" s="38"/>
      <c r="R123" s="39">
        <f>SUM(R121:R122)</f>
        <v>0</v>
      </c>
      <c r="S123" s="40">
        <f>SUM(S121:S122)</f>
        <v>0</v>
      </c>
      <c r="T123" s="41">
        <f>SUM(T121:T122)</f>
        <v>0</v>
      </c>
      <c r="U123" s="42">
        <f>SUM(U121:U122)</f>
        <v>0</v>
      </c>
      <c r="V123" s="159"/>
    </row>
    <row r="124" spans="1:31" ht="2.25" customHeight="1" thickTop="1" thickBot="1">
      <c r="A124" s="90"/>
      <c r="B124" s="43"/>
      <c r="C124" s="43"/>
      <c r="D124" s="43"/>
      <c r="E124" s="43"/>
      <c r="F124" s="44"/>
      <c r="G124" s="43"/>
      <c r="H124" s="44"/>
      <c r="I124" s="45"/>
      <c r="J124" s="44"/>
      <c r="K124" s="44"/>
      <c r="L124" s="44"/>
      <c r="M124" s="44"/>
      <c r="N124" s="44"/>
      <c r="O124" s="44"/>
      <c r="P124" s="44"/>
      <c r="Q124" s="44"/>
      <c r="R124" s="44"/>
      <c r="S124" s="46"/>
      <c r="T124" s="47"/>
      <c r="U124" s="48"/>
      <c r="V124" s="91"/>
    </row>
    <row r="125" spans="1:31" ht="26.25" customHeight="1" thickTop="1" thickBot="1">
      <c r="A125" s="92"/>
      <c r="B125" s="93" t="s">
        <v>17</v>
      </c>
      <c r="C125" s="93"/>
      <c r="D125" s="93"/>
      <c r="E125" s="170"/>
      <c r="F125" s="171"/>
      <c r="G125" s="170"/>
      <c r="H125" s="171"/>
      <c r="I125" s="49"/>
      <c r="J125" s="49"/>
      <c r="K125" s="49"/>
      <c r="L125" s="49"/>
      <c r="M125" s="49"/>
      <c r="N125" s="49"/>
      <c r="O125" s="49"/>
      <c r="P125" s="49"/>
      <c r="Q125" s="49"/>
      <c r="R125" s="50">
        <f>SUM(R123,R118)</f>
        <v>52413802</v>
      </c>
      <c r="S125" s="51">
        <f>SUM(S123,S118)</f>
        <v>21564598</v>
      </c>
      <c r="T125" s="94">
        <f>T118+T123</f>
        <v>-7454810</v>
      </c>
      <c r="U125" s="95">
        <f>SUM(U123,U118)</f>
        <v>478</v>
      </c>
      <c r="V125" s="96"/>
    </row>
    <row r="126" spans="1:31" ht="2.25" customHeight="1" thickTop="1">
      <c r="A126" s="137"/>
      <c r="B126" s="138"/>
      <c r="C126" s="138"/>
      <c r="D126" s="138"/>
      <c r="E126" s="138"/>
      <c r="F126" s="139"/>
      <c r="G126" s="138"/>
      <c r="H126" s="139"/>
      <c r="I126" s="140"/>
      <c r="J126" s="139"/>
      <c r="K126" s="139"/>
      <c r="L126" s="139"/>
      <c r="M126" s="139"/>
      <c r="N126" s="139"/>
      <c r="O126" s="139"/>
      <c r="P126" s="139"/>
      <c r="Q126" s="139"/>
      <c r="R126" s="139"/>
      <c r="S126" s="141"/>
      <c r="T126" s="142"/>
      <c r="U126" s="143"/>
      <c r="V126" s="144"/>
    </row>
    <row r="127" spans="1:31" ht="18.2" customHeight="1">
      <c r="A127" s="145"/>
      <c r="B127" s="146"/>
      <c r="C127" s="146"/>
      <c r="D127" s="146"/>
      <c r="E127" s="146"/>
      <c r="F127" s="128"/>
      <c r="G127" s="146"/>
      <c r="H127" s="128"/>
      <c r="I127" s="147"/>
      <c r="J127" s="128"/>
      <c r="K127" s="128"/>
      <c r="L127" s="128"/>
      <c r="M127" s="128"/>
      <c r="N127" s="128"/>
      <c r="O127" s="128"/>
      <c r="P127" s="128"/>
      <c r="Q127" s="128"/>
      <c r="R127" s="128"/>
      <c r="S127" s="148"/>
      <c r="T127" s="149"/>
      <c r="U127" s="150"/>
      <c r="V127" s="149"/>
    </row>
    <row r="128" spans="1:31" ht="18.2" customHeight="1">
      <c r="A128" s="258" t="s">
        <v>135</v>
      </c>
      <c r="B128" s="114" t="s">
        <v>38</v>
      </c>
      <c r="C128" s="115"/>
      <c r="D128" s="116"/>
      <c r="E128" s="172">
        <v>1101</v>
      </c>
      <c r="F128" s="173"/>
      <c r="G128" s="174">
        <v>4000000</v>
      </c>
      <c r="H128" s="175"/>
      <c r="I128" s="117">
        <v>8000000</v>
      </c>
      <c r="J128" s="261">
        <v>11</v>
      </c>
      <c r="K128" s="261">
        <v>102</v>
      </c>
      <c r="L128" s="261">
        <v>600003</v>
      </c>
      <c r="M128" s="261">
        <v>660004</v>
      </c>
      <c r="N128" s="261">
        <v>540005</v>
      </c>
      <c r="O128" s="261">
        <v>540006</v>
      </c>
      <c r="P128" s="261">
        <v>7</v>
      </c>
      <c r="Q128" s="261">
        <v>8</v>
      </c>
      <c r="R128" s="119">
        <f>SUM(J128:Q128)</f>
        <v>2340146</v>
      </c>
      <c r="S128" s="120">
        <f>I128-R128</f>
        <v>5659854</v>
      </c>
      <c r="T128" s="121">
        <f>G128-I128</f>
        <v>-4000000</v>
      </c>
      <c r="U128" s="122">
        <v>0</v>
      </c>
      <c r="V128" s="123" t="e">
        <f>R128/U128</f>
        <v>#DIV/0!</v>
      </c>
      <c r="X128" s="261"/>
      <c r="Y128" s="261"/>
      <c r="Z128" s="261"/>
      <c r="AA128" s="261"/>
      <c r="AB128" s="261"/>
      <c r="AC128" s="261"/>
      <c r="AD128" s="261"/>
      <c r="AE128" s="261"/>
    </row>
    <row r="129" spans="1:31" ht="18.2" customHeight="1">
      <c r="A129" s="259"/>
      <c r="B129" s="114" t="s">
        <v>144</v>
      </c>
      <c r="C129" s="115"/>
      <c r="D129" s="116"/>
      <c r="E129" s="172">
        <v>0</v>
      </c>
      <c r="F129" s="173"/>
      <c r="G129" s="174">
        <v>0</v>
      </c>
      <c r="H129" s="175"/>
      <c r="I129" s="117">
        <v>0</v>
      </c>
      <c r="J129" s="261">
        <v>0</v>
      </c>
      <c r="K129" s="261">
        <v>1304</v>
      </c>
      <c r="L129" s="261">
        <v>0</v>
      </c>
      <c r="M129" s="261">
        <v>655</v>
      </c>
      <c r="N129" s="261">
        <v>0</v>
      </c>
      <c r="O129" s="261">
        <v>0</v>
      </c>
      <c r="P129" s="261">
        <v>0</v>
      </c>
      <c r="Q129" s="261">
        <v>0</v>
      </c>
      <c r="R129" s="119">
        <f>SUM(J129:Q129)</f>
        <v>1959</v>
      </c>
      <c r="S129" s="120">
        <f>I129-R129</f>
        <v>-1959</v>
      </c>
      <c r="T129" s="121">
        <f>G129-I129</f>
        <v>0</v>
      </c>
      <c r="U129" s="122">
        <v>0</v>
      </c>
      <c r="V129" s="123" t="e">
        <f t="shared" ref="V129:V135" si="2">R129/U129</f>
        <v>#DIV/0!</v>
      </c>
      <c r="X129" s="261"/>
      <c r="Y129" s="261"/>
      <c r="Z129" s="261"/>
      <c r="AA129" s="261"/>
      <c r="AB129" s="261"/>
      <c r="AC129" s="261"/>
      <c r="AD129" s="261"/>
      <c r="AE129" s="261"/>
    </row>
    <row r="130" spans="1:31" ht="18.2" customHeight="1">
      <c r="A130" s="259"/>
      <c r="B130" s="114" t="s">
        <v>145</v>
      </c>
      <c r="C130" s="115"/>
      <c r="D130" s="116"/>
      <c r="E130" s="172">
        <v>0</v>
      </c>
      <c r="F130" s="173"/>
      <c r="G130" s="174">
        <v>0</v>
      </c>
      <c r="H130" s="175"/>
      <c r="I130" s="117">
        <v>0</v>
      </c>
      <c r="J130" s="261">
        <v>0</v>
      </c>
      <c r="K130" s="261">
        <v>0</v>
      </c>
      <c r="L130" s="261">
        <v>1926</v>
      </c>
      <c r="M130" s="261">
        <v>0</v>
      </c>
      <c r="N130" s="261">
        <v>0</v>
      </c>
      <c r="O130" s="261">
        <v>0</v>
      </c>
      <c r="P130" s="261">
        <v>0</v>
      </c>
      <c r="Q130" s="261">
        <v>0</v>
      </c>
      <c r="R130" s="119">
        <f>SUM(J130:Q130)</f>
        <v>1926</v>
      </c>
      <c r="S130" s="120">
        <f>I130-R130</f>
        <v>-1926</v>
      </c>
      <c r="T130" s="121">
        <f>G130-I130</f>
        <v>0</v>
      </c>
      <c r="U130" s="122">
        <v>0</v>
      </c>
      <c r="V130" s="123" t="e">
        <f t="shared" si="2"/>
        <v>#DIV/0!</v>
      </c>
      <c r="X130" s="261"/>
      <c r="Y130" s="261"/>
      <c r="Z130" s="261"/>
      <c r="AA130" s="261"/>
      <c r="AB130" s="261"/>
      <c r="AC130" s="261"/>
      <c r="AD130" s="261"/>
      <c r="AE130" s="261"/>
    </row>
    <row r="131" spans="1:31" ht="18.2" customHeight="1">
      <c r="A131" s="259"/>
      <c r="B131" s="114" t="s">
        <v>146</v>
      </c>
      <c r="C131" s="115"/>
      <c r="D131" s="116"/>
      <c r="E131" s="172">
        <v>0</v>
      </c>
      <c r="F131" s="173"/>
      <c r="G131" s="174">
        <v>0</v>
      </c>
      <c r="H131" s="175"/>
      <c r="I131" s="117">
        <v>0</v>
      </c>
      <c r="J131" s="261">
        <v>0</v>
      </c>
      <c r="K131" s="261">
        <v>0</v>
      </c>
      <c r="L131" s="261">
        <v>13130</v>
      </c>
      <c r="M131" s="261">
        <v>122228</v>
      </c>
      <c r="N131" s="261">
        <v>210960</v>
      </c>
      <c r="O131" s="261">
        <v>169189</v>
      </c>
      <c r="P131" s="261">
        <v>36141</v>
      </c>
      <c r="Q131" s="261">
        <v>0</v>
      </c>
      <c r="R131" s="119">
        <f>SUM(J131:Q131)</f>
        <v>551648</v>
      </c>
      <c r="S131" s="120">
        <f>I131-R131</f>
        <v>-551648</v>
      </c>
      <c r="T131" s="121">
        <f>G131-I131</f>
        <v>0</v>
      </c>
      <c r="U131" s="122">
        <v>0</v>
      </c>
      <c r="V131" s="123" t="e">
        <f t="shared" si="2"/>
        <v>#DIV/0!</v>
      </c>
      <c r="X131" s="261"/>
      <c r="Y131" s="261"/>
      <c r="Z131" s="261"/>
      <c r="AA131" s="261"/>
      <c r="AB131" s="261"/>
      <c r="AC131" s="261"/>
      <c r="AD131" s="261"/>
      <c r="AE131" s="261"/>
    </row>
    <row r="132" spans="1:31" ht="18.2" customHeight="1">
      <c r="A132" s="259"/>
      <c r="B132" s="114" t="s">
        <v>147</v>
      </c>
      <c r="C132" s="115"/>
      <c r="D132" s="116"/>
      <c r="E132" s="172">
        <v>0</v>
      </c>
      <c r="F132" s="173"/>
      <c r="G132" s="174">
        <v>0</v>
      </c>
      <c r="H132" s="175"/>
      <c r="I132" s="117">
        <v>0</v>
      </c>
      <c r="J132" s="261">
        <v>13000</v>
      </c>
      <c r="K132" s="261">
        <v>38490</v>
      </c>
      <c r="L132" s="261">
        <v>13341</v>
      </c>
      <c r="M132" s="261">
        <v>3000</v>
      </c>
      <c r="N132" s="261">
        <v>750</v>
      </c>
      <c r="O132" s="261">
        <v>300</v>
      </c>
      <c r="P132" s="261">
        <v>750</v>
      </c>
      <c r="Q132" s="261">
        <v>0</v>
      </c>
      <c r="R132" s="119">
        <f>SUM(J132:Q132)</f>
        <v>69631</v>
      </c>
      <c r="S132" s="120">
        <f>I132-R132</f>
        <v>-69631</v>
      </c>
      <c r="T132" s="121">
        <f>G132-I132</f>
        <v>0</v>
      </c>
      <c r="U132" s="122">
        <v>0</v>
      </c>
      <c r="V132" s="123" t="e">
        <f t="shared" si="2"/>
        <v>#DIV/0!</v>
      </c>
      <c r="X132" s="261"/>
      <c r="Y132" s="261"/>
      <c r="Z132" s="261"/>
      <c r="AA132" s="261"/>
      <c r="AB132" s="261"/>
      <c r="AC132" s="261"/>
      <c r="AD132" s="261"/>
      <c r="AE132" s="261"/>
    </row>
    <row r="133" spans="1:31" ht="18.2" customHeight="1">
      <c r="A133" s="259"/>
      <c r="B133" s="114" t="s">
        <v>63</v>
      </c>
      <c r="C133" s="115"/>
      <c r="D133" s="116"/>
      <c r="E133" s="172">
        <v>0</v>
      </c>
      <c r="F133" s="173"/>
      <c r="G133" s="174">
        <v>0</v>
      </c>
      <c r="H133" s="175"/>
      <c r="I133" s="117">
        <v>0</v>
      </c>
      <c r="J133" s="261">
        <v>0</v>
      </c>
      <c r="K133" s="261">
        <v>1670884</v>
      </c>
      <c r="L133" s="261">
        <v>92273</v>
      </c>
      <c r="M133" s="261">
        <v>368121</v>
      </c>
      <c r="N133" s="261">
        <v>10821</v>
      </c>
      <c r="O133" s="261">
        <v>24039</v>
      </c>
      <c r="P133" s="261">
        <v>18928</v>
      </c>
      <c r="Q133" s="261">
        <v>0</v>
      </c>
      <c r="R133" s="119">
        <f>SUM(J133:Q133)</f>
        <v>2185066</v>
      </c>
      <c r="S133" s="120">
        <f>I133-R133</f>
        <v>-2185066</v>
      </c>
      <c r="T133" s="121">
        <f>G133-I133</f>
        <v>0</v>
      </c>
      <c r="U133" s="122">
        <v>0</v>
      </c>
      <c r="V133" s="123" t="e">
        <f t="shared" si="2"/>
        <v>#DIV/0!</v>
      </c>
      <c r="X133" s="261"/>
      <c r="Y133" s="261"/>
      <c r="Z133" s="261"/>
      <c r="AA133" s="261"/>
      <c r="AB133" s="261"/>
      <c r="AC133" s="261"/>
      <c r="AD133" s="261"/>
      <c r="AE133" s="261"/>
    </row>
    <row r="134" spans="1:31" ht="18.2" customHeight="1">
      <c r="A134" s="259"/>
      <c r="B134" s="114" t="s">
        <v>148</v>
      </c>
      <c r="C134" s="115"/>
      <c r="D134" s="116"/>
      <c r="E134" s="172">
        <v>0</v>
      </c>
      <c r="F134" s="173"/>
      <c r="G134" s="174">
        <v>0</v>
      </c>
      <c r="H134" s="175"/>
      <c r="I134" s="117">
        <v>0</v>
      </c>
      <c r="J134" s="261">
        <v>0</v>
      </c>
      <c r="K134" s="261">
        <v>4983</v>
      </c>
      <c r="L134" s="261">
        <v>1391</v>
      </c>
      <c r="M134" s="261">
        <v>0</v>
      </c>
      <c r="N134" s="261">
        <v>364</v>
      </c>
      <c r="O134" s="261">
        <v>182</v>
      </c>
      <c r="P134" s="261">
        <v>1182</v>
      </c>
      <c r="Q134" s="261">
        <v>0</v>
      </c>
      <c r="R134" s="119">
        <f>SUM(J134:Q134)</f>
        <v>8102</v>
      </c>
      <c r="S134" s="120">
        <f>I134-R134</f>
        <v>-8102</v>
      </c>
      <c r="T134" s="121">
        <f>G134-I134</f>
        <v>0</v>
      </c>
      <c r="U134" s="122">
        <v>0</v>
      </c>
      <c r="V134" s="123" t="e">
        <f t="shared" si="2"/>
        <v>#DIV/0!</v>
      </c>
      <c r="X134" s="261"/>
      <c r="Y134" s="261"/>
      <c r="Z134" s="261"/>
      <c r="AA134" s="261"/>
      <c r="AB134" s="261"/>
      <c r="AC134" s="261"/>
      <c r="AD134" s="261"/>
      <c r="AE134" s="261"/>
    </row>
    <row r="135" spans="1:31" ht="18.2" customHeight="1">
      <c r="A135" s="353"/>
      <c r="B135" s="354"/>
      <c r="C135" s="355"/>
      <c r="D135" s="356"/>
      <c r="E135" s="357">
        <v>24160000</v>
      </c>
      <c r="F135" s="358"/>
      <c r="G135" s="359">
        <v>4427000</v>
      </c>
      <c r="H135" s="360"/>
      <c r="I135" s="361">
        <v>3996920</v>
      </c>
      <c r="J135" s="362">
        <v>0</v>
      </c>
      <c r="K135" s="362">
        <v>0</v>
      </c>
      <c r="L135" s="362">
        <v>0</v>
      </c>
      <c r="M135" s="362">
        <v>0</v>
      </c>
      <c r="N135" s="362">
        <v>0</v>
      </c>
      <c r="O135" s="362">
        <v>0</v>
      </c>
      <c r="P135" s="362">
        <v>0</v>
      </c>
      <c r="Q135" s="362">
        <v>0</v>
      </c>
      <c r="R135" s="363">
        <f>SUM(J135:Q135)</f>
        <v>0</v>
      </c>
      <c r="S135" s="364">
        <f>I135-R135</f>
        <v>3996920</v>
      </c>
      <c r="T135" s="365">
        <f>G135-I135</f>
        <v>430080</v>
      </c>
      <c r="U135" s="366">
        <v>0</v>
      </c>
      <c r="V135" s="352" t="e">
        <f t="shared" si="2"/>
        <v>#DIV/0!</v>
      </c>
      <c r="X135" s="362"/>
      <c r="Y135" s="362"/>
      <c r="Z135" s="362"/>
      <c r="AA135" s="362"/>
      <c r="AB135" s="362"/>
      <c r="AC135" s="362"/>
      <c r="AD135" s="362"/>
      <c r="AE135" s="362"/>
    </row>
    <row r="136" spans="1:31" ht="18.95" customHeight="1" thickBot="1">
      <c r="A136" s="113"/>
      <c r="B136" s="78" t="s">
        <v>34</v>
      </c>
      <c r="C136" s="79"/>
      <c r="D136" s="324"/>
      <c r="E136" s="351">
        <f>SUM(E128:F135)</f>
        <v>24161101</v>
      </c>
      <c r="F136" s="188"/>
      <c r="G136" s="187">
        <f>SUM(G128:H135)</f>
        <v>8427000</v>
      </c>
      <c r="H136" s="188"/>
      <c r="I136" s="87">
        <f>SUM(I128:I135)</f>
        <v>11996920</v>
      </c>
      <c r="J136" s="30"/>
      <c r="K136" s="30"/>
      <c r="L136" s="30"/>
      <c r="M136" s="30"/>
      <c r="N136" s="30"/>
      <c r="O136" s="30"/>
      <c r="P136" s="30"/>
      <c r="Q136" s="30"/>
      <c r="R136" s="32">
        <f>SUM(R128:R135)</f>
        <v>5158478</v>
      </c>
      <c r="S136" s="32">
        <f>SUM(S128:S135)</f>
        <v>6838442</v>
      </c>
      <c r="T136" s="33">
        <f>SUM(T128:T135)</f>
        <v>-3569920</v>
      </c>
      <c r="U136" s="298">
        <f>SUM(U128:U135)</f>
        <v>0</v>
      </c>
      <c r="V136" s="34"/>
    </row>
    <row r="137" spans="1:31" ht="18.2" customHeight="1" thickTop="1">
      <c r="A137" s="52"/>
      <c r="B137" s="176" t="s">
        <v>18</v>
      </c>
      <c r="C137" s="177"/>
      <c r="D137" s="134"/>
      <c r="E137" s="178">
        <f>SUM(E118,E123,E136)</f>
        <v>92360686</v>
      </c>
      <c r="F137" s="179"/>
      <c r="G137" s="178">
        <f>SUM(G118,G123,G136)</f>
        <v>74950590</v>
      </c>
      <c r="H137" s="179"/>
      <c r="I137" s="53">
        <f>SUM(I136,I123,I118)</f>
        <v>85975320</v>
      </c>
      <c r="J137" s="54">
        <f>SUM(J7:J135)</f>
        <v>212011</v>
      </c>
      <c r="K137" s="54">
        <f>SUM(K7:K135)</f>
        <v>1742163</v>
      </c>
      <c r="L137" s="54">
        <f>SUM(L7:L135)</f>
        <v>13420619</v>
      </c>
      <c r="M137" s="54">
        <f>SUM(M7:M135)</f>
        <v>14617240</v>
      </c>
      <c r="N137" s="54">
        <f>SUM(N7:N135)</f>
        <v>13149149</v>
      </c>
      <c r="O137" s="54">
        <f>SUM(O7:O135)</f>
        <v>15175622</v>
      </c>
      <c r="P137" s="54">
        <f>SUM(P7:P135)</f>
        <v>-744532</v>
      </c>
      <c r="Q137" s="54">
        <f>SUM(Q7:Q135)</f>
        <v>8</v>
      </c>
      <c r="R137" s="54">
        <f>SUM(J137:Q137)</f>
        <v>57572280</v>
      </c>
      <c r="S137" s="55">
        <f>I137-R137</f>
        <v>28403040</v>
      </c>
      <c r="T137" s="56">
        <f>SUM(T136,T125)</f>
        <v>-11024730</v>
      </c>
      <c r="U137" s="57">
        <f>SUM(U136,U125)</f>
        <v>478</v>
      </c>
      <c r="V137" s="58"/>
    </row>
    <row r="138" spans="1:31" ht="25.5" customHeight="1">
      <c r="A138" s="59"/>
      <c r="B138" s="59"/>
      <c r="C138" s="59"/>
      <c r="D138" s="59"/>
      <c r="E138" s="59"/>
      <c r="F138" s="60"/>
      <c r="G138" s="59"/>
      <c r="H138" s="60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2"/>
      <c r="T138" s="59"/>
      <c r="U138" s="59"/>
    </row>
    <row r="139" spans="1:31" ht="6" customHeight="1"/>
    <row r="140" spans="1:31" ht="18" customHeight="1">
      <c r="A140" s="13" t="s">
        <v>19</v>
      </c>
    </row>
    <row r="141" spans="1:31" ht="18" customHeight="1">
      <c r="A141" s="167" t="s">
        <v>20</v>
      </c>
      <c r="B141" s="167"/>
      <c r="C141" s="167"/>
      <c r="D141" s="167"/>
      <c r="E141" s="167"/>
      <c r="F141" s="167"/>
      <c r="G141" s="167"/>
      <c r="H141" s="167"/>
      <c r="I141" s="167"/>
      <c r="J141" s="167"/>
      <c r="K141" s="167"/>
      <c r="L141" s="167"/>
      <c r="M141" s="167"/>
      <c r="N141" s="167"/>
      <c r="O141" s="167"/>
      <c r="P141" s="167"/>
      <c r="Q141" s="167"/>
    </row>
    <row r="142" spans="1:31" ht="18" customHeight="1">
      <c r="A142" s="167" t="s">
        <v>21</v>
      </c>
      <c r="B142" s="167"/>
      <c r="C142" s="167"/>
      <c r="D142" s="167"/>
      <c r="E142" s="167"/>
      <c r="F142" s="167"/>
    </row>
    <row r="143" spans="1:31" ht="18" customHeight="1">
      <c r="A143" s="167" t="s">
        <v>22</v>
      </c>
      <c r="B143" s="167"/>
      <c r="C143" s="167"/>
      <c r="D143" s="167"/>
      <c r="E143" s="167"/>
      <c r="F143" s="167"/>
    </row>
  </sheetData>
  <mergeCells count="300">
    <mergeCell ref="A115:A117"/>
    <mergeCell ref="A71:A81"/>
    <mergeCell ref="A82:A84"/>
    <mergeCell ref="A85:A93"/>
    <mergeCell ref="A94:A99"/>
    <mergeCell ref="A100:A102"/>
    <mergeCell ref="A103:A114"/>
    <mergeCell ref="E135:F135"/>
    <mergeCell ref="G135:H135"/>
    <mergeCell ref="A7:A30"/>
    <mergeCell ref="A31:A37"/>
    <mergeCell ref="A38:A42"/>
    <mergeCell ref="A43:A58"/>
    <mergeCell ref="A59:A63"/>
    <mergeCell ref="A64:A70"/>
    <mergeCell ref="E133:F133"/>
    <mergeCell ref="G133:H133"/>
    <mergeCell ref="E134:F134"/>
    <mergeCell ref="G134:H134"/>
    <mergeCell ref="G129:H129"/>
    <mergeCell ref="E130:F130"/>
    <mergeCell ref="G130:H130"/>
    <mergeCell ref="E131:F131"/>
    <mergeCell ref="G131:H131"/>
    <mergeCell ref="E132:F132"/>
    <mergeCell ref="G132:H132"/>
    <mergeCell ref="E117:F117"/>
    <mergeCell ref="G117:H117"/>
    <mergeCell ref="J1:N1"/>
    <mergeCell ref="J2:N2"/>
    <mergeCell ref="J3:N3"/>
    <mergeCell ref="E114:F114"/>
    <mergeCell ref="G114:H114"/>
    <mergeCell ref="E115:F115"/>
    <mergeCell ref="G115:H115"/>
    <mergeCell ref="E116:F116"/>
    <mergeCell ref="G116:H116"/>
    <mergeCell ref="E111:F111"/>
    <mergeCell ref="G111:H111"/>
    <mergeCell ref="E112:F112"/>
    <mergeCell ref="G112:H112"/>
    <mergeCell ref="E113:F113"/>
    <mergeCell ref="G113:H113"/>
    <mergeCell ref="E108:F108"/>
    <mergeCell ref="G108:H108"/>
    <mergeCell ref="E109:F109"/>
    <mergeCell ref="G109:H109"/>
    <mergeCell ref="E110:F110"/>
    <mergeCell ref="G110:H110"/>
    <mergeCell ref="E105:F105"/>
    <mergeCell ref="G105:H105"/>
    <mergeCell ref="E106:F106"/>
    <mergeCell ref="G106:H106"/>
    <mergeCell ref="E107:F107"/>
    <mergeCell ref="G107:H107"/>
    <mergeCell ref="E102:F102"/>
    <mergeCell ref="G102:H102"/>
    <mergeCell ref="E103:F103"/>
    <mergeCell ref="G103:H103"/>
    <mergeCell ref="E104:F104"/>
    <mergeCell ref="G104:H104"/>
    <mergeCell ref="E99:F99"/>
    <mergeCell ref="G99:H99"/>
    <mergeCell ref="E100:F100"/>
    <mergeCell ref="G100:H100"/>
    <mergeCell ref="E101:F101"/>
    <mergeCell ref="G101:H101"/>
    <mergeCell ref="E96:F96"/>
    <mergeCell ref="G96:H96"/>
    <mergeCell ref="E97:F97"/>
    <mergeCell ref="G97:H97"/>
    <mergeCell ref="E98:F98"/>
    <mergeCell ref="G98:H98"/>
    <mergeCell ref="E93:F93"/>
    <mergeCell ref="G93:H93"/>
    <mergeCell ref="E94:F94"/>
    <mergeCell ref="G94:H94"/>
    <mergeCell ref="E95:F95"/>
    <mergeCell ref="G95:H95"/>
    <mergeCell ref="E90:F90"/>
    <mergeCell ref="G90:H90"/>
    <mergeCell ref="E91:F91"/>
    <mergeCell ref="G91:H91"/>
    <mergeCell ref="E92:F92"/>
    <mergeCell ref="G92:H92"/>
    <mergeCell ref="E87:F87"/>
    <mergeCell ref="G87:H87"/>
    <mergeCell ref="E88:F88"/>
    <mergeCell ref="G88:H88"/>
    <mergeCell ref="E89:F89"/>
    <mergeCell ref="G89:H89"/>
    <mergeCell ref="E84:F84"/>
    <mergeCell ref="G84:H84"/>
    <mergeCell ref="E85:F85"/>
    <mergeCell ref="G85:H85"/>
    <mergeCell ref="E86:F86"/>
    <mergeCell ref="G86:H86"/>
    <mergeCell ref="E81:F81"/>
    <mergeCell ref="G81:H81"/>
    <mergeCell ref="E82:F82"/>
    <mergeCell ref="G82:H82"/>
    <mergeCell ref="E83:F83"/>
    <mergeCell ref="G83:H83"/>
    <mergeCell ref="E78:F78"/>
    <mergeCell ref="G78:H78"/>
    <mergeCell ref="E79:F79"/>
    <mergeCell ref="G79:H79"/>
    <mergeCell ref="E80:F80"/>
    <mergeCell ref="G80:H80"/>
    <mergeCell ref="E75:F75"/>
    <mergeCell ref="G75:H75"/>
    <mergeCell ref="E76:F76"/>
    <mergeCell ref="G76:H76"/>
    <mergeCell ref="E77:F77"/>
    <mergeCell ref="G77:H77"/>
    <mergeCell ref="E72:F72"/>
    <mergeCell ref="G72:H72"/>
    <mergeCell ref="E73:F73"/>
    <mergeCell ref="G73:H73"/>
    <mergeCell ref="E74:F74"/>
    <mergeCell ref="G74:H74"/>
    <mergeCell ref="E69:F69"/>
    <mergeCell ref="G69:H69"/>
    <mergeCell ref="E70:F70"/>
    <mergeCell ref="G70:H70"/>
    <mergeCell ref="E71:F71"/>
    <mergeCell ref="G71:H71"/>
    <mergeCell ref="E66:F66"/>
    <mergeCell ref="G66:H66"/>
    <mergeCell ref="E67:F67"/>
    <mergeCell ref="G67:H67"/>
    <mergeCell ref="E68:F68"/>
    <mergeCell ref="G68:H68"/>
    <mergeCell ref="E63:F63"/>
    <mergeCell ref="G63:H63"/>
    <mergeCell ref="E64:F64"/>
    <mergeCell ref="G64:H64"/>
    <mergeCell ref="E65:F65"/>
    <mergeCell ref="G65:H65"/>
    <mergeCell ref="E60:F60"/>
    <mergeCell ref="G60:H60"/>
    <mergeCell ref="E61:F61"/>
    <mergeCell ref="G61:H61"/>
    <mergeCell ref="E62:F62"/>
    <mergeCell ref="G62:H62"/>
    <mergeCell ref="E57:F57"/>
    <mergeCell ref="G57:H57"/>
    <mergeCell ref="E58:F58"/>
    <mergeCell ref="G58:H58"/>
    <mergeCell ref="E59:F59"/>
    <mergeCell ref="G59:H59"/>
    <mergeCell ref="E54:F54"/>
    <mergeCell ref="G54:H54"/>
    <mergeCell ref="E55:F55"/>
    <mergeCell ref="G55:H55"/>
    <mergeCell ref="E56:F56"/>
    <mergeCell ref="G56:H56"/>
    <mergeCell ref="E51:F51"/>
    <mergeCell ref="G51:H51"/>
    <mergeCell ref="E52:F52"/>
    <mergeCell ref="G52:H52"/>
    <mergeCell ref="E53:F53"/>
    <mergeCell ref="G53:H53"/>
    <mergeCell ref="E48:F48"/>
    <mergeCell ref="G48:H48"/>
    <mergeCell ref="E49:F49"/>
    <mergeCell ref="G49:H49"/>
    <mergeCell ref="E50:F50"/>
    <mergeCell ref="G50:H50"/>
    <mergeCell ref="E45:F45"/>
    <mergeCell ref="G45:H45"/>
    <mergeCell ref="E46:F46"/>
    <mergeCell ref="G46:H46"/>
    <mergeCell ref="E47:F47"/>
    <mergeCell ref="G47:H47"/>
    <mergeCell ref="E42:F42"/>
    <mergeCell ref="G42:H42"/>
    <mergeCell ref="E43:F43"/>
    <mergeCell ref="G43:H43"/>
    <mergeCell ref="E44:F44"/>
    <mergeCell ref="G44:H44"/>
    <mergeCell ref="E39:F39"/>
    <mergeCell ref="G39:H39"/>
    <mergeCell ref="E40:F40"/>
    <mergeCell ref="G40:H40"/>
    <mergeCell ref="E41:F41"/>
    <mergeCell ref="G41:H41"/>
    <mergeCell ref="E36:F36"/>
    <mergeCell ref="G36:H36"/>
    <mergeCell ref="E37:F37"/>
    <mergeCell ref="G37:H37"/>
    <mergeCell ref="E38:F38"/>
    <mergeCell ref="G38:H38"/>
    <mergeCell ref="E33:F33"/>
    <mergeCell ref="G33:H33"/>
    <mergeCell ref="E34:F34"/>
    <mergeCell ref="G34:H34"/>
    <mergeCell ref="E35:F35"/>
    <mergeCell ref="G35:H35"/>
    <mergeCell ref="E30:F30"/>
    <mergeCell ref="G30:H30"/>
    <mergeCell ref="E31:F31"/>
    <mergeCell ref="G31:H31"/>
    <mergeCell ref="E32:F32"/>
    <mergeCell ref="G32:H32"/>
    <mergeCell ref="E27:F27"/>
    <mergeCell ref="G27:H27"/>
    <mergeCell ref="E28:F28"/>
    <mergeCell ref="G28:H28"/>
    <mergeCell ref="E29:F29"/>
    <mergeCell ref="G29:H29"/>
    <mergeCell ref="E24:F24"/>
    <mergeCell ref="G24:H24"/>
    <mergeCell ref="E25:F25"/>
    <mergeCell ref="G25:H25"/>
    <mergeCell ref="E26:F26"/>
    <mergeCell ref="G26:H26"/>
    <mergeCell ref="E21:F21"/>
    <mergeCell ref="G21:H21"/>
    <mergeCell ref="E22:F22"/>
    <mergeCell ref="G22:H22"/>
    <mergeCell ref="E23:F23"/>
    <mergeCell ref="G23:H23"/>
    <mergeCell ref="E18:F18"/>
    <mergeCell ref="G18:H18"/>
    <mergeCell ref="E19:F19"/>
    <mergeCell ref="G19:H19"/>
    <mergeCell ref="E20:F20"/>
    <mergeCell ref="G20:H20"/>
    <mergeCell ref="E15:F15"/>
    <mergeCell ref="G15:H15"/>
    <mergeCell ref="E16:F16"/>
    <mergeCell ref="G16:H16"/>
    <mergeCell ref="E17:F17"/>
    <mergeCell ref="G17:H17"/>
    <mergeCell ref="E12:F12"/>
    <mergeCell ref="G12:H12"/>
    <mergeCell ref="E13:F13"/>
    <mergeCell ref="G13:H13"/>
    <mergeCell ref="E14:F14"/>
    <mergeCell ref="G14:H14"/>
    <mergeCell ref="A142:F142"/>
    <mergeCell ref="A143:F143"/>
    <mergeCell ref="E8:F8"/>
    <mergeCell ref="G8:H8"/>
    <mergeCell ref="E9:F9"/>
    <mergeCell ref="G9:H9"/>
    <mergeCell ref="E10:F10"/>
    <mergeCell ref="G10:H10"/>
    <mergeCell ref="E11:F11"/>
    <mergeCell ref="G11:H11"/>
    <mergeCell ref="E136:F136"/>
    <mergeCell ref="G136:H136"/>
    <mergeCell ref="B137:C137"/>
    <mergeCell ref="E137:F137"/>
    <mergeCell ref="G137:H137"/>
    <mergeCell ref="A141:Q141"/>
    <mergeCell ref="E125:F125"/>
    <mergeCell ref="G125:H125"/>
    <mergeCell ref="A128:A135"/>
    <mergeCell ref="E128:F128"/>
    <mergeCell ref="G128:H128"/>
    <mergeCell ref="E129:F129"/>
    <mergeCell ref="E121:F121"/>
    <mergeCell ref="G121:H121"/>
    <mergeCell ref="E122:F122"/>
    <mergeCell ref="G122:H122"/>
    <mergeCell ref="E123:F123"/>
    <mergeCell ref="G123:H123"/>
    <mergeCell ref="E118:F118"/>
    <mergeCell ref="G118:H118"/>
    <mergeCell ref="A119:V119"/>
    <mergeCell ref="E120:F120"/>
    <mergeCell ref="G120:H120"/>
    <mergeCell ref="R5:R6"/>
    <mergeCell ref="S5:S6"/>
    <mergeCell ref="T5:T6"/>
    <mergeCell ref="U5:U6"/>
    <mergeCell ref="V5:V6"/>
    <mergeCell ref="E7:F7"/>
    <mergeCell ref="G7:H7"/>
    <mergeCell ref="A5:B6"/>
    <mergeCell ref="C5:C6"/>
    <mergeCell ref="D5:D6"/>
    <mergeCell ref="E5:F6"/>
    <mergeCell ref="G5:H6"/>
    <mergeCell ref="I5:I6"/>
    <mergeCell ref="A3:B3"/>
    <mergeCell ref="C3:H3"/>
    <mergeCell ref="A4:B4"/>
    <mergeCell ref="C4:F4"/>
    <mergeCell ref="G4:H4"/>
    <mergeCell ref="J4:Q4"/>
    <mergeCell ref="A1:B1"/>
    <mergeCell ref="C1:H1"/>
    <mergeCell ref="R1:S4"/>
    <mergeCell ref="T1:V1"/>
    <mergeCell ref="A2:B2"/>
    <mergeCell ref="C2:H2"/>
    <mergeCell ref="T2:V4"/>
  </mergeCells>
  <phoneticPr fontId="2"/>
  <pageMargins left="0.7" right="0.7" top="0.75" bottom="0.75" header="0.3" footer="0.3"/>
  <pageSetup paperSize="9" scale="43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3749C-A0BE-45A1-8972-4A3BB34D1AEC}">
  <sheetPr codeName="Sheet17"/>
  <dimension ref="A1:AE143"/>
  <sheetViews>
    <sheetView tabSelected="1" view="pageBreakPreview" zoomScaleNormal="100" zoomScaleSheetLayoutView="100" workbookViewId="0">
      <pane xSplit="2" ySplit="6" topLeftCell="C122" activePane="bottomRight" state="frozen"/>
      <selection pane="topRight" activeCell="C1" sqref="C1"/>
      <selection pane="bottomLeft" activeCell="A9" sqref="A9"/>
      <selection pane="bottomRight" activeCell="P128" sqref="P128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63" customWidth="1"/>
    <col min="7" max="7" width="7.625" style="13" customWidth="1"/>
    <col min="8" max="8" width="7.625" style="63" customWidth="1"/>
    <col min="9" max="9" width="15.375" style="64" customWidth="1"/>
    <col min="10" max="18" width="8.625" style="64" customWidth="1"/>
    <col min="19" max="19" width="8.625" style="65" customWidth="1"/>
    <col min="20" max="20" width="11.125" style="13" customWidth="1"/>
    <col min="21" max="21" width="8.625" style="13" customWidth="1"/>
    <col min="22" max="22" width="8.625" style="7" customWidth="1"/>
    <col min="23" max="260" width="9" style="7"/>
    <col min="261" max="261" width="8.625" style="7" customWidth="1"/>
    <col min="262" max="262" width="19.625" style="7" customWidth="1"/>
    <col min="263" max="263" width="8.625" style="7" customWidth="1"/>
    <col min="264" max="265" width="7.625" style="7" customWidth="1"/>
    <col min="266" max="266" width="11.125" style="7" customWidth="1"/>
    <col min="267" max="275" width="8.625" style="7" customWidth="1"/>
    <col min="276" max="276" width="11.125" style="7" customWidth="1"/>
    <col min="277" max="278" width="8.625" style="7" customWidth="1"/>
    <col min="279" max="516" width="9" style="7"/>
    <col min="517" max="517" width="8.625" style="7" customWidth="1"/>
    <col min="518" max="518" width="19.625" style="7" customWidth="1"/>
    <col min="519" max="519" width="8.625" style="7" customWidth="1"/>
    <col min="520" max="521" width="7.625" style="7" customWidth="1"/>
    <col min="522" max="522" width="11.125" style="7" customWidth="1"/>
    <col min="523" max="531" width="8.625" style="7" customWidth="1"/>
    <col min="532" max="532" width="11.125" style="7" customWidth="1"/>
    <col min="533" max="534" width="8.625" style="7" customWidth="1"/>
    <col min="535" max="772" width="9" style="7"/>
    <col min="773" max="773" width="8.625" style="7" customWidth="1"/>
    <col min="774" max="774" width="19.625" style="7" customWidth="1"/>
    <col min="775" max="775" width="8.625" style="7" customWidth="1"/>
    <col min="776" max="777" width="7.625" style="7" customWidth="1"/>
    <col min="778" max="778" width="11.125" style="7" customWidth="1"/>
    <col min="779" max="787" width="8.625" style="7" customWidth="1"/>
    <col min="788" max="788" width="11.125" style="7" customWidth="1"/>
    <col min="789" max="790" width="8.625" style="7" customWidth="1"/>
    <col min="791" max="1028" width="9" style="7"/>
    <col min="1029" max="1029" width="8.625" style="7" customWidth="1"/>
    <col min="1030" max="1030" width="19.625" style="7" customWidth="1"/>
    <col min="1031" max="1031" width="8.625" style="7" customWidth="1"/>
    <col min="1032" max="1033" width="7.625" style="7" customWidth="1"/>
    <col min="1034" max="1034" width="11.125" style="7" customWidth="1"/>
    <col min="1035" max="1043" width="8.625" style="7" customWidth="1"/>
    <col min="1044" max="1044" width="11.125" style="7" customWidth="1"/>
    <col min="1045" max="1046" width="8.625" style="7" customWidth="1"/>
    <col min="1047" max="1284" width="9" style="7"/>
    <col min="1285" max="1285" width="8.625" style="7" customWidth="1"/>
    <col min="1286" max="1286" width="19.625" style="7" customWidth="1"/>
    <col min="1287" max="1287" width="8.625" style="7" customWidth="1"/>
    <col min="1288" max="1289" width="7.625" style="7" customWidth="1"/>
    <col min="1290" max="1290" width="11.125" style="7" customWidth="1"/>
    <col min="1291" max="1299" width="8.625" style="7" customWidth="1"/>
    <col min="1300" max="1300" width="11.125" style="7" customWidth="1"/>
    <col min="1301" max="1302" width="8.625" style="7" customWidth="1"/>
    <col min="1303" max="1540" width="9" style="7"/>
    <col min="1541" max="1541" width="8.625" style="7" customWidth="1"/>
    <col min="1542" max="1542" width="19.625" style="7" customWidth="1"/>
    <col min="1543" max="1543" width="8.625" style="7" customWidth="1"/>
    <col min="1544" max="1545" width="7.625" style="7" customWidth="1"/>
    <col min="1546" max="1546" width="11.125" style="7" customWidth="1"/>
    <col min="1547" max="1555" width="8.625" style="7" customWidth="1"/>
    <col min="1556" max="1556" width="11.125" style="7" customWidth="1"/>
    <col min="1557" max="1558" width="8.625" style="7" customWidth="1"/>
    <col min="1559" max="1796" width="9" style="7"/>
    <col min="1797" max="1797" width="8.625" style="7" customWidth="1"/>
    <col min="1798" max="1798" width="19.625" style="7" customWidth="1"/>
    <col min="1799" max="1799" width="8.625" style="7" customWidth="1"/>
    <col min="1800" max="1801" width="7.625" style="7" customWidth="1"/>
    <col min="1802" max="1802" width="11.125" style="7" customWidth="1"/>
    <col min="1803" max="1811" width="8.625" style="7" customWidth="1"/>
    <col min="1812" max="1812" width="11.125" style="7" customWidth="1"/>
    <col min="1813" max="1814" width="8.625" style="7" customWidth="1"/>
    <col min="1815" max="2052" width="9" style="7"/>
    <col min="2053" max="2053" width="8.625" style="7" customWidth="1"/>
    <col min="2054" max="2054" width="19.625" style="7" customWidth="1"/>
    <col min="2055" max="2055" width="8.625" style="7" customWidth="1"/>
    <col min="2056" max="2057" width="7.625" style="7" customWidth="1"/>
    <col min="2058" max="2058" width="11.125" style="7" customWidth="1"/>
    <col min="2059" max="2067" width="8.625" style="7" customWidth="1"/>
    <col min="2068" max="2068" width="11.125" style="7" customWidth="1"/>
    <col min="2069" max="2070" width="8.625" style="7" customWidth="1"/>
    <col min="2071" max="2308" width="9" style="7"/>
    <col min="2309" max="2309" width="8.625" style="7" customWidth="1"/>
    <col min="2310" max="2310" width="19.625" style="7" customWidth="1"/>
    <col min="2311" max="2311" width="8.625" style="7" customWidth="1"/>
    <col min="2312" max="2313" width="7.625" style="7" customWidth="1"/>
    <col min="2314" max="2314" width="11.125" style="7" customWidth="1"/>
    <col min="2315" max="2323" width="8.625" style="7" customWidth="1"/>
    <col min="2324" max="2324" width="11.125" style="7" customWidth="1"/>
    <col min="2325" max="2326" width="8.625" style="7" customWidth="1"/>
    <col min="2327" max="2564" width="9" style="7"/>
    <col min="2565" max="2565" width="8.625" style="7" customWidth="1"/>
    <col min="2566" max="2566" width="19.625" style="7" customWidth="1"/>
    <col min="2567" max="2567" width="8.625" style="7" customWidth="1"/>
    <col min="2568" max="2569" width="7.625" style="7" customWidth="1"/>
    <col min="2570" max="2570" width="11.125" style="7" customWidth="1"/>
    <col min="2571" max="2579" width="8.625" style="7" customWidth="1"/>
    <col min="2580" max="2580" width="11.125" style="7" customWidth="1"/>
    <col min="2581" max="2582" width="8.625" style="7" customWidth="1"/>
    <col min="2583" max="2820" width="9" style="7"/>
    <col min="2821" max="2821" width="8.625" style="7" customWidth="1"/>
    <col min="2822" max="2822" width="19.625" style="7" customWidth="1"/>
    <col min="2823" max="2823" width="8.625" style="7" customWidth="1"/>
    <col min="2824" max="2825" width="7.625" style="7" customWidth="1"/>
    <col min="2826" max="2826" width="11.125" style="7" customWidth="1"/>
    <col min="2827" max="2835" width="8.625" style="7" customWidth="1"/>
    <col min="2836" max="2836" width="11.125" style="7" customWidth="1"/>
    <col min="2837" max="2838" width="8.625" style="7" customWidth="1"/>
    <col min="2839" max="3076" width="9" style="7"/>
    <col min="3077" max="3077" width="8.625" style="7" customWidth="1"/>
    <col min="3078" max="3078" width="19.625" style="7" customWidth="1"/>
    <col min="3079" max="3079" width="8.625" style="7" customWidth="1"/>
    <col min="3080" max="3081" width="7.625" style="7" customWidth="1"/>
    <col min="3082" max="3082" width="11.125" style="7" customWidth="1"/>
    <col min="3083" max="3091" width="8.625" style="7" customWidth="1"/>
    <col min="3092" max="3092" width="11.125" style="7" customWidth="1"/>
    <col min="3093" max="3094" width="8.625" style="7" customWidth="1"/>
    <col min="3095" max="3332" width="9" style="7"/>
    <col min="3333" max="3333" width="8.625" style="7" customWidth="1"/>
    <col min="3334" max="3334" width="19.625" style="7" customWidth="1"/>
    <col min="3335" max="3335" width="8.625" style="7" customWidth="1"/>
    <col min="3336" max="3337" width="7.625" style="7" customWidth="1"/>
    <col min="3338" max="3338" width="11.125" style="7" customWidth="1"/>
    <col min="3339" max="3347" width="8.625" style="7" customWidth="1"/>
    <col min="3348" max="3348" width="11.125" style="7" customWidth="1"/>
    <col min="3349" max="3350" width="8.625" style="7" customWidth="1"/>
    <col min="3351" max="3588" width="9" style="7"/>
    <col min="3589" max="3589" width="8.625" style="7" customWidth="1"/>
    <col min="3590" max="3590" width="19.625" style="7" customWidth="1"/>
    <col min="3591" max="3591" width="8.625" style="7" customWidth="1"/>
    <col min="3592" max="3593" width="7.625" style="7" customWidth="1"/>
    <col min="3594" max="3594" width="11.125" style="7" customWidth="1"/>
    <col min="3595" max="3603" width="8.625" style="7" customWidth="1"/>
    <col min="3604" max="3604" width="11.125" style="7" customWidth="1"/>
    <col min="3605" max="3606" width="8.625" style="7" customWidth="1"/>
    <col min="3607" max="3844" width="9" style="7"/>
    <col min="3845" max="3845" width="8.625" style="7" customWidth="1"/>
    <col min="3846" max="3846" width="19.625" style="7" customWidth="1"/>
    <col min="3847" max="3847" width="8.625" style="7" customWidth="1"/>
    <col min="3848" max="3849" width="7.625" style="7" customWidth="1"/>
    <col min="3850" max="3850" width="11.125" style="7" customWidth="1"/>
    <col min="3851" max="3859" width="8.625" style="7" customWidth="1"/>
    <col min="3860" max="3860" width="11.125" style="7" customWidth="1"/>
    <col min="3861" max="3862" width="8.625" style="7" customWidth="1"/>
    <col min="3863" max="4100" width="9" style="7"/>
    <col min="4101" max="4101" width="8.625" style="7" customWidth="1"/>
    <col min="4102" max="4102" width="19.625" style="7" customWidth="1"/>
    <col min="4103" max="4103" width="8.625" style="7" customWidth="1"/>
    <col min="4104" max="4105" width="7.625" style="7" customWidth="1"/>
    <col min="4106" max="4106" width="11.125" style="7" customWidth="1"/>
    <col min="4107" max="4115" width="8.625" style="7" customWidth="1"/>
    <col min="4116" max="4116" width="11.125" style="7" customWidth="1"/>
    <col min="4117" max="4118" width="8.625" style="7" customWidth="1"/>
    <col min="4119" max="4356" width="9" style="7"/>
    <col min="4357" max="4357" width="8.625" style="7" customWidth="1"/>
    <col min="4358" max="4358" width="19.625" style="7" customWidth="1"/>
    <col min="4359" max="4359" width="8.625" style="7" customWidth="1"/>
    <col min="4360" max="4361" width="7.625" style="7" customWidth="1"/>
    <col min="4362" max="4362" width="11.125" style="7" customWidth="1"/>
    <col min="4363" max="4371" width="8.625" style="7" customWidth="1"/>
    <col min="4372" max="4372" width="11.125" style="7" customWidth="1"/>
    <col min="4373" max="4374" width="8.625" style="7" customWidth="1"/>
    <col min="4375" max="4612" width="9" style="7"/>
    <col min="4613" max="4613" width="8.625" style="7" customWidth="1"/>
    <col min="4614" max="4614" width="19.625" style="7" customWidth="1"/>
    <col min="4615" max="4615" width="8.625" style="7" customWidth="1"/>
    <col min="4616" max="4617" width="7.625" style="7" customWidth="1"/>
    <col min="4618" max="4618" width="11.125" style="7" customWidth="1"/>
    <col min="4619" max="4627" width="8.625" style="7" customWidth="1"/>
    <col min="4628" max="4628" width="11.125" style="7" customWidth="1"/>
    <col min="4629" max="4630" width="8.625" style="7" customWidth="1"/>
    <col min="4631" max="4868" width="9" style="7"/>
    <col min="4869" max="4869" width="8.625" style="7" customWidth="1"/>
    <col min="4870" max="4870" width="19.625" style="7" customWidth="1"/>
    <col min="4871" max="4871" width="8.625" style="7" customWidth="1"/>
    <col min="4872" max="4873" width="7.625" style="7" customWidth="1"/>
    <col min="4874" max="4874" width="11.125" style="7" customWidth="1"/>
    <col min="4875" max="4883" width="8.625" style="7" customWidth="1"/>
    <col min="4884" max="4884" width="11.125" style="7" customWidth="1"/>
    <col min="4885" max="4886" width="8.625" style="7" customWidth="1"/>
    <col min="4887" max="5124" width="9" style="7"/>
    <col min="5125" max="5125" width="8.625" style="7" customWidth="1"/>
    <col min="5126" max="5126" width="19.625" style="7" customWidth="1"/>
    <col min="5127" max="5127" width="8.625" style="7" customWidth="1"/>
    <col min="5128" max="5129" width="7.625" style="7" customWidth="1"/>
    <col min="5130" max="5130" width="11.125" style="7" customWidth="1"/>
    <col min="5131" max="5139" width="8.625" style="7" customWidth="1"/>
    <col min="5140" max="5140" width="11.125" style="7" customWidth="1"/>
    <col min="5141" max="5142" width="8.625" style="7" customWidth="1"/>
    <col min="5143" max="5380" width="9" style="7"/>
    <col min="5381" max="5381" width="8.625" style="7" customWidth="1"/>
    <col min="5382" max="5382" width="19.625" style="7" customWidth="1"/>
    <col min="5383" max="5383" width="8.625" style="7" customWidth="1"/>
    <col min="5384" max="5385" width="7.625" style="7" customWidth="1"/>
    <col min="5386" max="5386" width="11.125" style="7" customWidth="1"/>
    <col min="5387" max="5395" width="8.625" style="7" customWidth="1"/>
    <col min="5396" max="5396" width="11.125" style="7" customWidth="1"/>
    <col min="5397" max="5398" width="8.625" style="7" customWidth="1"/>
    <col min="5399" max="5636" width="9" style="7"/>
    <col min="5637" max="5637" width="8.625" style="7" customWidth="1"/>
    <col min="5638" max="5638" width="19.625" style="7" customWidth="1"/>
    <col min="5639" max="5639" width="8.625" style="7" customWidth="1"/>
    <col min="5640" max="5641" width="7.625" style="7" customWidth="1"/>
    <col min="5642" max="5642" width="11.125" style="7" customWidth="1"/>
    <col min="5643" max="5651" width="8.625" style="7" customWidth="1"/>
    <col min="5652" max="5652" width="11.125" style="7" customWidth="1"/>
    <col min="5653" max="5654" width="8.625" style="7" customWidth="1"/>
    <col min="5655" max="5892" width="9" style="7"/>
    <col min="5893" max="5893" width="8.625" style="7" customWidth="1"/>
    <col min="5894" max="5894" width="19.625" style="7" customWidth="1"/>
    <col min="5895" max="5895" width="8.625" style="7" customWidth="1"/>
    <col min="5896" max="5897" width="7.625" style="7" customWidth="1"/>
    <col min="5898" max="5898" width="11.125" style="7" customWidth="1"/>
    <col min="5899" max="5907" width="8.625" style="7" customWidth="1"/>
    <col min="5908" max="5908" width="11.125" style="7" customWidth="1"/>
    <col min="5909" max="5910" width="8.625" style="7" customWidth="1"/>
    <col min="5911" max="6148" width="9" style="7"/>
    <col min="6149" max="6149" width="8.625" style="7" customWidth="1"/>
    <col min="6150" max="6150" width="19.625" style="7" customWidth="1"/>
    <col min="6151" max="6151" width="8.625" style="7" customWidth="1"/>
    <col min="6152" max="6153" width="7.625" style="7" customWidth="1"/>
    <col min="6154" max="6154" width="11.125" style="7" customWidth="1"/>
    <col min="6155" max="6163" width="8.625" style="7" customWidth="1"/>
    <col min="6164" max="6164" width="11.125" style="7" customWidth="1"/>
    <col min="6165" max="6166" width="8.625" style="7" customWidth="1"/>
    <col min="6167" max="6404" width="9" style="7"/>
    <col min="6405" max="6405" width="8.625" style="7" customWidth="1"/>
    <col min="6406" max="6406" width="19.625" style="7" customWidth="1"/>
    <col min="6407" max="6407" width="8.625" style="7" customWidth="1"/>
    <col min="6408" max="6409" width="7.625" style="7" customWidth="1"/>
    <col min="6410" max="6410" width="11.125" style="7" customWidth="1"/>
    <col min="6411" max="6419" width="8.625" style="7" customWidth="1"/>
    <col min="6420" max="6420" width="11.125" style="7" customWidth="1"/>
    <col min="6421" max="6422" width="8.625" style="7" customWidth="1"/>
    <col min="6423" max="6660" width="9" style="7"/>
    <col min="6661" max="6661" width="8.625" style="7" customWidth="1"/>
    <col min="6662" max="6662" width="19.625" style="7" customWidth="1"/>
    <col min="6663" max="6663" width="8.625" style="7" customWidth="1"/>
    <col min="6664" max="6665" width="7.625" style="7" customWidth="1"/>
    <col min="6666" max="6666" width="11.125" style="7" customWidth="1"/>
    <col min="6667" max="6675" width="8.625" style="7" customWidth="1"/>
    <col min="6676" max="6676" width="11.125" style="7" customWidth="1"/>
    <col min="6677" max="6678" width="8.625" style="7" customWidth="1"/>
    <col min="6679" max="6916" width="9" style="7"/>
    <col min="6917" max="6917" width="8.625" style="7" customWidth="1"/>
    <col min="6918" max="6918" width="19.625" style="7" customWidth="1"/>
    <col min="6919" max="6919" width="8.625" style="7" customWidth="1"/>
    <col min="6920" max="6921" width="7.625" style="7" customWidth="1"/>
    <col min="6922" max="6922" width="11.125" style="7" customWidth="1"/>
    <col min="6923" max="6931" width="8.625" style="7" customWidth="1"/>
    <col min="6932" max="6932" width="11.125" style="7" customWidth="1"/>
    <col min="6933" max="6934" width="8.625" style="7" customWidth="1"/>
    <col min="6935" max="7172" width="9" style="7"/>
    <col min="7173" max="7173" width="8.625" style="7" customWidth="1"/>
    <col min="7174" max="7174" width="19.625" style="7" customWidth="1"/>
    <col min="7175" max="7175" width="8.625" style="7" customWidth="1"/>
    <col min="7176" max="7177" width="7.625" style="7" customWidth="1"/>
    <col min="7178" max="7178" width="11.125" style="7" customWidth="1"/>
    <col min="7179" max="7187" width="8.625" style="7" customWidth="1"/>
    <col min="7188" max="7188" width="11.125" style="7" customWidth="1"/>
    <col min="7189" max="7190" width="8.625" style="7" customWidth="1"/>
    <col min="7191" max="7428" width="9" style="7"/>
    <col min="7429" max="7429" width="8.625" style="7" customWidth="1"/>
    <col min="7430" max="7430" width="19.625" style="7" customWidth="1"/>
    <col min="7431" max="7431" width="8.625" style="7" customWidth="1"/>
    <col min="7432" max="7433" width="7.625" style="7" customWidth="1"/>
    <col min="7434" max="7434" width="11.125" style="7" customWidth="1"/>
    <col min="7435" max="7443" width="8.625" style="7" customWidth="1"/>
    <col min="7444" max="7444" width="11.125" style="7" customWidth="1"/>
    <col min="7445" max="7446" width="8.625" style="7" customWidth="1"/>
    <col min="7447" max="7684" width="9" style="7"/>
    <col min="7685" max="7685" width="8.625" style="7" customWidth="1"/>
    <col min="7686" max="7686" width="19.625" style="7" customWidth="1"/>
    <col min="7687" max="7687" width="8.625" style="7" customWidth="1"/>
    <col min="7688" max="7689" width="7.625" style="7" customWidth="1"/>
    <col min="7690" max="7690" width="11.125" style="7" customWidth="1"/>
    <col min="7691" max="7699" width="8.625" style="7" customWidth="1"/>
    <col min="7700" max="7700" width="11.125" style="7" customWidth="1"/>
    <col min="7701" max="7702" width="8.625" style="7" customWidth="1"/>
    <col min="7703" max="7940" width="9" style="7"/>
    <col min="7941" max="7941" width="8.625" style="7" customWidth="1"/>
    <col min="7942" max="7942" width="19.625" style="7" customWidth="1"/>
    <col min="7943" max="7943" width="8.625" style="7" customWidth="1"/>
    <col min="7944" max="7945" width="7.625" style="7" customWidth="1"/>
    <col min="7946" max="7946" width="11.125" style="7" customWidth="1"/>
    <col min="7947" max="7955" width="8.625" style="7" customWidth="1"/>
    <col min="7956" max="7956" width="11.125" style="7" customWidth="1"/>
    <col min="7957" max="7958" width="8.625" style="7" customWidth="1"/>
    <col min="7959" max="8196" width="9" style="7"/>
    <col min="8197" max="8197" width="8.625" style="7" customWidth="1"/>
    <col min="8198" max="8198" width="19.625" style="7" customWidth="1"/>
    <col min="8199" max="8199" width="8.625" style="7" customWidth="1"/>
    <col min="8200" max="8201" width="7.625" style="7" customWidth="1"/>
    <col min="8202" max="8202" width="11.125" style="7" customWidth="1"/>
    <col min="8203" max="8211" width="8.625" style="7" customWidth="1"/>
    <col min="8212" max="8212" width="11.125" style="7" customWidth="1"/>
    <col min="8213" max="8214" width="8.625" style="7" customWidth="1"/>
    <col min="8215" max="8452" width="9" style="7"/>
    <col min="8453" max="8453" width="8.625" style="7" customWidth="1"/>
    <col min="8454" max="8454" width="19.625" style="7" customWidth="1"/>
    <col min="8455" max="8455" width="8.625" style="7" customWidth="1"/>
    <col min="8456" max="8457" width="7.625" style="7" customWidth="1"/>
    <col min="8458" max="8458" width="11.125" style="7" customWidth="1"/>
    <col min="8459" max="8467" width="8.625" style="7" customWidth="1"/>
    <col min="8468" max="8468" width="11.125" style="7" customWidth="1"/>
    <col min="8469" max="8470" width="8.625" style="7" customWidth="1"/>
    <col min="8471" max="8708" width="9" style="7"/>
    <col min="8709" max="8709" width="8.625" style="7" customWidth="1"/>
    <col min="8710" max="8710" width="19.625" style="7" customWidth="1"/>
    <col min="8711" max="8711" width="8.625" style="7" customWidth="1"/>
    <col min="8712" max="8713" width="7.625" style="7" customWidth="1"/>
    <col min="8714" max="8714" width="11.125" style="7" customWidth="1"/>
    <col min="8715" max="8723" width="8.625" style="7" customWidth="1"/>
    <col min="8724" max="8724" width="11.125" style="7" customWidth="1"/>
    <col min="8725" max="8726" width="8.625" style="7" customWidth="1"/>
    <col min="8727" max="8964" width="9" style="7"/>
    <col min="8965" max="8965" width="8.625" style="7" customWidth="1"/>
    <col min="8966" max="8966" width="19.625" style="7" customWidth="1"/>
    <col min="8967" max="8967" width="8.625" style="7" customWidth="1"/>
    <col min="8968" max="8969" width="7.625" style="7" customWidth="1"/>
    <col min="8970" max="8970" width="11.125" style="7" customWidth="1"/>
    <col min="8971" max="8979" width="8.625" style="7" customWidth="1"/>
    <col min="8980" max="8980" width="11.125" style="7" customWidth="1"/>
    <col min="8981" max="8982" width="8.625" style="7" customWidth="1"/>
    <col min="8983" max="9220" width="9" style="7"/>
    <col min="9221" max="9221" width="8.625" style="7" customWidth="1"/>
    <col min="9222" max="9222" width="19.625" style="7" customWidth="1"/>
    <col min="9223" max="9223" width="8.625" style="7" customWidth="1"/>
    <col min="9224" max="9225" width="7.625" style="7" customWidth="1"/>
    <col min="9226" max="9226" width="11.125" style="7" customWidth="1"/>
    <col min="9227" max="9235" width="8.625" style="7" customWidth="1"/>
    <col min="9236" max="9236" width="11.125" style="7" customWidth="1"/>
    <col min="9237" max="9238" width="8.625" style="7" customWidth="1"/>
    <col min="9239" max="9476" width="9" style="7"/>
    <col min="9477" max="9477" width="8.625" style="7" customWidth="1"/>
    <col min="9478" max="9478" width="19.625" style="7" customWidth="1"/>
    <col min="9479" max="9479" width="8.625" style="7" customWidth="1"/>
    <col min="9480" max="9481" width="7.625" style="7" customWidth="1"/>
    <col min="9482" max="9482" width="11.125" style="7" customWidth="1"/>
    <col min="9483" max="9491" width="8.625" style="7" customWidth="1"/>
    <col min="9492" max="9492" width="11.125" style="7" customWidth="1"/>
    <col min="9493" max="9494" width="8.625" style="7" customWidth="1"/>
    <col min="9495" max="9732" width="9" style="7"/>
    <col min="9733" max="9733" width="8.625" style="7" customWidth="1"/>
    <col min="9734" max="9734" width="19.625" style="7" customWidth="1"/>
    <col min="9735" max="9735" width="8.625" style="7" customWidth="1"/>
    <col min="9736" max="9737" width="7.625" style="7" customWidth="1"/>
    <col min="9738" max="9738" width="11.125" style="7" customWidth="1"/>
    <col min="9739" max="9747" width="8.625" style="7" customWidth="1"/>
    <col min="9748" max="9748" width="11.125" style="7" customWidth="1"/>
    <col min="9749" max="9750" width="8.625" style="7" customWidth="1"/>
    <col min="9751" max="9988" width="9" style="7"/>
    <col min="9989" max="9989" width="8.625" style="7" customWidth="1"/>
    <col min="9990" max="9990" width="19.625" style="7" customWidth="1"/>
    <col min="9991" max="9991" width="8.625" style="7" customWidth="1"/>
    <col min="9992" max="9993" width="7.625" style="7" customWidth="1"/>
    <col min="9994" max="9994" width="11.125" style="7" customWidth="1"/>
    <col min="9995" max="10003" width="8.625" style="7" customWidth="1"/>
    <col min="10004" max="10004" width="11.125" style="7" customWidth="1"/>
    <col min="10005" max="10006" width="8.625" style="7" customWidth="1"/>
    <col min="10007" max="10244" width="9" style="7"/>
    <col min="10245" max="10245" width="8.625" style="7" customWidth="1"/>
    <col min="10246" max="10246" width="19.625" style="7" customWidth="1"/>
    <col min="10247" max="10247" width="8.625" style="7" customWidth="1"/>
    <col min="10248" max="10249" width="7.625" style="7" customWidth="1"/>
    <col min="10250" max="10250" width="11.125" style="7" customWidth="1"/>
    <col min="10251" max="10259" width="8.625" style="7" customWidth="1"/>
    <col min="10260" max="10260" width="11.125" style="7" customWidth="1"/>
    <col min="10261" max="10262" width="8.625" style="7" customWidth="1"/>
    <col min="10263" max="10500" width="9" style="7"/>
    <col min="10501" max="10501" width="8.625" style="7" customWidth="1"/>
    <col min="10502" max="10502" width="19.625" style="7" customWidth="1"/>
    <col min="10503" max="10503" width="8.625" style="7" customWidth="1"/>
    <col min="10504" max="10505" width="7.625" style="7" customWidth="1"/>
    <col min="10506" max="10506" width="11.125" style="7" customWidth="1"/>
    <col min="10507" max="10515" width="8.625" style="7" customWidth="1"/>
    <col min="10516" max="10516" width="11.125" style="7" customWidth="1"/>
    <col min="10517" max="10518" width="8.625" style="7" customWidth="1"/>
    <col min="10519" max="10756" width="9" style="7"/>
    <col min="10757" max="10757" width="8.625" style="7" customWidth="1"/>
    <col min="10758" max="10758" width="19.625" style="7" customWidth="1"/>
    <col min="10759" max="10759" width="8.625" style="7" customWidth="1"/>
    <col min="10760" max="10761" width="7.625" style="7" customWidth="1"/>
    <col min="10762" max="10762" width="11.125" style="7" customWidth="1"/>
    <col min="10763" max="10771" width="8.625" style="7" customWidth="1"/>
    <col min="10772" max="10772" width="11.125" style="7" customWidth="1"/>
    <col min="10773" max="10774" width="8.625" style="7" customWidth="1"/>
    <col min="10775" max="11012" width="9" style="7"/>
    <col min="11013" max="11013" width="8.625" style="7" customWidth="1"/>
    <col min="11014" max="11014" width="19.625" style="7" customWidth="1"/>
    <col min="11015" max="11015" width="8.625" style="7" customWidth="1"/>
    <col min="11016" max="11017" width="7.625" style="7" customWidth="1"/>
    <col min="11018" max="11018" width="11.125" style="7" customWidth="1"/>
    <col min="11019" max="11027" width="8.625" style="7" customWidth="1"/>
    <col min="11028" max="11028" width="11.125" style="7" customWidth="1"/>
    <col min="11029" max="11030" width="8.625" style="7" customWidth="1"/>
    <col min="11031" max="11268" width="9" style="7"/>
    <col min="11269" max="11269" width="8.625" style="7" customWidth="1"/>
    <col min="11270" max="11270" width="19.625" style="7" customWidth="1"/>
    <col min="11271" max="11271" width="8.625" style="7" customWidth="1"/>
    <col min="11272" max="11273" width="7.625" style="7" customWidth="1"/>
    <col min="11274" max="11274" width="11.125" style="7" customWidth="1"/>
    <col min="11275" max="11283" width="8.625" style="7" customWidth="1"/>
    <col min="11284" max="11284" width="11.125" style="7" customWidth="1"/>
    <col min="11285" max="11286" width="8.625" style="7" customWidth="1"/>
    <col min="11287" max="11524" width="9" style="7"/>
    <col min="11525" max="11525" width="8.625" style="7" customWidth="1"/>
    <col min="11526" max="11526" width="19.625" style="7" customWidth="1"/>
    <col min="11527" max="11527" width="8.625" style="7" customWidth="1"/>
    <col min="11528" max="11529" width="7.625" style="7" customWidth="1"/>
    <col min="11530" max="11530" width="11.125" style="7" customWidth="1"/>
    <col min="11531" max="11539" width="8.625" style="7" customWidth="1"/>
    <col min="11540" max="11540" width="11.125" style="7" customWidth="1"/>
    <col min="11541" max="11542" width="8.625" style="7" customWidth="1"/>
    <col min="11543" max="11780" width="9" style="7"/>
    <col min="11781" max="11781" width="8.625" style="7" customWidth="1"/>
    <col min="11782" max="11782" width="19.625" style="7" customWidth="1"/>
    <col min="11783" max="11783" width="8.625" style="7" customWidth="1"/>
    <col min="11784" max="11785" width="7.625" style="7" customWidth="1"/>
    <col min="11786" max="11786" width="11.125" style="7" customWidth="1"/>
    <col min="11787" max="11795" width="8.625" style="7" customWidth="1"/>
    <col min="11796" max="11796" width="11.125" style="7" customWidth="1"/>
    <col min="11797" max="11798" width="8.625" style="7" customWidth="1"/>
    <col min="11799" max="12036" width="9" style="7"/>
    <col min="12037" max="12037" width="8.625" style="7" customWidth="1"/>
    <col min="12038" max="12038" width="19.625" style="7" customWidth="1"/>
    <col min="12039" max="12039" width="8.625" style="7" customWidth="1"/>
    <col min="12040" max="12041" width="7.625" style="7" customWidth="1"/>
    <col min="12042" max="12042" width="11.125" style="7" customWidth="1"/>
    <col min="12043" max="12051" width="8.625" style="7" customWidth="1"/>
    <col min="12052" max="12052" width="11.125" style="7" customWidth="1"/>
    <col min="12053" max="12054" width="8.625" style="7" customWidth="1"/>
    <col min="12055" max="12292" width="9" style="7"/>
    <col min="12293" max="12293" width="8.625" style="7" customWidth="1"/>
    <col min="12294" max="12294" width="19.625" style="7" customWidth="1"/>
    <col min="12295" max="12295" width="8.625" style="7" customWidth="1"/>
    <col min="12296" max="12297" width="7.625" style="7" customWidth="1"/>
    <col min="12298" max="12298" width="11.125" style="7" customWidth="1"/>
    <col min="12299" max="12307" width="8.625" style="7" customWidth="1"/>
    <col min="12308" max="12308" width="11.125" style="7" customWidth="1"/>
    <col min="12309" max="12310" width="8.625" style="7" customWidth="1"/>
    <col min="12311" max="12548" width="9" style="7"/>
    <col min="12549" max="12549" width="8.625" style="7" customWidth="1"/>
    <col min="12550" max="12550" width="19.625" style="7" customWidth="1"/>
    <col min="12551" max="12551" width="8.625" style="7" customWidth="1"/>
    <col min="12552" max="12553" width="7.625" style="7" customWidth="1"/>
    <col min="12554" max="12554" width="11.125" style="7" customWidth="1"/>
    <col min="12555" max="12563" width="8.625" style="7" customWidth="1"/>
    <col min="12564" max="12564" width="11.125" style="7" customWidth="1"/>
    <col min="12565" max="12566" width="8.625" style="7" customWidth="1"/>
    <col min="12567" max="12804" width="9" style="7"/>
    <col min="12805" max="12805" width="8.625" style="7" customWidth="1"/>
    <col min="12806" max="12806" width="19.625" style="7" customWidth="1"/>
    <col min="12807" max="12807" width="8.625" style="7" customWidth="1"/>
    <col min="12808" max="12809" width="7.625" style="7" customWidth="1"/>
    <col min="12810" max="12810" width="11.125" style="7" customWidth="1"/>
    <col min="12811" max="12819" width="8.625" style="7" customWidth="1"/>
    <col min="12820" max="12820" width="11.125" style="7" customWidth="1"/>
    <col min="12821" max="12822" width="8.625" style="7" customWidth="1"/>
    <col min="12823" max="13060" width="9" style="7"/>
    <col min="13061" max="13061" width="8.625" style="7" customWidth="1"/>
    <col min="13062" max="13062" width="19.625" style="7" customWidth="1"/>
    <col min="13063" max="13063" width="8.625" style="7" customWidth="1"/>
    <col min="13064" max="13065" width="7.625" style="7" customWidth="1"/>
    <col min="13066" max="13066" width="11.125" style="7" customWidth="1"/>
    <col min="13067" max="13075" width="8.625" style="7" customWidth="1"/>
    <col min="13076" max="13076" width="11.125" style="7" customWidth="1"/>
    <col min="13077" max="13078" width="8.625" style="7" customWidth="1"/>
    <col min="13079" max="13316" width="9" style="7"/>
    <col min="13317" max="13317" width="8.625" style="7" customWidth="1"/>
    <col min="13318" max="13318" width="19.625" style="7" customWidth="1"/>
    <col min="13319" max="13319" width="8.625" style="7" customWidth="1"/>
    <col min="13320" max="13321" width="7.625" style="7" customWidth="1"/>
    <col min="13322" max="13322" width="11.125" style="7" customWidth="1"/>
    <col min="13323" max="13331" width="8.625" style="7" customWidth="1"/>
    <col min="13332" max="13332" width="11.125" style="7" customWidth="1"/>
    <col min="13333" max="13334" width="8.625" style="7" customWidth="1"/>
    <col min="13335" max="13572" width="9" style="7"/>
    <col min="13573" max="13573" width="8.625" style="7" customWidth="1"/>
    <col min="13574" max="13574" width="19.625" style="7" customWidth="1"/>
    <col min="13575" max="13575" width="8.625" style="7" customWidth="1"/>
    <col min="13576" max="13577" width="7.625" style="7" customWidth="1"/>
    <col min="13578" max="13578" width="11.125" style="7" customWidth="1"/>
    <col min="13579" max="13587" width="8.625" style="7" customWidth="1"/>
    <col min="13588" max="13588" width="11.125" style="7" customWidth="1"/>
    <col min="13589" max="13590" width="8.625" style="7" customWidth="1"/>
    <col min="13591" max="13828" width="9" style="7"/>
    <col min="13829" max="13829" width="8.625" style="7" customWidth="1"/>
    <col min="13830" max="13830" width="19.625" style="7" customWidth="1"/>
    <col min="13831" max="13831" width="8.625" style="7" customWidth="1"/>
    <col min="13832" max="13833" width="7.625" style="7" customWidth="1"/>
    <col min="13834" max="13834" width="11.125" style="7" customWidth="1"/>
    <col min="13835" max="13843" width="8.625" style="7" customWidth="1"/>
    <col min="13844" max="13844" width="11.125" style="7" customWidth="1"/>
    <col min="13845" max="13846" width="8.625" style="7" customWidth="1"/>
    <col min="13847" max="14084" width="9" style="7"/>
    <col min="14085" max="14085" width="8.625" style="7" customWidth="1"/>
    <col min="14086" max="14086" width="19.625" style="7" customWidth="1"/>
    <col min="14087" max="14087" width="8.625" style="7" customWidth="1"/>
    <col min="14088" max="14089" width="7.625" style="7" customWidth="1"/>
    <col min="14090" max="14090" width="11.125" style="7" customWidth="1"/>
    <col min="14091" max="14099" width="8.625" style="7" customWidth="1"/>
    <col min="14100" max="14100" width="11.125" style="7" customWidth="1"/>
    <col min="14101" max="14102" width="8.625" style="7" customWidth="1"/>
    <col min="14103" max="14340" width="9" style="7"/>
    <col min="14341" max="14341" width="8.625" style="7" customWidth="1"/>
    <col min="14342" max="14342" width="19.625" style="7" customWidth="1"/>
    <col min="14343" max="14343" width="8.625" style="7" customWidth="1"/>
    <col min="14344" max="14345" width="7.625" style="7" customWidth="1"/>
    <col min="14346" max="14346" width="11.125" style="7" customWidth="1"/>
    <col min="14347" max="14355" width="8.625" style="7" customWidth="1"/>
    <col min="14356" max="14356" width="11.125" style="7" customWidth="1"/>
    <col min="14357" max="14358" width="8.625" style="7" customWidth="1"/>
    <col min="14359" max="14596" width="9" style="7"/>
    <col min="14597" max="14597" width="8.625" style="7" customWidth="1"/>
    <col min="14598" max="14598" width="19.625" style="7" customWidth="1"/>
    <col min="14599" max="14599" width="8.625" style="7" customWidth="1"/>
    <col min="14600" max="14601" width="7.625" style="7" customWidth="1"/>
    <col min="14602" max="14602" width="11.125" style="7" customWidth="1"/>
    <col min="14603" max="14611" width="8.625" style="7" customWidth="1"/>
    <col min="14612" max="14612" width="11.125" style="7" customWidth="1"/>
    <col min="14613" max="14614" width="8.625" style="7" customWidth="1"/>
    <col min="14615" max="14852" width="9" style="7"/>
    <col min="14853" max="14853" width="8.625" style="7" customWidth="1"/>
    <col min="14854" max="14854" width="19.625" style="7" customWidth="1"/>
    <col min="14855" max="14855" width="8.625" style="7" customWidth="1"/>
    <col min="14856" max="14857" width="7.625" style="7" customWidth="1"/>
    <col min="14858" max="14858" width="11.125" style="7" customWidth="1"/>
    <col min="14859" max="14867" width="8.625" style="7" customWidth="1"/>
    <col min="14868" max="14868" width="11.125" style="7" customWidth="1"/>
    <col min="14869" max="14870" width="8.625" style="7" customWidth="1"/>
    <col min="14871" max="15108" width="9" style="7"/>
    <col min="15109" max="15109" width="8.625" style="7" customWidth="1"/>
    <col min="15110" max="15110" width="19.625" style="7" customWidth="1"/>
    <col min="15111" max="15111" width="8.625" style="7" customWidth="1"/>
    <col min="15112" max="15113" width="7.625" style="7" customWidth="1"/>
    <col min="15114" max="15114" width="11.125" style="7" customWidth="1"/>
    <col min="15115" max="15123" width="8.625" style="7" customWidth="1"/>
    <col min="15124" max="15124" width="11.125" style="7" customWidth="1"/>
    <col min="15125" max="15126" width="8.625" style="7" customWidth="1"/>
    <col min="15127" max="15364" width="9" style="7"/>
    <col min="15365" max="15365" width="8.625" style="7" customWidth="1"/>
    <col min="15366" max="15366" width="19.625" style="7" customWidth="1"/>
    <col min="15367" max="15367" width="8.625" style="7" customWidth="1"/>
    <col min="15368" max="15369" width="7.625" style="7" customWidth="1"/>
    <col min="15370" max="15370" width="11.125" style="7" customWidth="1"/>
    <col min="15371" max="15379" width="8.625" style="7" customWidth="1"/>
    <col min="15380" max="15380" width="11.125" style="7" customWidth="1"/>
    <col min="15381" max="15382" width="8.625" style="7" customWidth="1"/>
    <col min="15383" max="15620" width="9" style="7"/>
    <col min="15621" max="15621" width="8.625" style="7" customWidth="1"/>
    <col min="15622" max="15622" width="19.625" style="7" customWidth="1"/>
    <col min="15623" max="15623" width="8.625" style="7" customWidth="1"/>
    <col min="15624" max="15625" width="7.625" style="7" customWidth="1"/>
    <col min="15626" max="15626" width="11.125" style="7" customWidth="1"/>
    <col min="15627" max="15635" width="8.625" style="7" customWidth="1"/>
    <col min="15636" max="15636" width="11.125" style="7" customWidth="1"/>
    <col min="15637" max="15638" width="8.625" style="7" customWidth="1"/>
    <col min="15639" max="15876" width="9" style="7"/>
    <col min="15877" max="15877" width="8.625" style="7" customWidth="1"/>
    <col min="15878" max="15878" width="19.625" style="7" customWidth="1"/>
    <col min="15879" max="15879" width="8.625" style="7" customWidth="1"/>
    <col min="15880" max="15881" width="7.625" style="7" customWidth="1"/>
    <col min="15882" max="15882" width="11.125" style="7" customWidth="1"/>
    <col min="15883" max="15891" width="8.625" style="7" customWidth="1"/>
    <col min="15892" max="15892" width="11.125" style="7" customWidth="1"/>
    <col min="15893" max="15894" width="8.625" style="7" customWidth="1"/>
    <col min="15895" max="16132" width="9" style="7"/>
    <col min="16133" max="16133" width="8.625" style="7" customWidth="1"/>
    <col min="16134" max="16134" width="19.625" style="7" customWidth="1"/>
    <col min="16135" max="16135" width="8.625" style="7" customWidth="1"/>
    <col min="16136" max="16137" width="7.625" style="7" customWidth="1"/>
    <col min="16138" max="16138" width="11.125" style="7" customWidth="1"/>
    <col min="16139" max="16147" width="8.625" style="7" customWidth="1"/>
    <col min="16148" max="16148" width="11.125" style="7" customWidth="1"/>
    <col min="16149" max="16150" width="8.625" style="7" customWidth="1"/>
    <col min="16151" max="16384" width="9" style="7"/>
  </cols>
  <sheetData>
    <row r="1" spans="1:31" s="13" customFormat="1" ht="23.1" customHeight="1">
      <c r="A1" s="219" t="s">
        <v>0</v>
      </c>
      <c r="B1" s="220"/>
      <c r="C1" s="221" t="s">
        <v>35</v>
      </c>
      <c r="D1" s="222"/>
      <c r="E1" s="222"/>
      <c r="F1" s="222"/>
      <c r="G1" s="222"/>
      <c r="H1" s="223"/>
      <c r="I1" s="12" t="s">
        <v>25</v>
      </c>
      <c r="J1" s="224">
        <v>82000000</v>
      </c>
      <c r="K1" s="225"/>
      <c r="L1" s="225"/>
      <c r="M1" s="225"/>
      <c r="N1" s="225"/>
      <c r="O1" s="152"/>
      <c r="P1" s="152"/>
      <c r="Q1" s="321"/>
      <c r="R1" s="226"/>
      <c r="S1" s="227"/>
      <c r="T1" s="231" t="s">
        <v>1</v>
      </c>
      <c r="U1" s="231"/>
      <c r="V1" s="231"/>
    </row>
    <row r="2" spans="1:31" s="13" customFormat="1" ht="23.1" customHeight="1">
      <c r="A2" s="232" t="s">
        <v>26</v>
      </c>
      <c r="B2" s="233"/>
      <c r="C2" s="234" t="s">
        <v>36</v>
      </c>
      <c r="D2" s="235"/>
      <c r="E2" s="235"/>
      <c r="F2" s="235"/>
      <c r="G2" s="235"/>
      <c r="H2" s="236"/>
      <c r="I2" s="14" t="s">
        <v>27</v>
      </c>
      <c r="J2" s="237">
        <v>5634000</v>
      </c>
      <c r="K2" s="238"/>
      <c r="L2" s="238"/>
      <c r="M2" s="238"/>
      <c r="N2" s="238"/>
      <c r="O2" s="153"/>
      <c r="P2" s="153"/>
      <c r="Q2" s="322"/>
      <c r="R2" s="210"/>
      <c r="S2" s="228"/>
      <c r="T2" s="252">
        <v>45903</v>
      </c>
      <c r="U2" s="253"/>
      <c r="V2" s="254"/>
    </row>
    <row r="3" spans="1:31" s="13" customFormat="1" ht="23.1" customHeight="1" thickBot="1">
      <c r="A3" s="241" t="s">
        <v>2</v>
      </c>
      <c r="B3" s="242"/>
      <c r="C3" s="243">
        <f>J1-G137</f>
        <v>7049410</v>
      </c>
      <c r="D3" s="244"/>
      <c r="E3" s="244"/>
      <c r="F3" s="244"/>
      <c r="G3" s="244"/>
      <c r="H3" s="245"/>
      <c r="I3" s="15" t="s">
        <v>3</v>
      </c>
      <c r="J3" s="246">
        <f>SUM(J1:Q2)</f>
        <v>87634000</v>
      </c>
      <c r="K3" s="247"/>
      <c r="L3" s="247"/>
      <c r="M3" s="247"/>
      <c r="N3" s="247"/>
      <c r="O3" s="154"/>
      <c r="P3" s="154"/>
      <c r="Q3" s="323"/>
      <c r="R3" s="210"/>
      <c r="S3" s="228"/>
      <c r="T3" s="255"/>
      <c r="U3" s="256"/>
      <c r="V3" s="257"/>
    </row>
    <row r="4" spans="1:31" s="13" customFormat="1" ht="23.1" customHeight="1" thickBot="1">
      <c r="A4" s="248" t="s">
        <v>4</v>
      </c>
      <c r="B4" s="248"/>
      <c r="C4" s="249">
        <v>8.5999999999999993E-2</v>
      </c>
      <c r="D4" s="249"/>
      <c r="E4" s="250"/>
      <c r="F4" s="250"/>
      <c r="G4" s="250" t="s">
        <v>5</v>
      </c>
      <c r="H4" s="250"/>
      <c r="I4" s="16">
        <f>J3-I137</f>
        <v>1658680</v>
      </c>
      <c r="J4" s="209"/>
      <c r="K4" s="251"/>
      <c r="L4" s="251"/>
      <c r="M4" s="251"/>
      <c r="N4" s="251"/>
      <c r="O4" s="251"/>
      <c r="P4" s="251"/>
      <c r="Q4" s="251"/>
      <c r="R4" s="332"/>
      <c r="S4" s="334"/>
      <c r="T4" s="335"/>
      <c r="U4" s="336"/>
      <c r="V4" s="337"/>
    </row>
    <row r="5" spans="1:31" s="13" customFormat="1" ht="18" customHeight="1" thickBot="1">
      <c r="A5" s="199" t="s">
        <v>6</v>
      </c>
      <c r="B5" s="199"/>
      <c r="C5" s="201" t="s">
        <v>28</v>
      </c>
      <c r="D5" s="203" t="s">
        <v>29</v>
      </c>
      <c r="E5" s="205" t="s">
        <v>23</v>
      </c>
      <c r="F5" s="206"/>
      <c r="G5" s="205" t="s">
        <v>30</v>
      </c>
      <c r="H5" s="206"/>
      <c r="I5" s="216" t="s">
        <v>31</v>
      </c>
      <c r="J5" s="316">
        <v>2025</v>
      </c>
      <c r="K5" s="17"/>
      <c r="L5" s="17"/>
      <c r="M5" s="17"/>
      <c r="N5" s="17"/>
      <c r="O5" s="17"/>
      <c r="P5" s="17"/>
      <c r="Q5" s="318"/>
      <c r="R5" s="331" t="s">
        <v>7</v>
      </c>
      <c r="S5" s="333" t="s">
        <v>8</v>
      </c>
      <c r="T5" s="197" t="s">
        <v>9</v>
      </c>
      <c r="U5" s="212" t="s">
        <v>10</v>
      </c>
      <c r="V5" s="213" t="s">
        <v>11</v>
      </c>
      <c r="X5" s="326">
        <v>2025</v>
      </c>
      <c r="Y5" s="17"/>
      <c r="Z5" s="17"/>
      <c r="AA5" s="17"/>
      <c r="AB5" s="17"/>
      <c r="AC5" s="17"/>
      <c r="AD5" s="17"/>
      <c r="AE5" s="318"/>
    </row>
    <row r="6" spans="1:31" s="13" customFormat="1" ht="44.25" customHeight="1" thickBot="1">
      <c r="A6" s="263"/>
      <c r="B6" s="263"/>
      <c r="C6" s="264"/>
      <c r="D6" s="265"/>
      <c r="E6" s="266"/>
      <c r="F6" s="267"/>
      <c r="G6" s="266"/>
      <c r="H6" s="267"/>
      <c r="I6" s="268"/>
      <c r="J6" s="317" t="s">
        <v>136</v>
      </c>
      <c r="K6" s="317" t="s">
        <v>137</v>
      </c>
      <c r="L6" s="317" t="s">
        <v>138</v>
      </c>
      <c r="M6" s="317" t="s">
        <v>139</v>
      </c>
      <c r="N6" s="317" t="s">
        <v>140</v>
      </c>
      <c r="O6" s="317" t="s">
        <v>141</v>
      </c>
      <c r="P6" s="317" t="s">
        <v>142</v>
      </c>
      <c r="Q6" s="317" t="s">
        <v>143</v>
      </c>
      <c r="R6" s="319"/>
      <c r="S6" s="320"/>
      <c r="T6" s="198"/>
      <c r="U6" s="212"/>
      <c r="V6" s="213"/>
      <c r="X6" s="327" t="s">
        <v>136</v>
      </c>
      <c r="Y6" s="325" t="s">
        <v>137</v>
      </c>
      <c r="Z6" s="317" t="s">
        <v>138</v>
      </c>
      <c r="AA6" s="317" t="s">
        <v>139</v>
      </c>
      <c r="AB6" s="317" t="s">
        <v>140</v>
      </c>
      <c r="AC6" s="317" t="s">
        <v>141</v>
      </c>
      <c r="AD6" s="317" t="s">
        <v>142</v>
      </c>
      <c r="AE6" s="317" t="s">
        <v>143</v>
      </c>
    </row>
    <row r="7" spans="1:31" ht="18.95" customHeight="1" thickTop="1">
      <c r="A7" s="311" t="s">
        <v>37</v>
      </c>
      <c r="B7" s="269" t="s">
        <v>38</v>
      </c>
      <c r="C7" s="155" t="s">
        <v>39</v>
      </c>
      <c r="D7" s="270" t="s">
        <v>40</v>
      </c>
      <c r="E7" s="271">
        <v>450000</v>
      </c>
      <c r="F7" s="192"/>
      <c r="G7" s="271">
        <v>800000</v>
      </c>
      <c r="H7" s="192"/>
      <c r="I7" s="272">
        <v>800000</v>
      </c>
      <c r="J7" s="273">
        <v>0</v>
      </c>
      <c r="K7" s="273">
        <v>0</v>
      </c>
      <c r="L7" s="273">
        <v>300000</v>
      </c>
      <c r="M7" s="273">
        <v>210000</v>
      </c>
      <c r="N7" s="273">
        <v>0</v>
      </c>
      <c r="O7" s="273">
        <v>0</v>
      </c>
      <c r="P7" s="273">
        <v>0</v>
      </c>
      <c r="Q7" s="273">
        <v>0</v>
      </c>
      <c r="R7" s="274">
        <f>SUM(J7:Q7)</f>
        <v>510000</v>
      </c>
      <c r="S7" s="275">
        <f>I7-R7</f>
        <v>290000</v>
      </c>
      <c r="T7" s="276">
        <f>G7-I7</f>
        <v>0</v>
      </c>
      <c r="U7" s="277">
        <v>0</v>
      </c>
      <c r="V7" s="278" t="e">
        <f>R7/U7</f>
        <v>#DIV/0!</v>
      </c>
      <c r="X7" s="328"/>
      <c r="Y7" s="273"/>
      <c r="Z7" s="273"/>
      <c r="AA7" s="273"/>
      <c r="AB7" s="273"/>
      <c r="AC7" s="273"/>
      <c r="AD7" s="273"/>
      <c r="AE7" s="273"/>
    </row>
    <row r="8" spans="1:31" ht="18.95" customHeight="1">
      <c r="A8" s="312"/>
      <c r="B8" s="279" t="s">
        <v>41</v>
      </c>
      <c r="C8" s="280" t="s">
        <v>42</v>
      </c>
      <c r="D8" s="281" t="s">
        <v>43</v>
      </c>
      <c r="E8" s="282">
        <v>0</v>
      </c>
      <c r="F8" s="283"/>
      <c r="G8" s="282">
        <v>1925000</v>
      </c>
      <c r="H8" s="283"/>
      <c r="I8" s="284">
        <v>1137500</v>
      </c>
      <c r="J8" s="285">
        <v>0</v>
      </c>
      <c r="K8" s="285">
        <v>0</v>
      </c>
      <c r="L8" s="285">
        <v>0</v>
      </c>
      <c r="M8" s="285">
        <v>0</v>
      </c>
      <c r="N8" s="285">
        <v>0</v>
      </c>
      <c r="O8" s="285">
        <v>0</v>
      </c>
      <c r="P8" s="285">
        <v>0</v>
      </c>
      <c r="Q8" s="285">
        <v>0</v>
      </c>
      <c r="R8" s="286">
        <f>SUM(J8:Q8)</f>
        <v>0</v>
      </c>
      <c r="S8" s="287">
        <f>I8-R8</f>
        <v>1137500</v>
      </c>
      <c r="T8" s="288">
        <f>G8-I8</f>
        <v>787500</v>
      </c>
      <c r="U8" s="289">
        <v>0</v>
      </c>
      <c r="V8" s="290" t="e">
        <f t="shared" ref="V8:V71" si="0">R8/U8</f>
        <v>#DIV/0!</v>
      </c>
      <c r="X8" s="329"/>
      <c r="Y8" s="285"/>
      <c r="Z8" s="285"/>
      <c r="AA8" s="285"/>
      <c r="AB8" s="285"/>
      <c r="AC8" s="285"/>
      <c r="AD8" s="285"/>
      <c r="AE8" s="285"/>
    </row>
    <row r="9" spans="1:31" ht="18.95" customHeight="1">
      <c r="A9" s="312"/>
      <c r="B9" s="279" t="s">
        <v>44</v>
      </c>
      <c r="C9" s="280" t="s">
        <v>45</v>
      </c>
      <c r="D9" s="281" t="s">
        <v>43</v>
      </c>
      <c r="E9" s="282">
        <v>0</v>
      </c>
      <c r="F9" s="283"/>
      <c r="G9" s="282">
        <v>0</v>
      </c>
      <c r="H9" s="283"/>
      <c r="I9" s="284">
        <v>0</v>
      </c>
      <c r="J9" s="285">
        <v>0</v>
      </c>
      <c r="K9" s="285">
        <v>18400</v>
      </c>
      <c r="L9" s="285">
        <v>0</v>
      </c>
      <c r="M9" s="285">
        <v>0</v>
      </c>
      <c r="N9" s="285">
        <v>0</v>
      </c>
      <c r="O9" s="285">
        <v>0</v>
      </c>
      <c r="P9" s="285">
        <v>0</v>
      </c>
      <c r="Q9" s="285">
        <v>0</v>
      </c>
      <c r="R9" s="286">
        <f>SUM(J9:Q9)</f>
        <v>18400</v>
      </c>
      <c r="S9" s="287">
        <f>I9-R9</f>
        <v>-18400</v>
      </c>
      <c r="T9" s="288">
        <f>G9-I9</f>
        <v>0</v>
      </c>
      <c r="U9" s="289">
        <v>0</v>
      </c>
      <c r="V9" s="290" t="e">
        <f t="shared" si="0"/>
        <v>#DIV/0!</v>
      </c>
      <c r="X9" s="329"/>
      <c r="Y9" s="285"/>
      <c r="Z9" s="285"/>
      <c r="AA9" s="285"/>
      <c r="AB9" s="285"/>
      <c r="AC9" s="285"/>
      <c r="AD9" s="285"/>
      <c r="AE9" s="285"/>
    </row>
    <row r="10" spans="1:31" ht="18.95" customHeight="1">
      <c r="A10" s="312"/>
      <c r="B10" s="279" t="s">
        <v>46</v>
      </c>
      <c r="C10" s="280" t="s">
        <v>47</v>
      </c>
      <c r="D10" s="281" t="s">
        <v>48</v>
      </c>
      <c r="E10" s="282">
        <v>400000</v>
      </c>
      <c r="F10" s="283"/>
      <c r="G10" s="282">
        <v>400000</v>
      </c>
      <c r="H10" s="283"/>
      <c r="I10" s="284">
        <v>400000</v>
      </c>
      <c r="J10" s="285">
        <v>0</v>
      </c>
      <c r="K10" s="285">
        <v>0</v>
      </c>
      <c r="L10" s="285">
        <v>0</v>
      </c>
      <c r="M10" s="285">
        <v>216000</v>
      </c>
      <c r="N10" s="285">
        <v>0</v>
      </c>
      <c r="O10" s="285">
        <v>0</v>
      </c>
      <c r="P10" s="285">
        <v>0</v>
      </c>
      <c r="Q10" s="285">
        <v>0</v>
      </c>
      <c r="R10" s="286">
        <f>SUM(J10:Q10)</f>
        <v>216000</v>
      </c>
      <c r="S10" s="287">
        <f>I10-R10</f>
        <v>184000</v>
      </c>
      <c r="T10" s="288">
        <f>G10-I10</f>
        <v>0</v>
      </c>
      <c r="U10" s="289">
        <v>0</v>
      </c>
      <c r="V10" s="290" t="e">
        <f t="shared" si="0"/>
        <v>#DIV/0!</v>
      </c>
      <c r="X10" s="329"/>
      <c r="Y10" s="285"/>
      <c r="Z10" s="285"/>
      <c r="AA10" s="285"/>
      <c r="AB10" s="285"/>
      <c r="AC10" s="285"/>
      <c r="AD10" s="285"/>
      <c r="AE10" s="285"/>
    </row>
    <row r="11" spans="1:31" ht="18.95" customHeight="1">
      <c r="A11" s="312"/>
      <c r="B11" s="279" t="s">
        <v>49</v>
      </c>
      <c r="C11" s="280" t="s">
        <v>50</v>
      </c>
      <c r="D11" s="281" t="s">
        <v>43</v>
      </c>
      <c r="E11" s="282">
        <v>0</v>
      </c>
      <c r="F11" s="283"/>
      <c r="G11" s="282">
        <v>0</v>
      </c>
      <c r="H11" s="283"/>
      <c r="I11" s="284">
        <v>0</v>
      </c>
      <c r="J11" s="285">
        <v>0</v>
      </c>
      <c r="K11" s="285">
        <v>0</v>
      </c>
      <c r="L11" s="285">
        <v>0</v>
      </c>
      <c r="M11" s="285">
        <v>105000</v>
      </c>
      <c r="N11" s="285">
        <v>174500</v>
      </c>
      <c r="O11" s="285">
        <v>45000</v>
      </c>
      <c r="P11" s="285">
        <v>0</v>
      </c>
      <c r="Q11" s="285">
        <v>0</v>
      </c>
      <c r="R11" s="286">
        <f>SUM(J11:Q11)</f>
        <v>324500</v>
      </c>
      <c r="S11" s="287">
        <f>I11-R11</f>
        <v>-324500</v>
      </c>
      <c r="T11" s="288">
        <f>G11-I11</f>
        <v>0</v>
      </c>
      <c r="U11" s="289">
        <v>0</v>
      </c>
      <c r="V11" s="290" t="e">
        <f t="shared" si="0"/>
        <v>#DIV/0!</v>
      </c>
      <c r="X11" s="329"/>
      <c r="Y11" s="285"/>
      <c r="Z11" s="285"/>
      <c r="AA11" s="285"/>
      <c r="AB11" s="285"/>
      <c r="AC11" s="285"/>
      <c r="AD11" s="285"/>
      <c r="AE11" s="285"/>
    </row>
    <row r="12" spans="1:31" ht="18.95" customHeight="1">
      <c r="A12" s="312"/>
      <c r="B12" s="279" t="s">
        <v>51</v>
      </c>
      <c r="C12" s="280" t="s">
        <v>45</v>
      </c>
      <c r="D12" s="281" t="s">
        <v>43</v>
      </c>
      <c r="E12" s="282">
        <v>0</v>
      </c>
      <c r="F12" s="283"/>
      <c r="G12" s="282">
        <v>0</v>
      </c>
      <c r="H12" s="283"/>
      <c r="I12" s="284">
        <v>0</v>
      </c>
      <c r="J12" s="285">
        <v>0</v>
      </c>
      <c r="K12" s="285">
        <v>0</v>
      </c>
      <c r="L12" s="285">
        <v>29200</v>
      </c>
      <c r="M12" s="285">
        <v>0</v>
      </c>
      <c r="N12" s="285">
        <v>0</v>
      </c>
      <c r="O12" s="285">
        <v>0</v>
      </c>
      <c r="P12" s="285">
        <v>0</v>
      </c>
      <c r="Q12" s="285">
        <v>0</v>
      </c>
      <c r="R12" s="286">
        <f>SUM(J12:Q12)</f>
        <v>29200</v>
      </c>
      <c r="S12" s="287">
        <f>I12-R12</f>
        <v>-29200</v>
      </c>
      <c r="T12" s="288">
        <f>G12-I12</f>
        <v>0</v>
      </c>
      <c r="U12" s="289">
        <v>0</v>
      </c>
      <c r="V12" s="290" t="e">
        <f t="shared" si="0"/>
        <v>#DIV/0!</v>
      </c>
      <c r="X12" s="329"/>
      <c r="Y12" s="285"/>
      <c r="Z12" s="285"/>
      <c r="AA12" s="285"/>
      <c r="AB12" s="285"/>
      <c r="AC12" s="285"/>
      <c r="AD12" s="285"/>
      <c r="AE12" s="285"/>
    </row>
    <row r="13" spans="1:31" ht="18.95" customHeight="1">
      <c r="A13" s="312"/>
      <c r="B13" s="279" t="s">
        <v>52</v>
      </c>
      <c r="C13" s="280" t="s">
        <v>50</v>
      </c>
      <c r="D13" s="281" t="s">
        <v>43</v>
      </c>
      <c r="E13" s="282">
        <v>0</v>
      </c>
      <c r="F13" s="283"/>
      <c r="G13" s="282">
        <v>0</v>
      </c>
      <c r="H13" s="283"/>
      <c r="I13" s="284">
        <v>0</v>
      </c>
      <c r="J13" s="285">
        <v>0</v>
      </c>
      <c r="K13" s="285">
        <v>0</v>
      </c>
      <c r="L13" s="285">
        <v>0</v>
      </c>
      <c r="M13" s="285">
        <v>0</v>
      </c>
      <c r="N13" s="285">
        <v>1325</v>
      </c>
      <c r="O13" s="285">
        <v>0</v>
      </c>
      <c r="P13" s="285">
        <v>0</v>
      </c>
      <c r="Q13" s="285">
        <v>0</v>
      </c>
      <c r="R13" s="286">
        <f>SUM(J13:Q13)</f>
        <v>1325</v>
      </c>
      <c r="S13" s="287">
        <f>I13-R13</f>
        <v>-1325</v>
      </c>
      <c r="T13" s="288">
        <f>G13-I13</f>
        <v>0</v>
      </c>
      <c r="U13" s="289">
        <v>0</v>
      </c>
      <c r="V13" s="290" t="e">
        <f t="shared" si="0"/>
        <v>#DIV/0!</v>
      </c>
      <c r="X13" s="329"/>
      <c r="Y13" s="285"/>
      <c r="Z13" s="285"/>
      <c r="AA13" s="285"/>
      <c r="AB13" s="285"/>
      <c r="AC13" s="285"/>
      <c r="AD13" s="285"/>
      <c r="AE13" s="285"/>
    </row>
    <row r="14" spans="1:31" ht="18.95" customHeight="1">
      <c r="A14" s="312"/>
      <c r="B14" s="279" t="s">
        <v>53</v>
      </c>
      <c r="C14" s="280" t="s">
        <v>45</v>
      </c>
      <c r="D14" s="281" t="s">
        <v>43</v>
      </c>
      <c r="E14" s="282">
        <v>0</v>
      </c>
      <c r="F14" s="283"/>
      <c r="G14" s="282">
        <v>0</v>
      </c>
      <c r="H14" s="283"/>
      <c r="I14" s="284">
        <v>0</v>
      </c>
      <c r="J14" s="285">
        <v>0</v>
      </c>
      <c r="K14" s="285">
        <v>0</v>
      </c>
      <c r="L14" s="285">
        <v>32465</v>
      </c>
      <c r="M14" s="285">
        <v>0</v>
      </c>
      <c r="N14" s="285">
        <v>0</v>
      </c>
      <c r="O14" s="285">
        <v>0</v>
      </c>
      <c r="P14" s="285">
        <v>0</v>
      </c>
      <c r="Q14" s="285">
        <v>0</v>
      </c>
      <c r="R14" s="286">
        <f>SUM(J14:Q14)</f>
        <v>32465</v>
      </c>
      <c r="S14" s="287">
        <f>I14-R14</f>
        <v>-32465</v>
      </c>
      <c r="T14" s="288">
        <f>G14-I14</f>
        <v>0</v>
      </c>
      <c r="U14" s="289">
        <v>0</v>
      </c>
      <c r="V14" s="290" t="e">
        <f t="shared" si="0"/>
        <v>#DIV/0!</v>
      </c>
      <c r="X14" s="329"/>
      <c r="Y14" s="285"/>
      <c r="Z14" s="285"/>
      <c r="AA14" s="285"/>
      <c r="AB14" s="285"/>
      <c r="AC14" s="285"/>
      <c r="AD14" s="285"/>
      <c r="AE14" s="285"/>
    </row>
    <row r="15" spans="1:31" ht="18.95" customHeight="1">
      <c r="A15" s="312"/>
      <c r="B15" s="279" t="s">
        <v>54</v>
      </c>
      <c r="C15" s="280" t="s">
        <v>42</v>
      </c>
      <c r="D15" s="281" t="s">
        <v>43</v>
      </c>
      <c r="E15" s="282">
        <v>250000</v>
      </c>
      <c r="F15" s="283"/>
      <c r="G15" s="282">
        <v>250000</v>
      </c>
      <c r="H15" s="283"/>
      <c r="I15" s="284">
        <v>250000</v>
      </c>
      <c r="J15" s="285">
        <v>0</v>
      </c>
      <c r="K15" s="285">
        <v>0</v>
      </c>
      <c r="L15" s="285">
        <v>143000</v>
      </c>
      <c r="M15" s="285">
        <v>0</v>
      </c>
      <c r="N15" s="285">
        <v>0</v>
      </c>
      <c r="O15" s="285">
        <v>0</v>
      </c>
      <c r="P15" s="285">
        <v>0</v>
      </c>
      <c r="Q15" s="285">
        <v>0</v>
      </c>
      <c r="R15" s="286">
        <f>SUM(J15:Q15)</f>
        <v>143000</v>
      </c>
      <c r="S15" s="287">
        <f>I15-R15</f>
        <v>107000</v>
      </c>
      <c r="T15" s="288">
        <f>G15-I15</f>
        <v>0</v>
      </c>
      <c r="U15" s="289">
        <v>0</v>
      </c>
      <c r="V15" s="290" t="e">
        <f t="shared" si="0"/>
        <v>#DIV/0!</v>
      </c>
      <c r="X15" s="329"/>
      <c r="Y15" s="285"/>
      <c r="Z15" s="285"/>
      <c r="AA15" s="285"/>
      <c r="AB15" s="285"/>
      <c r="AC15" s="285"/>
      <c r="AD15" s="285"/>
      <c r="AE15" s="285"/>
    </row>
    <row r="16" spans="1:31" ht="18.95" customHeight="1">
      <c r="A16" s="312"/>
      <c r="B16" s="279" t="s">
        <v>55</v>
      </c>
      <c r="C16" s="280" t="s">
        <v>45</v>
      </c>
      <c r="D16" s="281" t="s">
        <v>43</v>
      </c>
      <c r="E16" s="282">
        <v>0</v>
      </c>
      <c r="F16" s="283"/>
      <c r="G16" s="282">
        <v>0</v>
      </c>
      <c r="H16" s="283"/>
      <c r="I16" s="284">
        <v>0</v>
      </c>
      <c r="J16" s="285">
        <v>0</v>
      </c>
      <c r="K16" s="285">
        <v>0</v>
      </c>
      <c r="L16" s="285">
        <v>37200</v>
      </c>
      <c r="M16" s="285">
        <v>58270</v>
      </c>
      <c r="N16" s="285">
        <v>0</v>
      </c>
      <c r="O16" s="285">
        <v>0</v>
      </c>
      <c r="P16" s="285">
        <v>0</v>
      </c>
      <c r="Q16" s="285">
        <v>0</v>
      </c>
      <c r="R16" s="286">
        <f>SUM(J16:Q16)</f>
        <v>95470</v>
      </c>
      <c r="S16" s="287">
        <f>I16-R16</f>
        <v>-95470</v>
      </c>
      <c r="T16" s="288">
        <f>G16-I16</f>
        <v>0</v>
      </c>
      <c r="U16" s="289">
        <v>0</v>
      </c>
      <c r="V16" s="290" t="e">
        <f t="shared" si="0"/>
        <v>#DIV/0!</v>
      </c>
      <c r="X16" s="329"/>
      <c r="Y16" s="285"/>
      <c r="Z16" s="285"/>
      <c r="AA16" s="285"/>
      <c r="AB16" s="285"/>
      <c r="AC16" s="285"/>
      <c r="AD16" s="285"/>
      <c r="AE16" s="285"/>
    </row>
    <row r="17" spans="1:31" ht="18.95" customHeight="1">
      <c r="A17" s="312"/>
      <c r="B17" s="279" t="s">
        <v>56</v>
      </c>
      <c r="C17" s="280" t="s">
        <v>57</v>
      </c>
      <c r="D17" s="281" t="s">
        <v>43</v>
      </c>
      <c r="E17" s="282">
        <v>0</v>
      </c>
      <c r="F17" s="283"/>
      <c r="G17" s="282">
        <v>0</v>
      </c>
      <c r="H17" s="283"/>
      <c r="I17" s="284">
        <v>0</v>
      </c>
      <c r="J17" s="285">
        <v>199000</v>
      </c>
      <c r="K17" s="285">
        <v>8000</v>
      </c>
      <c r="L17" s="285">
        <v>0</v>
      </c>
      <c r="M17" s="285">
        <v>0</v>
      </c>
      <c r="N17" s="285">
        <v>0</v>
      </c>
      <c r="O17" s="285">
        <v>0</v>
      </c>
      <c r="P17" s="285">
        <v>0</v>
      </c>
      <c r="Q17" s="285">
        <v>0</v>
      </c>
      <c r="R17" s="286">
        <f>SUM(J17:Q17)</f>
        <v>207000</v>
      </c>
      <c r="S17" s="287">
        <f>I17-R17</f>
        <v>-207000</v>
      </c>
      <c r="T17" s="288">
        <f>G17-I17</f>
        <v>0</v>
      </c>
      <c r="U17" s="289">
        <v>0</v>
      </c>
      <c r="V17" s="290" t="e">
        <f t="shared" si="0"/>
        <v>#DIV/0!</v>
      </c>
      <c r="X17" s="329"/>
      <c r="Y17" s="285"/>
      <c r="Z17" s="285"/>
      <c r="AA17" s="285"/>
      <c r="AB17" s="285"/>
      <c r="AC17" s="285"/>
      <c r="AD17" s="285"/>
      <c r="AE17" s="285"/>
    </row>
    <row r="18" spans="1:31" ht="18.95" customHeight="1">
      <c r="A18" s="312"/>
      <c r="B18" s="279" t="s">
        <v>58</v>
      </c>
      <c r="C18" s="280" t="s">
        <v>57</v>
      </c>
      <c r="D18" s="281" t="s">
        <v>43</v>
      </c>
      <c r="E18" s="282">
        <v>0</v>
      </c>
      <c r="F18" s="283"/>
      <c r="G18" s="282">
        <v>100000</v>
      </c>
      <c r="H18" s="283"/>
      <c r="I18" s="284">
        <v>195800</v>
      </c>
      <c r="J18" s="285">
        <v>0</v>
      </c>
      <c r="K18" s="285">
        <v>0</v>
      </c>
      <c r="L18" s="285">
        <v>103800</v>
      </c>
      <c r="M18" s="285">
        <v>32000</v>
      </c>
      <c r="N18" s="285">
        <v>20000</v>
      </c>
      <c r="O18" s="285">
        <v>20000</v>
      </c>
      <c r="P18" s="285">
        <v>0</v>
      </c>
      <c r="Q18" s="285">
        <v>0</v>
      </c>
      <c r="R18" s="286">
        <f>SUM(J18:Q18)</f>
        <v>175800</v>
      </c>
      <c r="S18" s="287">
        <f>I18-R18</f>
        <v>20000</v>
      </c>
      <c r="T18" s="288">
        <f>G18-I18</f>
        <v>-95800</v>
      </c>
      <c r="U18" s="289">
        <v>0</v>
      </c>
      <c r="V18" s="290" t="e">
        <f t="shared" si="0"/>
        <v>#DIV/0!</v>
      </c>
      <c r="X18" s="329"/>
      <c r="Y18" s="285"/>
      <c r="Z18" s="285"/>
      <c r="AA18" s="285"/>
      <c r="AB18" s="285"/>
      <c r="AC18" s="285"/>
      <c r="AD18" s="285"/>
      <c r="AE18" s="285"/>
    </row>
    <row r="19" spans="1:31" ht="18.95" customHeight="1">
      <c r="A19" s="312"/>
      <c r="B19" s="279" t="s">
        <v>59</v>
      </c>
      <c r="C19" s="280" t="s">
        <v>42</v>
      </c>
      <c r="D19" s="281" t="s">
        <v>43</v>
      </c>
      <c r="E19" s="282">
        <v>0</v>
      </c>
      <c r="F19" s="283"/>
      <c r="G19" s="282">
        <v>0</v>
      </c>
      <c r="H19" s="283"/>
      <c r="I19" s="284">
        <v>0</v>
      </c>
      <c r="J19" s="285">
        <v>0</v>
      </c>
      <c r="K19" s="285">
        <v>0</v>
      </c>
      <c r="L19" s="285">
        <v>558700</v>
      </c>
      <c r="M19" s="285">
        <v>409250</v>
      </c>
      <c r="N19" s="285">
        <v>130200</v>
      </c>
      <c r="O19" s="285">
        <v>105000</v>
      </c>
      <c r="P19" s="285">
        <v>0</v>
      </c>
      <c r="Q19" s="285">
        <v>0</v>
      </c>
      <c r="R19" s="286">
        <f>SUM(J19:Q19)</f>
        <v>1203150</v>
      </c>
      <c r="S19" s="287">
        <f>I19-R19</f>
        <v>-1203150</v>
      </c>
      <c r="T19" s="288">
        <f>G19-I19</f>
        <v>0</v>
      </c>
      <c r="U19" s="289">
        <v>0</v>
      </c>
      <c r="V19" s="290" t="e">
        <f t="shared" si="0"/>
        <v>#DIV/0!</v>
      </c>
      <c r="X19" s="329"/>
      <c r="Y19" s="285"/>
      <c r="Z19" s="285"/>
      <c r="AA19" s="285"/>
      <c r="AB19" s="285"/>
      <c r="AC19" s="285"/>
      <c r="AD19" s="285"/>
      <c r="AE19" s="285"/>
    </row>
    <row r="20" spans="1:31" ht="18.95" customHeight="1">
      <c r="A20" s="312"/>
      <c r="B20" s="279" t="s">
        <v>60</v>
      </c>
      <c r="C20" s="280" t="s">
        <v>39</v>
      </c>
      <c r="D20" s="281" t="s">
        <v>43</v>
      </c>
      <c r="E20" s="282">
        <v>0</v>
      </c>
      <c r="F20" s="283"/>
      <c r="G20" s="282">
        <v>0</v>
      </c>
      <c r="H20" s="283"/>
      <c r="I20" s="284">
        <v>0</v>
      </c>
      <c r="J20" s="285">
        <v>0</v>
      </c>
      <c r="K20" s="285">
        <v>0</v>
      </c>
      <c r="L20" s="285">
        <v>22000</v>
      </c>
      <c r="M20" s="285">
        <v>0</v>
      </c>
      <c r="N20" s="285">
        <v>0</v>
      </c>
      <c r="O20" s="285">
        <v>0</v>
      </c>
      <c r="P20" s="285">
        <v>0</v>
      </c>
      <c r="Q20" s="285">
        <v>0</v>
      </c>
      <c r="R20" s="286">
        <f>SUM(J20:Q20)</f>
        <v>22000</v>
      </c>
      <c r="S20" s="287">
        <f>I20-R20</f>
        <v>-22000</v>
      </c>
      <c r="T20" s="288">
        <f>G20-I20</f>
        <v>0</v>
      </c>
      <c r="U20" s="289">
        <v>0</v>
      </c>
      <c r="V20" s="290" t="e">
        <f t="shared" si="0"/>
        <v>#DIV/0!</v>
      </c>
      <c r="X20" s="329"/>
      <c r="Y20" s="285"/>
      <c r="Z20" s="285"/>
      <c r="AA20" s="285"/>
      <c r="AB20" s="285"/>
      <c r="AC20" s="285"/>
      <c r="AD20" s="285"/>
      <c r="AE20" s="285"/>
    </row>
    <row r="21" spans="1:31" ht="18.95" customHeight="1">
      <c r="A21" s="312"/>
      <c r="B21" s="279" t="s">
        <v>61</v>
      </c>
      <c r="C21" s="280" t="s">
        <v>57</v>
      </c>
      <c r="D21" s="281" t="s">
        <v>62</v>
      </c>
      <c r="E21" s="282">
        <v>530000</v>
      </c>
      <c r="F21" s="283"/>
      <c r="G21" s="282">
        <v>650000</v>
      </c>
      <c r="H21" s="283"/>
      <c r="I21" s="284">
        <v>650000</v>
      </c>
      <c r="J21" s="285">
        <v>0</v>
      </c>
      <c r="K21" s="285">
        <v>0</v>
      </c>
      <c r="L21" s="285">
        <v>351000</v>
      </c>
      <c r="M21" s="285">
        <v>0</v>
      </c>
      <c r="N21" s="285">
        <v>0</v>
      </c>
      <c r="O21" s="285">
        <v>0</v>
      </c>
      <c r="P21" s="285">
        <v>0</v>
      </c>
      <c r="Q21" s="285">
        <v>0</v>
      </c>
      <c r="R21" s="286">
        <f>SUM(J21:Q21)</f>
        <v>351000</v>
      </c>
      <c r="S21" s="287">
        <f>I21-R21</f>
        <v>299000</v>
      </c>
      <c r="T21" s="288">
        <f>G21-I21</f>
        <v>0</v>
      </c>
      <c r="U21" s="289">
        <v>1</v>
      </c>
      <c r="V21" s="290">
        <f t="shared" si="0"/>
        <v>351000</v>
      </c>
      <c r="X21" s="329"/>
      <c r="Y21" s="285"/>
      <c r="Z21" s="285"/>
      <c r="AA21" s="285"/>
      <c r="AB21" s="285"/>
      <c r="AC21" s="285"/>
      <c r="AD21" s="285"/>
      <c r="AE21" s="285"/>
    </row>
    <row r="22" spans="1:31" ht="18.95" customHeight="1">
      <c r="A22" s="312"/>
      <c r="B22" s="279" t="s">
        <v>61</v>
      </c>
      <c r="C22" s="280" t="s">
        <v>57</v>
      </c>
      <c r="D22" s="281" t="s">
        <v>43</v>
      </c>
      <c r="E22" s="282">
        <v>0</v>
      </c>
      <c r="F22" s="283"/>
      <c r="G22" s="282">
        <v>0</v>
      </c>
      <c r="H22" s="283"/>
      <c r="I22" s="284">
        <v>0</v>
      </c>
      <c r="J22" s="285">
        <v>0</v>
      </c>
      <c r="K22" s="285">
        <v>0</v>
      </c>
      <c r="L22" s="285">
        <v>0</v>
      </c>
      <c r="M22" s="285">
        <v>78392</v>
      </c>
      <c r="N22" s="285">
        <v>33674</v>
      </c>
      <c r="O22" s="285">
        <v>54816</v>
      </c>
      <c r="P22" s="285">
        <v>0</v>
      </c>
      <c r="Q22" s="285">
        <v>0</v>
      </c>
      <c r="R22" s="286">
        <f>SUM(J22:Q22)</f>
        <v>166882</v>
      </c>
      <c r="S22" s="287">
        <f>I22-R22</f>
        <v>-166882</v>
      </c>
      <c r="T22" s="288">
        <f>G22-I22</f>
        <v>0</v>
      </c>
      <c r="U22" s="289">
        <v>0</v>
      </c>
      <c r="V22" s="290" t="e">
        <f t="shared" si="0"/>
        <v>#DIV/0!</v>
      </c>
      <c r="X22" s="329"/>
      <c r="Y22" s="285"/>
      <c r="Z22" s="285"/>
      <c r="AA22" s="285"/>
      <c r="AB22" s="285"/>
      <c r="AC22" s="285"/>
      <c r="AD22" s="285"/>
      <c r="AE22" s="285"/>
    </row>
    <row r="23" spans="1:31" ht="18.95" customHeight="1">
      <c r="A23" s="312"/>
      <c r="B23" s="279" t="s">
        <v>63</v>
      </c>
      <c r="C23" s="280" t="s">
        <v>57</v>
      </c>
      <c r="D23" s="281" t="s">
        <v>43</v>
      </c>
      <c r="E23" s="282">
        <v>0</v>
      </c>
      <c r="F23" s="283"/>
      <c r="G23" s="282">
        <v>0</v>
      </c>
      <c r="H23" s="283"/>
      <c r="I23" s="284">
        <v>0</v>
      </c>
      <c r="J23" s="285">
        <v>0</v>
      </c>
      <c r="K23" s="285">
        <v>0</v>
      </c>
      <c r="L23" s="285">
        <v>128190</v>
      </c>
      <c r="M23" s="285">
        <v>0</v>
      </c>
      <c r="N23" s="285">
        <v>0</v>
      </c>
      <c r="O23" s="285">
        <v>0</v>
      </c>
      <c r="P23" s="285">
        <v>0</v>
      </c>
      <c r="Q23" s="285">
        <v>0</v>
      </c>
      <c r="R23" s="286">
        <f>SUM(J23:Q23)</f>
        <v>128190</v>
      </c>
      <c r="S23" s="287">
        <f>I23-R23</f>
        <v>-128190</v>
      </c>
      <c r="T23" s="288">
        <f>G23-I23</f>
        <v>0</v>
      </c>
      <c r="U23" s="289">
        <v>0</v>
      </c>
      <c r="V23" s="290" t="e">
        <f t="shared" si="0"/>
        <v>#DIV/0!</v>
      </c>
      <c r="X23" s="329"/>
      <c r="Y23" s="285"/>
      <c r="Z23" s="285"/>
      <c r="AA23" s="285"/>
      <c r="AB23" s="285"/>
      <c r="AC23" s="285"/>
      <c r="AD23" s="285"/>
      <c r="AE23" s="285"/>
    </row>
    <row r="24" spans="1:31" ht="18.95" customHeight="1">
      <c r="A24" s="312"/>
      <c r="B24" s="279"/>
      <c r="C24" s="280" t="s">
        <v>57</v>
      </c>
      <c r="D24" s="281" t="s">
        <v>43</v>
      </c>
      <c r="E24" s="282">
        <v>0</v>
      </c>
      <c r="F24" s="283"/>
      <c r="G24" s="282">
        <v>0</v>
      </c>
      <c r="H24" s="283"/>
      <c r="I24" s="284">
        <v>0</v>
      </c>
      <c r="J24" s="285">
        <v>0</v>
      </c>
      <c r="K24" s="285">
        <v>0</v>
      </c>
      <c r="L24" s="285">
        <v>0</v>
      </c>
      <c r="M24" s="285">
        <v>0</v>
      </c>
      <c r="N24" s="285">
        <v>0</v>
      </c>
      <c r="O24" s="285">
        <v>0</v>
      </c>
      <c r="P24" s="285">
        <v>0</v>
      </c>
      <c r="Q24" s="285">
        <v>0</v>
      </c>
      <c r="R24" s="286">
        <f>SUM(J24:Q24)</f>
        <v>0</v>
      </c>
      <c r="S24" s="287">
        <f>I24-R24</f>
        <v>0</v>
      </c>
      <c r="T24" s="288">
        <f>G24-I24</f>
        <v>0</v>
      </c>
      <c r="U24" s="289">
        <v>0</v>
      </c>
      <c r="V24" s="290" t="e">
        <f t="shared" si="0"/>
        <v>#DIV/0!</v>
      </c>
      <c r="X24" s="329"/>
      <c r="Y24" s="285"/>
      <c r="Z24" s="285"/>
      <c r="AA24" s="285"/>
      <c r="AB24" s="285"/>
      <c r="AC24" s="285"/>
      <c r="AD24" s="285"/>
      <c r="AE24" s="285"/>
    </row>
    <row r="25" spans="1:31" ht="18.95" customHeight="1">
      <c r="A25" s="312"/>
      <c r="B25" s="279"/>
      <c r="C25" s="280" t="s">
        <v>47</v>
      </c>
      <c r="D25" s="281" t="s">
        <v>43</v>
      </c>
      <c r="E25" s="282">
        <v>0</v>
      </c>
      <c r="F25" s="283"/>
      <c r="G25" s="282">
        <v>0</v>
      </c>
      <c r="H25" s="283"/>
      <c r="I25" s="284">
        <v>0</v>
      </c>
      <c r="J25" s="285">
        <v>0</v>
      </c>
      <c r="K25" s="285">
        <v>0</v>
      </c>
      <c r="L25" s="285">
        <v>0</v>
      </c>
      <c r="M25" s="285">
        <v>0</v>
      </c>
      <c r="N25" s="285">
        <v>0</v>
      </c>
      <c r="O25" s="285">
        <v>0</v>
      </c>
      <c r="P25" s="285">
        <v>0</v>
      </c>
      <c r="Q25" s="285">
        <v>0</v>
      </c>
      <c r="R25" s="286">
        <f>SUM(J25:Q25)</f>
        <v>0</v>
      </c>
      <c r="S25" s="287">
        <f>I25-R25</f>
        <v>0</v>
      </c>
      <c r="T25" s="288">
        <f>G25-I25</f>
        <v>0</v>
      </c>
      <c r="U25" s="289">
        <v>0</v>
      </c>
      <c r="V25" s="290" t="e">
        <f t="shared" si="0"/>
        <v>#DIV/0!</v>
      </c>
      <c r="X25" s="329"/>
      <c r="Y25" s="285"/>
      <c r="Z25" s="285"/>
      <c r="AA25" s="285"/>
      <c r="AB25" s="285"/>
      <c r="AC25" s="285"/>
      <c r="AD25" s="285"/>
      <c r="AE25" s="285"/>
    </row>
    <row r="26" spans="1:31" ht="18.95" customHeight="1">
      <c r="A26" s="312"/>
      <c r="B26" s="279"/>
      <c r="C26" s="280" t="s">
        <v>39</v>
      </c>
      <c r="D26" s="281" t="s">
        <v>43</v>
      </c>
      <c r="E26" s="282">
        <v>0</v>
      </c>
      <c r="F26" s="283"/>
      <c r="G26" s="282">
        <v>0</v>
      </c>
      <c r="H26" s="283"/>
      <c r="I26" s="284">
        <v>0</v>
      </c>
      <c r="J26" s="285">
        <v>0</v>
      </c>
      <c r="K26" s="285">
        <v>0</v>
      </c>
      <c r="L26" s="285">
        <v>0</v>
      </c>
      <c r="M26" s="285">
        <v>0</v>
      </c>
      <c r="N26" s="285">
        <v>0</v>
      </c>
      <c r="O26" s="285">
        <v>0</v>
      </c>
      <c r="P26" s="285">
        <v>0</v>
      </c>
      <c r="Q26" s="285">
        <v>0</v>
      </c>
      <c r="R26" s="286">
        <f>SUM(J26:Q26)</f>
        <v>0</v>
      </c>
      <c r="S26" s="287">
        <f>I26-R26</f>
        <v>0</v>
      </c>
      <c r="T26" s="288">
        <f>G26-I26</f>
        <v>0</v>
      </c>
      <c r="U26" s="289">
        <v>0</v>
      </c>
      <c r="V26" s="290" t="e">
        <f t="shared" si="0"/>
        <v>#DIV/0!</v>
      </c>
      <c r="X26" s="329"/>
      <c r="Y26" s="285"/>
      <c r="Z26" s="285"/>
      <c r="AA26" s="285"/>
      <c r="AB26" s="285"/>
      <c r="AC26" s="285"/>
      <c r="AD26" s="285"/>
      <c r="AE26" s="285"/>
    </row>
    <row r="27" spans="1:31" ht="18.95" customHeight="1">
      <c r="A27" s="312"/>
      <c r="B27" s="279"/>
      <c r="C27" s="280" t="s">
        <v>45</v>
      </c>
      <c r="D27" s="281" t="s">
        <v>43</v>
      </c>
      <c r="E27" s="282">
        <v>0</v>
      </c>
      <c r="F27" s="283"/>
      <c r="G27" s="282">
        <v>0</v>
      </c>
      <c r="H27" s="283"/>
      <c r="I27" s="284">
        <v>200000</v>
      </c>
      <c r="J27" s="285">
        <v>0</v>
      </c>
      <c r="K27" s="285">
        <v>0</v>
      </c>
      <c r="L27" s="285">
        <v>0</v>
      </c>
      <c r="M27" s="285">
        <v>0</v>
      </c>
      <c r="N27" s="285">
        <v>0</v>
      </c>
      <c r="O27" s="285">
        <v>0</v>
      </c>
      <c r="P27" s="285">
        <v>0</v>
      </c>
      <c r="Q27" s="285">
        <v>0</v>
      </c>
      <c r="R27" s="286">
        <f>SUM(J27:Q27)</f>
        <v>0</v>
      </c>
      <c r="S27" s="287">
        <f>I27-R27</f>
        <v>200000</v>
      </c>
      <c r="T27" s="288">
        <f>G27-I27</f>
        <v>-200000</v>
      </c>
      <c r="U27" s="289">
        <v>0</v>
      </c>
      <c r="V27" s="290" t="e">
        <f t="shared" si="0"/>
        <v>#DIV/0!</v>
      </c>
      <c r="X27" s="329"/>
      <c r="Y27" s="285"/>
      <c r="Z27" s="285"/>
      <c r="AA27" s="285"/>
      <c r="AB27" s="285"/>
      <c r="AC27" s="285"/>
      <c r="AD27" s="285"/>
      <c r="AE27" s="285"/>
    </row>
    <row r="28" spans="1:31" ht="18.95" customHeight="1">
      <c r="A28" s="312"/>
      <c r="B28" s="279"/>
      <c r="C28" s="280" t="s">
        <v>42</v>
      </c>
      <c r="D28" s="281" t="s">
        <v>43</v>
      </c>
      <c r="E28" s="282">
        <v>1609000</v>
      </c>
      <c r="F28" s="283"/>
      <c r="G28" s="282">
        <v>0</v>
      </c>
      <c r="H28" s="283"/>
      <c r="I28" s="284">
        <v>0</v>
      </c>
      <c r="J28" s="285">
        <v>0</v>
      </c>
      <c r="K28" s="285">
        <v>0</v>
      </c>
      <c r="L28" s="285">
        <v>0</v>
      </c>
      <c r="M28" s="285">
        <v>0</v>
      </c>
      <c r="N28" s="285">
        <v>0</v>
      </c>
      <c r="O28" s="285">
        <v>0</v>
      </c>
      <c r="P28" s="285">
        <v>0</v>
      </c>
      <c r="Q28" s="285">
        <v>0</v>
      </c>
      <c r="R28" s="286">
        <f>SUM(J28:Q28)</f>
        <v>0</v>
      </c>
      <c r="S28" s="287">
        <f>I28-R28</f>
        <v>0</v>
      </c>
      <c r="T28" s="288">
        <f>G28-I28</f>
        <v>0</v>
      </c>
      <c r="U28" s="289">
        <v>0</v>
      </c>
      <c r="V28" s="290" t="e">
        <f t="shared" si="0"/>
        <v>#DIV/0!</v>
      </c>
      <c r="X28" s="329"/>
      <c r="Y28" s="285"/>
      <c r="Z28" s="285"/>
      <c r="AA28" s="285"/>
      <c r="AB28" s="285"/>
      <c r="AC28" s="285"/>
      <c r="AD28" s="285"/>
      <c r="AE28" s="285"/>
    </row>
    <row r="29" spans="1:31" ht="18.95" customHeight="1">
      <c r="A29" s="312"/>
      <c r="B29" s="279"/>
      <c r="C29" s="280" t="s">
        <v>64</v>
      </c>
      <c r="D29" s="281" t="s">
        <v>43</v>
      </c>
      <c r="E29" s="282">
        <v>0</v>
      </c>
      <c r="F29" s="283"/>
      <c r="G29" s="282">
        <v>0</v>
      </c>
      <c r="H29" s="283"/>
      <c r="I29" s="284">
        <v>0</v>
      </c>
      <c r="J29" s="285">
        <v>0</v>
      </c>
      <c r="K29" s="285">
        <v>0</v>
      </c>
      <c r="L29" s="285">
        <v>0</v>
      </c>
      <c r="M29" s="285">
        <v>0</v>
      </c>
      <c r="N29" s="285">
        <v>0</v>
      </c>
      <c r="O29" s="285">
        <v>0</v>
      </c>
      <c r="P29" s="285">
        <v>0</v>
      </c>
      <c r="Q29" s="285">
        <v>0</v>
      </c>
      <c r="R29" s="286">
        <f>SUM(J29:Q29)</f>
        <v>0</v>
      </c>
      <c r="S29" s="287">
        <f>I29-R29</f>
        <v>0</v>
      </c>
      <c r="T29" s="288">
        <f>G29-I29</f>
        <v>0</v>
      </c>
      <c r="U29" s="289">
        <v>0</v>
      </c>
      <c r="V29" s="290" t="e">
        <f t="shared" si="0"/>
        <v>#DIV/0!</v>
      </c>
      <c r="X29" s="329"/>
      <c r="Y29" s="285"/>
      <c r="Z29" s="285"/>
      <c r="AA29" s="285"/>
      <c r="AB29" s="285"/>
      <c r="AC29" s="285"/>
      <c r="AD29" s="285"/>
      <c r="AE29" s="285"/>
    </row>
    <row r="30" spans="1:31" ht="18.95" customHeight="1">
      <c r="A30" s="313"/>
      <c r="B30" s="279"/>
      <c r="C30" s="280" t="s">
        <v>50</v>
      </c>
      <c r="D30" s="281" t="s">
        <v>43</v>
      </c>
      <c r="E30" s="282">
        <v>970000</v>
      </c>
      <c r="F30" s="283"/>
      <c r="G30" s="282">
        <v>900000</v>
      </c>
      <c r="H30" s="283"/>
      <c r="I30" s="284">
        <v>700000</v>
      </c>
      <c r="J30" s="285">
        <v>0</v>
      </c>
      <c r="K30" s="285">
        <v>0</v>
      </c>
      <c r="L30" s="285">
        <v>0</v>
      </c>
      <c r="M30" s="285">
        <v>0</v>
      </c>
      <c r="N30" s="285">
        <v>0</v>
      </c>
      <c r="O30" s="285">
        <v>0</v>
      </c>
      <c r="P30" s="285">
        <v>0</v>
      </c>
      <c r="Q30" s="285">
        <v>0</v>
      </c>
      <c r="R30" s="286">
        <f>SUM(J30:Q30)</f>
        <v>0</v>
      </c>
      <c r="S30" s="287">
        <f>I30-R30</f>
        <v>700000</v>
      </c>
      <c r="T30" s="288">
        <f>G30-I30</f>
        <v>200000</v>
      </c>
      <c r="U30" s="289">
        <v>0</v>
      </c>
      <c r="V30" s="290" t="e">
        <f t="shared" si="0"/>
        <v>#DIV/0!</v>
      </c>
      <c r="X30" s="329"/>
      <c r="Y30" s="285"/>
      <c r="Z30" s="285"/>
      <c r="AA30" s="285"/>
      <c r="AB30" s="285"/>
      <c r="AC30" s="285"/>
      <c r="AD30" s="285"/>
      <c r="AE30" s="285"/>
    </row>
    <row r="31" spans="1:31" ht="18.95" customHeight="1">
      <c r="A31" s="314" t="s">
        <v>65</v>
      </c>
      <c r="B31" s="291" t="s">
        <v>66</v>
      </c>
      <c r="C31" s="292" t="s">
        <v>67</v>
      </c>
      <c r="D31" s="293" t="s">
        <v>68</v>
      </c>
      <c r="E31" s="294">
        <v>10752500</v>
      </c>
      <c r="F31" s="295"/>
      <c r="G31" s="294">
        <v>10700000</v>
      </c>
      <c r="H31" s="295"/>
      <c r="I31" s="296">
        <v>10700000</v>
      </c>
      <c r="J31" s="273">
        <v>0</v>
      </c>
      <c r="K31" s="273">
        <v>0</v>
      </c>
      <c r="L31" s="273">
        <v>4333500</v>
      </c>
      <c r="M31" s="273">
        <v>1444500</v>
      </c>
      <c r="N31" s="273">
        <v>0</v>
      </c>
      <c r="O31" s="273">
        <v>0</v>
      </c>
      <c r="P31" s="273">
        <v>0</v>
      </c>
      <c r="Q31" s="273">
        <v>0</v>
      </c>
      <c r="R31" s="274">
        <f>SUM(J31:Q31)</f>
        <v>5778000</v>
      </c>
      <c r="S31" s="275">
        <f>I31-R31</f>
        <v>4922000</v>
      </c>
      <c r="T31" s="276">
        <f>G31-I31</f>
        <v>0</v>
      </c>
      <c r="U31" s="297">
        <v>106</v>
      </c>
      <c r="V31" s="278">
        <f t="shared" si="0"/>
        <v>54509.433962264149</v>
      </c>
      <c r="X31" s="328"/>
      <c r="Y31" s="273"/>
      <c r="Z31" s="273"/>
      <c r="AA31" s="273"/>
      <c r="AB31" s="273"/>
      <c r="AC31" s="273"/>
      <c r="AD31" s="273"/>
      <c r="AE31" s="273"/>
    </row>
    <row r="32" spans="1:31" ht="18.95" customHeight="1">
      <c r="A32" s="312"/>
      <c r="B32" s="279"/>
      <c r="C32" s="280" t="s">
        <v>67</v>
      </c>
      <c r="D32" s="281" t="s">
        <v>43</v>
      </c>
      <c r="E32" s="282">
        <v>0</v>
      </c>
      <c r="F32" s="283"/>
      <c r="G32" s="282">
        <v>0</v>
      </c>
      <c r="H32" s="283"/>
      <c r="I32" s="284">
        <v>0</v>
      </c>
      <c r="J32" s="285">
        <v>0</v>
      </c>
      <c r="K32" s="285">
        <v>0</v>
      </c>
      <c r="L32" s="285">
        <v>0</v>
      </c>
      <c r="M32" s="285">
        <v>0</v>
      </c>
      <c r="N32" s="285">
        <v>0</v>
      </c>
      <c r="O32" s="285">
        <v>0</v>
      </c>
      <c r="P32" s="285">
        <v>0</v>
      </c>
      <c r="Q32" s="285">
        <v>0</v>
      </c>
      <c r="R32" s="286">
        <f>SUM(J32:Q32)</f>
        <v>0</v>
      </c>
      <c r="S32" s="287">
        <f>I32-R32</f>
        <v>0</v>
      </c>
      <c r="T32" s="288">
        <f>G32-I32</f>
        <v>0</v>
      </c>
      <c r="U32" s="289">
        <v>0</v>
      </c>
      <c r="V32" s="290" t="e">
        <f t="shared" si="0"/>
        <v>#DIV/0!</v>
      </c>
      <c r="X32" s="329"/>
      <c r="Y32" s="285"/>
      <c r="Z32" s="285"/>
      <c r="AA32" s="285"/>
      <c r="AB32" s="285"/>
      <c r="AC32" s="285"/>
      <c r="AD32" s="285"/>
      <c r="AE32" s="285"/>
    </row>
    <row r="33" spans="1:31" ht="18.95" customHeight="1">
      <c r="A33" s="312"/>
      <c r="B33" s="279"/>
      <c r="C33" s="280" t="s">
        <v>69</v>
      </c>
      <c r="D33" s="281" t="s">
        <v>43</v>
      </c>
      <c r="E33" s="282">
        <v>0</v>
      </c>
      <c r="F33" s="283"/>
      <c r="G33" s="282">
        <v>0</v>
      </c>
      <c r="H33" s="283"/>
      <c r="I33" s="284">
        <v>0</v>
      </c>
      <c r="J33" s="285">
        <v>0</v>
      </c>
      <c r="K33" s="285">
        <v>0</v>
      </c>
      <c r="L33" s="285">
        <v>0</v>
      </c>
      <c r="M33" s="285">
        <v>0</v>
      </c>
      <c r="N33" s="285">
        <v>0</v>
      </c>
      <c r="O33" s="285">
        <v>0</v>
      </c>
      <c r="P33" s="285">
        <v>0</v>
      </c>
      <c r="Q33" s="285">
        <v>0</v>
      </c>
      <c r="R33" s="286">
        <f>SUM(J33:Q33)</f>
        <v>0</v>
      </c>
      <c r="S33" s="287">
        <f>I33-R33</f>
        <v>0</v>
      </c>
      <c r="T33" s="288">
        <f>G33-I33</f>
        <v>0</v>
      </c>
      <c r="U33" s="289">
        <v>0</v>
      </c>
      <c r="V33" s="290" t="e">
        <f t="shared" si="0"/>
        <v>#DIV/0!</v>
      </c>
      <c r="X33" s="329"/>
      <c r="Y33" s="285"/>
      <c r="Z33" s="285"/>
      <c r="AA33" s="285"/>
      <c r="AB33" s="285"/>
      <c r="AC33" s="285"/>
      <c r="AD33" s="285"/>
      <c r="AE33" s="285"/>
    </row>
    <row r="34" spans="1:31" ht="18.95" customHeight="1">
      <c r="A34" s="312"/>
      <c r="B34" s="279"/>
      <c r="C34" s="280" t="s">
        <v>70</v>
      </c>
      <c r="D34" s="281" t="s">
        <v>43</v>
      </c>
      <c r="E34" s="282">
        <v>126000</v>
      </c>
      <c r="F34" s="283"/>
      <c r="G34" s="282">
        <v>0</v>
      </c>
      <c r="H34" s="283"/>
      <c r="I34" s="284">
        <v>0</v>
      </c>
      <c r="J34" s="285">
        <v>0</v>
      </c>
      <c r="K34" s="285">
        <v>0</v>
      </c>
      <c r="L34" s="285">
        <v>0</v>
      </c>
      <c r="M34" s="285">
        <v>0</v>
      </c>
      <c r="N34" s="285">
        <v>0</v>
      </c>
      <c r="O34" s="285">
        <v>0</v>
      </c>
      <c r="P34" s="285">
        <v>0</v>
      </c>
      <c r="Q34" s="285">
        <v>0</v>
      </c>
      <c r="R34" s="286">
        <f>SUM(J34:Q34)</f>
        <v>0</v>
      </c>
      <c r="S34" s="287">
        <f>I34-R34</f>
        <v>0</v>
      </c>
      <c r="T34" s="288">
        <f>G34-I34</f>
        <v>0</v>
      </c>
      <c r="U34" s="289">
        <v>0</v>
      </c>
      <c r="V34" s="290" t="e">
        <f t="shared" si="0"/>
        <v>#DIV/0!</v>
      </c>
      <c r="X34" s="329"/>
      <c r="Y34" s="285"/>
      <c r="Z34" s="285"/>
      <c r="AA34" s="285"/>
      <c r="AB34" s="285"/>
      <c r="AC34" s="285"/>
      <c r="AD34" s="285"/>
      <c r="AE34" s="285"/>
    </row>
    <row r="35" spans="1:31" ht="18.95" customHeight="1">
      <c r="A35" s="312"/>
      <c r="B35" s="279"/>
      <c r="C35" s="280" t="s">
        <v>71</v>
      </c>
      <c r="D35" s="281" t="s">
        <v>43</v>
      </c>
      <c r="E35" s="282">
        <v>0</v>
      </c>
      <c r="F35" s="283"/>
      <c r="G35" s="282">
        <v>0</v>
      </c>
      <c r="H35" s="283"/>
      <c r="I35" s="284">
        <v>0</v>
      </c>
      <c r="J35" s="285">
        <v>0</v>
      </c>
      <c r="K35" s="285">
        <v>0</v>
      </c>
      <c r="L35" s="285">
        <v>0</v>
      </c>
      <c r="M35" s="285">
        <v>0</v>
      </c>
      <c r="N35" s="285">
        <v>0</v>
      </c>
      <c r="O35" s="285">
        <v>0</v>
      </c>
      <c r="P35" s="285">
        <v>0</v>
      </c>
      <c r="Q35" s="285">
        <v>0</v>
      </c>
      <c r="R35" s="286">
        <f>SUM(J35:Q35)</f>
        <v>0</v>
      </c>
      <c r="S35" s="287">
        <f>I35-R35</f>
        <v>0</v>
      </c>
      <c r="T35" s="288">
        <f>G35-I35</f>
        <v>0</v>
      </c>
      <c r="U35" s="289">
        <v>0</v>
      </c>
      <c r="V35" s="290" t="e">
        <f t="shared" si="0"/>
        <v>#DIV/0!</v>
      </c>
      <c r="X35" s="329"/>
      <c r="Y35" s="285"/>
      <c r="Z35" s="285"/>
      <c r="AA35" s="285"/>
      <c r="AB35" s="285"/>
      <c r="AC35" s="285"/>
      <c r="AD35" s="285"/>
      <c r="AE35" s="285"/>
    </row>
    <row r="36" spans="1:31" ht="18.95" customHeight="1">
      <c r="A36" s="312"/>
      <c r="B36" s="279"/>
      <c r="C36" s="280" t="s">
        <v>72</v>
      </c>
      <c r="D36" s="281" t="s">
        <v>43</v>
      </c>
      <c r="E36" s="282">
        <v>3750000</v>
      </c>
      <c r="F36" s="283"/>
      <c r="G36" s="282">
        <v>625000</v>
      </c>
      <c r="H36" s="283"/>
      <c r="I36" s="284">
        <v>375000</v>
      </c>
      <c r="J36" s="285">
        <v>0</v>
      </c>
      <c r="K36" s="285">
        <v>0</v>
      </c>
      <c r="L36" s="285">
        <v>0</v>
      </c>
      <c r="M36" s="285">
        <v>0</v>
      </c>
      <c r="N36" s="285">
        <v>0</v>
      </c>
      <c r="O36" s="285">
        <v>0</v>
      </c>
      <c r="P36" s="285">
        <v>0</v>
      </c>
      <c r="Q36" s="285">
        <v>0</v>
      </c>
      <c r="R36" s="286">
        <f>SUM(J36:Q36)</f>
        <v>0</v>
      </c>
      <c r="S36" s="287">
        <f>I36-R36</f>
        <v>375000</v>
      </c>
      <c r="T36" s="288">
        <f>G36-I36</f>
        <v>250000</v>
      </c>
      <c r="U36" s="289">
        <v>0</v>
      </c>
      <c r="V36" s="290" t="e">
        <f t="shared" si="0"/>
        <v>#DIV/0!</v>
      </c>
      <c r="X36" s="329"/>
      <c r="Y36" s="285"/>
      <c r="Z36" s="285"/>
      <c r="AA36" s="285"/>
      <c r="AB36" s="285"/>
      <c r="AC36" s="285"/>
      <c r="AD36" s="285"/>
      <c r="AE36" s="285"/>
    </row>
    <row r="37" spans="1:31" ht="18.95" customHeight="1">
      <c r="A37" s="313"/>
      <c r="B37" s="279"/>
      <c r="C37" s="280" t="s">
        <v>73</v>
      </c>
      <c r="D37" s="281" t="s">
        <v>43</v>
      </c>
      <c r="E37" s="282">
        <v>0</v>
      </c>
      <c r="F37" s="283"/>
      <c r="G37" s="282">
        <v>0</v>
      </c>
      <c r="H37" s="283"/>
      <c r="I37" s="284">
        <v>0</v>
      </c>
      <c r="J37" s="285">
        <v>0</v>
      </c>
      <c r="K37" s="285">
        <v>0</v>
      </c>
      <c r="L37" s="285">
        <v>0</v>
      </c>
      <c r="M37" s="285">
        <v>0</v>
      </c>
      <c r="N37" s="285">
        <v>0</v>
      </c>
      <c r="O37" s="285">
        <v>0</v>
      </c>
      <c r="P37" s="285">
        <v>0</v>
      </c>
      <c r="Q37" s="285">
        <v>0</v>
      </c>
      <c r="R37" s="286">
        <f>SUM(J37:Q37)</f>
        <v>0</v>
      </c>
      <c r="S37" s="287">
        <f>I37-R37</f>
        <v>0</v>
      </c>
      <c r="T37" s="288">
        <f>G37-I37</f>
        <v>0</v>
      </c>
      <c r="U37" s="289">
        <v>0</v>
      </c>
      <c r="V37" s="290" t="e">
        <f t="shared" si="0"/>
        <v>#DIV/0!</v>
      </c>
      <c r="X37" s="329"/>
      <c r="Y37" s="285"/>
      <c r="Z37" s="285"/>
      <c r="AA37" s="285"/>
      <c r="AB37" s="285"/>
      <c r="AC37" s="285"/>
      <c r="AD37" s="285"/>
      <c r="AE37" s="285"/>
    </row>
    <row r="38" spans="1:31" ht="18.95" customHeight="1">
      <c r="A38" s="314" t="s">
        <v>74</v>
      </c>
      <c r="B38" s="291" t="s">
        <v>38</v>
      </c>
      <c r="C38" s="292" t="s">
        <v>75</v>
      </c>
      <c r="D38" s="293" t="s">
        <v>40</v>
      </c>
      <c r="E38" s="294">
        <v>8049475</v>
      </c>
      <c r="F38" s="295"/>
      <c r="G38" s="294">
        <v>8583000</v>
      </c>
      <c r="H38" s="295"/>
      <c r="I38" s="296">
        <v>8583000</v>
      </c>
      <c r="J38" s="273">
        <v>0</v>
      </c>
      <c r="K38" s="273">
        <v>0</v>
      </c>
      <c r="L38" s="273">
        <v>1900000</v>
      </c>
      <c r="M38" s="273">
        <v>4270000</v>
      </c>
      <c r="N38" s="273">
        <v>1470000</v>
      </c>
      <c r="O38" s="273">
        <v>0</v>
      </c>
      <c r="P38" s="273">
        <v>0</v>
      </c>
      <c r="Q38" s="273">
        <v>0</v>
      </c>
      <c r="R38" s="274">
        <f>SUM(J38:Q38)</f>
        <v>7640000</v>
      </c>
      <c r="S38" s="275">
        <f>I38-R38</f>
        <v>943000</v>
      </c>
      <c r="T38" s="276">
        <f>G38-I38</f>
        <v>0</v>
      </c>
      <c r="U38" s="297">
        <v>128</v>
      </c>
      <c r="V38" s="278">
        <f t="shared" si="0"/>
        <v>59687.5</v>
      </c>
      <c r="X38" s="328"/>
      <c r="Y38" s="273"/>
      <c r="Z38" s="273"/>
      <c r="AA38" s="273"/>
      <c r="AB38" s="273"/>
      <c r="AC38" s="273"/>
      <c r="AD38" s="273"/>
      <c r="AE38" s="273"/>
    </row>
    <row r="39" spans="1:31" ht="18.95" customHeight="1">
      <c r="A39" s="312"/>
      <c r="B39" s="279" t="s">
        <v>38</v>
      </c>
      <c r="C39" s="280" t="s">
        <v>75</v>
      </c>
      <c r="D39" s="281" t="s">
        <v>43</v>
      </c>
      <c r="E39" s="282">
        <v>0</v>
      </c>
      <c r="F39" s="283"/>
      <c r="G39" s="282">
        <v>0</v>
      </c>
      <c r="H39" s="283"/>
      <c r="I39" s="284">
        <v>0</v>
      </c>
      <c r="J39" s="285">
        <v>0</v>
      </c>
      <c r="K39" s="285">
        <v>0</v>
      </c>
      <c r="L39" s="285">
        <v>0</v>
      </c>
      <c r="M39" s="285">
        <v>-235800</v>
      </c>
      <c r="N39" s="285">
        <v>-527600</v>
      </c>
      <c r="O39" s="285">
        <v>-399200</v>
      </c>
      <c r="P39" s="285">
        <v>0</v>
      </c>
      <c r="Q39" s="285">
        <v>0</v>
      </c>
      <c r="R39" s="286">
        <f>SUM(J39:Q39)</f>
        <v>-1162600</v>
      </c>
      <c r="S39" s="287">
        <f>I39-R39</f>
        <v>1162600</v>
      </c>
      <c r="T39" s="288">
        <f>G39-I39</f>
        <v>0</v>
      </c>
      <c r="U39" s="289">
        <v>0</v>
      </c>
      <c r="V39" s="290" t="e">
        <f t="shared" si="0"/>
        <v>#DIV/0!</v>
      </c>
      <c r="X39" s="329"/>
      <c r="Y39" s="285"/>
      <c r="Z39" s="285"/>
      <c r="AA39" s="285"/>
      <c r="AB39" s="285"/>
      <c r="AC39" s="285"/>
      <c r="AD39" s="285"/>
      <c r="AE39" s="285"/>
    </row>
    <row r="40" spans="1:31" ht="18.95" customHeight="1">
      <c r="A40" s="312"/>
      <c r="B40" s="279" t="s">
        <v>53</v>
      </c>
      <c r="C40" s="280" t="s">
        <v>76</v>
      </c>
      <c r="D40" s="281" t="s">
        <v>43</v>
      </c>
      <c r="E40" s="282">
        <v>0</v>
      </c>
      <c r="F40" s="283"/>
      <c r="G40" s="282">
        <v>0</v>
      </c>
      <c r="H40" s="283"/>
      <c r="I40" s="284">
        <v>0</v>
      </c>
      <c r="J40" s="285">
        <v>0</v>
      </c>
      <c r="K40" s="285">
        <v>0</v>
      </c>
      <c r="L40" s="285">
        <v>221600</v>
      </c>
      <c r="M40" s="285">
        <v>495200</v>
      </c>
      <c r="N40" s="285">
        <v>376200</v>
      </c>
      <c r="O40" s="285">
        <v>0</v>
      </c>
      <c r="P40" s="285">
        <v>0</v>
      </c>
      <c r="Q40" s="285">
        <v>0</v>
      </c>
      <c r="R40" s="286">
        <f>SUM(J40:Q40)</f>
        <v>1093000</v>
      </c>
      <c r="S40" s="287">
        <f>I40-R40</f>
        <v>-1093000</v>
      </c>
      <c r="T40" s="288">
        <f>G40-I40</f>
        <v>0</v>
      </c>
      <c r="U40" s="289">
        <v>0</v>
      </c>
      <c r="V40" s="290" t="e">
        <f t="shared" si="0"/>
        <v>#DIV/0!</v>
      </c>
      <c r="X40" s="329"/>
      <c r="Y40" s="285"/>
      <c r="Z40" s="285"/>
      <c r="AA40" s="285"/>
      <c r="AB40" s="285"/>
      <c r="AC40" s="285"/>
      <c r="AD40" s="285"/>
      <c r="AE40" s="285"/>
    </row>
    <row r="41" spans="1:31" ht="18.95" customHeight="1">
      <c r="A41" s="312"/>
      <c r="B41" s="279"/>
      <c r="C41" s="280" t="s">
        <v>75</v>
      </c>
      <c r="D41" s="281" t="s">
        <v>43</v>
      </c>
      <c r="E41" s="282">
        <v>0</v>
      </c>
      <c r="F41" s="283"/>
      <c r="G41" s="282">
        <v>0</v>
      </c>
      <c r="H41" s="283"/>
      <c r="I41" s="284">
        <v>0</v>
      </c>
      <c r="J41" s="285">
        <v>0</v>
      </c>
      <c r="K41" s="285">
        <v>0</v>
      </c>
      <c r="L41" s="285">
        <v>0</v>
      </c>
      <c r="M41" s="285">
        <v>0</v>
      </c>
      <c r="N41" s="285">
        <v>0</v>
      </c>
      <c r="O41" s="285">
        <v>0</v>
      </c>
      <c r="P41" s="285">
        <v>0</v>
      </c>
      <c r="Q41" s="285">
        <v>0</v>
      </c>
      <c r="R41" s="286">
        <f>SUM(J41:Q41)</f>
        <v>0</v>
      </c>
      <c r="S41" s="287">
        <f>I41-R41</f>
        <v>0</v>
      </c>
      <c r="T41" s="288">
        <f>G41-I41</f>
        <v>0</v>
      </c>
      <c r="U41" s="289">
        <v>0</v>
      </c>
      <c r="V41" s="290" t="e">
        <f t="shared" si="0"/>
        <v>#DIV/0!</v>
      </c>
      <c r="X41" s="329"/>
      <c r="Y41" s="285"/>
      <c r="Z41" s="285"/>
      <c r="AA41" s="285"/>
      <c r="AB41" s="285"/>
      <c r="AC41" s="285"/>
      <c r="AD41" s="285"/>
      <c r="AE41" s="285"/>
    </row>
    <row r="42" spans="1:31" ht="18.95" customHeight="1">
      <c r="A42" s="313"/>
      <c r="B42" s="279"/>
      <c r="C42" s="280" t="s">
        <v>76</v>
      </c>
      <c r="D42" s="281" t="s">
        <v>43</v>
      </c>
      <c r="E42" s="282">
        <v>0</v>
      </c>
      <c r="F42" s="283"/>
      <c r="G42" s="282">
        <v>0</v>
      </c>
      <c r="H42" s="283"/>
      <c r="I42" s="284">
        <v>0</v>
      </c>
      <c r="J42" s="285">
        <v>0</v>
      </c>
      <c r="K42" s="285">
        <v>0</v>
      </c>
      <c r="L42" s="285">
        <v>0</v>
      </c>
      <c r="M42" s="285">
        <v>0</v>
      </c>
      <c r="N42" s="285">
        <v>0</v>
      </c>
      <c r="O42" s="285">
        <v>0</v>
      </c>
      <c r="P42" s="285">
        <v>0</v>
      </c>
      <c r="Q42" s="285">
        <v>0</v>
      </c>
      <c r="R42" s="286">
        <f>SUM(J42:Q42)</f>
        <v>0</v>
      </c>
      <c r="S42" s="287">
        <f>I42-R42</f>
        <v>0</v>
      </c>
      <c r="T42" s="288">
        <f>G42-I42</f>
        <v>0</v>
      </c>
      <c r="U42" s="289">
        <v>0</v>
      </c>
      <c r="V42" s="290" t="e">
        <f t="shared" si="0"/>
        <v>#DIV/0!</v>
      </c>
      <c r="X42" s="329"/>
      <c r="Y42" s="285"/>
      <c r="Z42" s="285"/>
      <c r="AA42" s="285"/>
      <c r="AB42" s="285"/>
      <c r="AC42" s="285"/>
      <c r="AD42" s="285"/>
      <c r="AE42" s="285"/>
    </row>
    <row r="43" spans="1:31" ht="18.95" customHeight="1">
      <c r="A43" s="314" t="s">
        <v>77</v>
      </c>
      <c r="B43" s="291" t="s">
        <v>38</v>
      </c>
      <c r="C43" s="292" t="s">
        <v>78</v>
      </c>
      <c r="D43" s="293" t="s">
        <v>40</v>
      </c>
      <c r="E43" s="294">
        <v>822100</v>
      </c>
      <c r="F43" s="295"/>
      <c r="G43" s="294">
        <v>679200</v>
      </c>
      <c r="H43" s="295"/>
      <c r="I43" s="296">
        <v>679200</v>
      </c>
      <c r="J43" s="273">
        <v>0</v>
      </c>
      <c r="K43" s="273">
        <v>0</v>
      </c>
      <c r="L43" s="273">
        <v>0</v>
      </c>
      <c r="M43" s="273">
        <v>679200</v>
      </c>
      <c r="N43" s="273">
        <v>0</v>
      </c>
      <c r="O43" s="273">
        <v>0</v>
      </c>
      <c r="P43" s="273">
        <v>0</v>
      </c>
      <c r="Q43" s="273">
        <v>0</v>
      </c>
      <c r="R43" s="274">
        <f>SUM(J43:Q43)</f>
        <v>679200</v>
      </c>
      <c r="S43" s="275">
        <f>I43-R43</f>
        <v>0</v>
      </c>
      <c r="T43" s="276">
        <f>G43-I43</f>
        <v>0</v>
      </c>
      <c r="U43" s="297">
        <v>35</v>
      </c>
      <c r="V43" s="278">
        <f t="shared" si="0"/>
        <v>19405.714285714286</v>
      </c>
      <c r="X43" s="328"/>
      <c r="Y43" s="273"/>
      <c r="Z43" s="273"/>
      <c r="AA43" s="273"/>
      <c r="AB43" s="273"/>
      <c r="AC43" s="273"/>
      <c r="AD43" s="273"/>
      <c r="AE43" s="273"/>
    </row>
    <row r="44" spans="1:31" ht="18.95" customHeight="1">
      <c r="A44" s="312"/>
      <c r="B44" s="279" t="s">
        <v>38</v>
      </c>
      <c r="C44" s="280" t="s">
        <v>78</v>
      </c>
      <c r="D44" s="281" t="s">
        <v>43</v>
      </c>
      <c r="E44" s="282">
        <v>0</v>
      </c>
      <c r="F44" s="283"/>
      <c r="G44" s="282">
        <v>0</v>
      </c>
      <c r="H44" s="283"/>
      <c r="I44" s="284">
        <v>0</v>
      </c>
      <c r="J44" s="285">
        <v>0</v>
      </c>
      <c r="K44" s="285">
        <v>0</v>
      </c>
      <c r="L44" s="285">
        <v>325000</v>
      </c>
      <c r="M44" s="285">
        <v>0</v>
      </c>
      <c r="N44" s="285">
        <v>-54300</v>
      </c>
      <c r="O44" s="285">
        <v>0</v>
      </c>
      <c r="P44" s="285">
        <v>0</v>
      </c>
      <c r="Q44" s="285">
        <v>0</v>
      </c>
      <c r="R44" s="286">
        <f>SUM(J44:Q44)</f>
        <v>270700</v>
      </c>
      <c r="S44" s="287">
        <f>I44-R44</f>
        <v>-270700</v>
      </c>
      <c r="T44" s="288">
        <f>G44-I44</f>
        <v>0</v>
      </c>
      <c r="U44" s="289">
        <v>0</v>
      </c>
      <c r="V44" s="290" t="e">
        <f t="shared" si="0"/>
        <v>#DIV/0!</v>
      </c>
      <c r="X44" s="329"/>
      <c r="Y44" s="285"/>
      <c r="Z44" s="285"/>
      <c r="AA44" s="285"/>
      <c r="AB44" s="285"/>
      <c r="AC44" s="285"/>
      <c r="AD44" s="285"/>
      <c r="AE44" s="285"/>
    </row>
    <row r="45" spans="1:31" ht="18.95" customHeight="1">
      <c r="A45" s="312"/>
      <c r="B45" s="279" t="s">
        <v>38</v>
      </c>
      <c r="C45" s="280" t="s">
        <v>79</v>
      </c>
      <c r="D45" s="281" t="s">
        <v>40</v>
      </c>
      <c r="E45" s="282">
        <v>3684600</v>
      </c>
      <c r="F45" s="283"/>
      <c r="G45" s="282">
        <v>3756250</v>
      </c>
      <c r="H45" s="283"/>
      <c r="I45" s="284">
        <v>3756250</v>
      </c>
      <c r="J45" s="285">
        <v>0</v>
      </c>
      <c r="K45" s="285">
        <v>0</v>
      </c>
      <c r="L45" s="285">
        <v>0</v>
      </c>
      <c r="M45" s="285">
        <v>1280800</v>
      </c>
      <c r="N45" s="285">
        <v>1680000</v>
      </c>
      <c r="O45" s="285">
        <v>0</v>
      </c>
      <c r="P45" s="285">
        <v>0</v>
      </c>
      <c r="Q45" s="285">
        <v>0</v>
      </c>
      <c r="R45" s="286">
        <f>SUM(J45:Q45)</f>
        <v>2960800</v>
      </c>
      <c r="S45" s="287">
        <f>I45-R45</f>
        <v>795450</v>
      </c>
      <c r="T45" s="288">
        <f>G45-I45</f>
        <v>0</v>
      </c>
      <c r="U45" s="289">
        <v>30</v>
      </c>
      <c r="V45" s="290">
        <f t="shared" si="0"/>
        <v>98693.333333333328</v>
      </c>
      <c r="X45" s="329"/>
      <c r="Y45" s="285"/>
      <c r="Z45" s="285"/>
      <c r="AA45" s="285"/>
      <c r="AB45" s="285"/>
      <c r="AC45" s="285"/>
      <c r="AD45" s="285"/>
      <c r="AE45" s="285"/>
    </row>
    <row r="46" spans="1:31" ht="18.95" customHeight="1">
      <c r="A46" s="312"/>
      <c r="B46" s="279" t="s">
        <v>38</v>
      </c>
      <c r="C46" s="280" t="s">
        <v>79</v>
      </c>
      <c r="D46" s="281" t="s">
        <v>43</v>
      </c>
      <c r="E46" s="282">
        <v>0</v>
      </c>
      <c r="F46" s="283"/>
      <c r="G46" s="282">
        <v>0</v>
      </c>
      <c r="H46" s="283"/>
      <c r="I46" s="284">
        <v>0</v>
      </c>
      <c r="J46" s="285">
        <v>0</v>
      </c>
      <c r="K46" s="285">
        <v>0</v>
      </c>
      <c r="L46" s="285">
        <v>0</v>
      </c>
      <c r="M46" s="285">
        <v>259400</v>
      </c>
      <c r="N46" s="285">
        <v>0</v>
      </c>
      <c r="O46" s="285">
        <v>0</v>
      </c>
      <c r="P46" s="285">
        <v>0</v>
      </c>
      <c r="Q46" s="285">
        <v>0</v>
      </c>
      <c r="R46" s="286">
        <f>SUM(J46:Q46)</f>
        <v>259400</v>
      </c>
      <c r="S46" s="287">
        <f>I46-R46</f>
        <v>-259400</v>
      </c>
      <c r="T46" s="288">
        <f>G46-I46</f>
        <v>0</v>
      </c>
      <c r="U46" s="289">
        <v>0</v>
      </c>
      <c r="V46" s="290" t="e">
        <f t="shared" si="0"/>
        <v>#DIV/0!</v>
      </c>
      <c r="X46" s="329"/>
      <c r="Y46" s="285"/>
      <c r="Z46" s="285"/>
      <c r="AA46" s="285"/>
      <c r="AB46" s="285"/>
      <c r="AC46" s="285"/>
      <c r="AD46" s="285"/>
      <c r="AE46" s="285"/>
    </row>
    <row r="47" spans="1:31" ht="18.95" customHeight="1">
      <c r="A47" s="312"/>
      <c r="B47" s="279" t="s">
        <v>38</v>
      </c>
      <c r="C47" s="280" t="s">
        <v>80</v>
      </c>
      <c r="D47" s="281" t="s">
        <v>40</v>
      </c>
      <c r="E47" s="282">
        <v>1771450</v>
      </c>
      <c r="F47" s="283"/>
      <c r="G47" s="282">
        <v>1879290</v>
      </c>
      <c r="H47" s="283"/>
      <c r="I47" s="284">
        <v>1879290</v>
      </c>
      <c r="J47" s="285">
        <v>0</v>
      </c>
      <c r="K47" s="285">
        <v>0</v>
      </c>
      <c r="L47" s="285">
        <v>0</v>
      </c>
      <c r="M47" s="285">
        <v>0</v>
      </c>
      <c r="N47" s="285">
        <v>0</v>
      </c>
      <c r="O47" s="285">
        <v>0</v>
      </c>
      <c r="P47" s="285">
        <v>0</v>
      </c>
      <c r="Q47" s="285">
        <v>0</v>
      </c>
      <c r="R47" s="286">
        <f>SUM(J47:Q47)</f>
        <v>0</v>
      </c>
      <c r="S47" s="287">
        <f>I47-R47</f>
        <v>1879290</v>
      </c>
      <c r="T47" s="288">
        <f>G47-I47</f>
        <v>0</v>
      </c>
      <c r="U47" s="289">
        <v>10</v>
      </c>
      <c r="V47" s="290">
        <f t="shared" si="0"/>
        <v>0</v>
      </c>
      <c r="X47" s="329"/>
      <c r="Y47" s="285"/>
      <c r="Z47" s="285"/>
      <c r="AA47" s="285"/>
      <c r="AB47" s="285"/>
      <c r="AC47" s="285"/>
      <c r="AD47" s="285"/>
      <c r="AE47" s="285"/>
    </row>
    <row r="48" spans="1:31" ht="18.95" customHeight="1">
      <c r="A48" s="312"/>
      <c r="B48" s="279" t="s">
        <v>53</v>
      </c>
      <c r="C48" s="280" t="s">
        <v>81</v>
      </c>
      <c r="D48" s="281" t="s">
        <v>43</v>
      </c>
      <c r="E48" s="282">
        <v>0</v>
      </c>
      <c r="F48" s="283"/>
      <c r="G48" s="282">
        <v>0</v>
      </c>
      <c r="H48" s="283"/>
      <c r="I48" s="284">
        <v>0</v>
      </c>
      <c r="J48" s="285">
        <v>0</v>
      </c>
      <c r="K48" s="285">
        <v>0</v>
      </c>
      <c r="L48" s="285">
        <v>0</v>
      </c>
      <c r="M48" s="285">
        <v>48280</v>
      </c>
      <c r="N48" s="285">
        <v>0</v>
      </c>
      <c r="O48" s="285">
        <v>0</v>
      </c>
      <c r="P48" s="285">
        <v>0</v>
      </c>
      <c r="Q48" s="285">
        <v>0</v>
      </c>
      <c r="R48" s="286">
        <f>SUM(J48:Q48)</f>
        <v>48280</v>
      </c>
      <c r="S48" s="287">
        <f>I48-R48</f>
        <v>-48280</v>
      </c>
      <c r="T48" s="288">
        <f>G48-I48</f>
        <v>0</v>
      </c>
      <c r="U48" s="289">
        <v>0</v>
      </c>
      <c r="V48" s="290" t="e">
        <f t="shared" si="0"/>
        <v>#DIV/0!</v>
      </c>
      <c r="X48" s="329"/>
      <c r="Y48" s="285"/>
      <c r="Z48" s="285"/>
      <c r="AA48" s="285"/>
      <c r="AB48" s="285"/>
      <c r="AC48" s="285"/>
      <c r="AD48" s="285"/>
      <c r="AE48" s="285"/>
    </row>
    <row r="49" spans="1:31" ht="18.95" customHeight="1">
      <c r="A49" s="312"/>
      <c r="B49" s="279" t="s">
        <v>53</v>
      </c>
      <c r="C49" s="280" t="s">
        <v>82</v>
      </c>
      <c r="D49" s="281" t="s">
        <v>43</v>
      </c>
      <c r="E49" s="282">
        <v>0</v>
      </c>
      <c r="F49" s="283"/>
      <c r="G49" s="282">
        <v>0</v>
      </c>
      <c r="H49" s="283"/>
      <c r="I49" s="284">
        <v>0</v>
      </c>
      <c r="J49" s="285">
        <v>0</v>
      </c>
      <c r="K49" s="285">
        <v>0</v>
      </c>
      <c r="L49" s="285">
        <v>14700</v>
      </c>
      <c r="M49" s="285">
        <v>33880</v>
      </c>
      <c r="N49" s="285">
        <v>0</v>
      </c>
      <c r="O49" s="285">
        <v>0</v>
      </c>
      <c r="P49" s="285">
        <v>0</v>
      </c>
      <c r="Q49" s="285">
        <v>0</v>
      </c>
      <c r="R49" s="286">
        <f>SUM(J49:Q49)</f>
        <v>48580</v>
      </c>
      <c r="S49" s="287">
        <f>I49-R49</f>
        <v>-48580</v>
      </c>
      <c r="T49" s="288">
        <f>G49-I49</f>
        <v>0</v>
      </c>
      <c r="U49" s="289">
        <v>0</v>
      </c>
      <c r="V49" s="290" t="e">
        <f t="shared" si="0"/>
        <v>#DIV/0!</v>
      </c>
      <c r="X49" s="329"/>
      <c r="Y49" s="285"/>
      <c r="Z49" s="285"/>
      <c r="AA49" s="285"/>
      <c r="AB49" s="285"/>
      <c r="AC49" s="285"/>
      <c r="AD49" s="285"/>
      <c r="AE49" s="285"/>
    </row>
    <row r="50" spans="1:31" ht="18.95" customHeight="1">
      <c r="A50" s="312"/>
      <c r="B50" s="279" t="s">
        <v>83</v>
      </c>
      <c r="C50" s="280" t="s">
        <v>82</v>
      </c>
      <c r="D50" s="281" t="s">
        <v>43</v>
      </c>
      <c r="E50" s="282">
        <v>0</v>
      </c>
      <c r="F50" s="283"/>
      <c r="G50" s="282">
        <v>0</v>
      </c>
      <c r="H50" s="283"/>
      <c r="I50" s="284">
        <v>0</v>
      </c>
      <c r="J50" s="285">
        <v>0</v>
      </c>
      <c r="K50" s="285">
        <v>0</v>
      </c>
      <c r="L50" s="285">
        <v>0</v>
      </c>
      <c r="M50" s="285">
        <v>510900</v>
      </c>
      <c r="N50" s="285">
        <v>0</v>
      </c>
      <c r="O50" s="285">
        <v>0</v>
      </c>
      <c r="P50" s="285">
        <v>0</v>
      </c>
      <c r="Q50" s="285">
        <v>0</v>
      </c>
      <c r="R50" s="286">
        <f>SUM(J50:Q50)</f>
        <v>510900</v>
      </c>
      <c r="S50" s="287">
        <f>I50-R50</f>
        <v>-510900</v>
      </c>
      <c r="T50" s="288">
        <f>G50-I50</f>
        <v>0</v>
      </c>
      <c r="U50" s="289">
        <v>0</v>
      </c>
      <c r="V50" s="290" t="e">
        <f t="shared" si="0"/>
        <v>#DIV/0!</v>
      </c>
      <c r="X50" s="329"/>
      <c r="Y50" s="285"/>
      <c r="Z50" s="285"/>
      <c r="AA50" s="285"/>
      <c r="AB50" s="285"/>
      <c r="AC50" s="285"/>
      <c r="AD50" s="285"/>
      <c r="AE50" s="285"/>
    </row>
    <row r="51" spans="1:31" ht="18.95" customHeight="1">
      <c r="A51" s="312"/>
      <c r="B51" s="279" t="s">
        <v>55</v>
      </c>
      <c r="C51" s="280" t="s">
        <v>82</v>
      </c>
      <c r="D51" s="281" t="s">
        <v>43</v>
      </c>
      <c r="E51" s="282">
        <v>0</v>
      </c>
      <c r="F51" s="283"/>
      <c r="G51" s="282">
        <v>0</v>
      </c>
      <c r="H51" s="283"/>
      <c r="I51" s="284">
        <v>0</v>
      </c>
      <c r="J51" s="285">
        <v>0</v>
      </c>
      <c r="K51" s="285">
        <v>0</v>
      </c>
      <c r="L51" s="285">
        <v>0</v>
      </c>
      <c r="M51" s="285">
        <v>0</v>
      </c>
      <c r="N51" s="285">
        <v>17420</v>
      </c>
      <c r="O51" s="285">
        <v>0</v>
      </c>
      <c r="P51" s="285">
        <v>0</v>
      </c>
      <c r="Q51" s="285">
        <v>0</v>
      </c>
      <c r="R51" s="286">
        <f>SUM(J51:Q51)</f>
        <v>17420</v>
      </c>
      <c r="S51" s="287">
        <f>I51-R51</f>
        <v>-17420</v>
      </c>
      <c r="T51" s="288">
        <f>G51-I51</f>
        <v>0</v>
      </c>
      <c r="U51" s="289">
        <v>0</v>
      </c>
      <c r="V51" s="290" t="e">
        <f t="shared" si="0"/>
        <v>#DIV/0!</v>
      </c>
      <c r="X51" s="329"/>
      <c r="Y51" s="285"/>
      <c r="Z51" s="285"/>
      <c r="AA51" s="285"/>
      <c r="AB51" s="285"/>
      <c r="AC51" s="285"/>
      <c r="AD51" s="285"/>
      <c r="AE51" s="285"/>
    </row>
    <row r="52" spans="1:31" ht="18.95" customHeight="1">
      <c r="A52" s="312"/>
      <c r="B52" s="279" t="s">
        <v>84</v>
      </c>
      <c r="C52" s="280" t="s">
        <v>79</v>
      </c>
      <c r="D52" s="281" t="s">
        <v>43</v>
      </c>
      <c r="E52" s="282">
        <v>0</v>
      </c>
      <c r="F52" s="283"/>
      <c r="G52" s="282">
        <v>0</v>
      </c>
      <c r="H52" s="283"/>
      <c r="I52" s="284">
        <v>220000</v>
      </c>
      <c r="J52" s="285">
        <v>0</v>
      </c>
      <c r="K52" s="285">
        <v>0</v>
      </c>
      <c r="L52" s="285">
        <v>0</v>
      </c>
      <c r="M52" s="285">
        <v>0</v>
      </c>
      <c r="N52" s="285">
        <v>0</v>
      </c>
      <c r="O52" s="285">
        <v>220000</v>
      </c>
      <c r="P52" s="285">
        <v>0</v>
      </c>
      <c r="Q52" s="285">
        <v>0</v>
      </c>
      <c r="R52" s="286">
        <f>SUM(J52:Q52)</f>
        <v>220000</v>
      </c>
      <c r="S52" s="287">
        <f>I52-R52</f>
        <v>0</v>
      </c>
      <c r="T52" s="288">
        <f>G52-I52</f>
        <v>-220000</v>
      </c>
      <c r="U52" s="289">
        <v>0</v>
      </c>
      <c r="V52" s="290" t="e">
        <f t="shared" si="0"/>
        <v>#DIV/0!</v>
      </c>
      <c r="X52" s="329"/>
      <c r="Y52" s="285"/>
      <c r="Z52" s="285"/>
      <c r="AA52" s="285"/>
      <c r="AB52" s="285"/>
      <c r="AC52" s="285"/>
      <c r="AD52" s="285"/>
      <c r="AE52" s="285"/>
    </row>
    <row r="53" spans="1:31" ht="18.95" customHeight="1">
      <c r="A53" s="312"/>
      <c r="B53" s="279"/>
      <c r="C53" s="280" t="s">
        <v>78</v>
      </c>
      <c r="D53" s="281" t="s">
        <v>43</v>
      </c>
      <c r="E53" s="282">
        <v>0</v>
      </c>
      <c r="F53" s="283"/>
      <c r="G53" s="282">
        <v>250000</v>
      </c>
      <c r="H53" s="283"/>
      <c r="I53" s="284">
        <v>325000</v>
      </c>
      <c r="J53" s="285">
        <v>0</v>
      </c>
      <c r="K53" s="285">
        <v>0</v>
      </c>
      <c r="L53" s="285">
        <v>0</v>
      </c>
      <c r="M53" s="285">
        <v>0</v>
      </c>
      <c r="N53" s="285">
        <v>0</v>
      </c>
      <c r="O53" s="285">
        <v>0</v>
      </c>
      <c r="P53" s="285">
        <v>0</v>
      </c>
      <c r="Q53" s="285">
        <v>0</v>
      </c>
      <c r="R53" s="286">
        <f>SUM(J53:Q53)</f>
        <v>0</v>
      </c>
      <c r="S53" s="287">
        <f>I53-R53</f>
        <v>325000</v>
      </c>
      <c r="T53" s="288">
        <f>G53-I53</f>
        <v>-75000</v>
      </c>
      <c r="U53" s="289">
        <v>0</v>
      </c>
      <c r="V53" s="290" t="e">
        <f t="shared" si="0"/>
        <v>#DIV/0!</v>
      </c>
      <c r="X53" s="329"/>
      <c r="Y53" s="285"/>
      <c r="Z53" s="285"/>
      <c r="AA53" s="285"/>
      <c r="AB53" s="285"/>
      <c r="AC53" s="285"/>
      <c r="AD53" s="285"/>
      <c r="AE53" s="285"/>
    </row>
    <row r="54" spans="1:31" ht="18.95" customHeight="1">
      <c r="A54" s="312"/>
      <c r="B54" s="279"/>
      <c r="C54" s="280" t="s">
        <v>81</v>
      </c>
      <c r="D54" s="281" t="s">
        <v>43</v>
      </c>
      <c r="E54" s="282">
        <v>0</v>
      </c>
      <c r="F54" s="283"/>
      <c r="G54" s="282">
        <v>0</v>
      </c>
      <c r="H54" s="283"/>
      <c r="I54" s="284">
        <v>0</v>
      </c>
      <c r="J54" s="285">
        <v>0</v>
      </c>
      <c r="K54" s="285">
        <v>0</v>
      </c>
      <c r="L54" s="285">
        <v>0</v>
      </c>
      <c r="M54" s="285">
        <v>0</v>
      </c>
      <c r="N54" s="285">
        <v>0</v>
      </c>
      <c r="O54" s="285">
        <v>0</v>
      </c>
      <c r="P54" s="285">
        <v>0</v>
      </c>
      <c r="Q54" s="285">
        <v>0</v>
      </c>
      <c r="R54" s="286">
        <f>SUM(J54:Q54)</f>
        <v>0</v>
      </c>
      <c r="S54" s="287">
        <f>I54-R54</f>
        <v>0</v>
      </c>
      <c r="T54" s="288">
        <f>G54-I54</f>
        <v>0</v>
      </c>
      <c r="U54" s="289">
        <v>0</v>
      </c>
      <c r="V54" s="290" t="e">
        <f t="shared" si="0"/>
        <v>#DIV/0!</v>
      </c>
      <c r="X54" s="329"/>
      <c r="Y54" s="285"/>
      <c r="Z54" s="285"/>
      <c r="AA54" s="285"/>
      <c r="AB54" s="285"/>
      <c r="AC54" s="285"/>
      <c r="AD54" s="285"/>
      <c r="AE54" s="285"/>
    </row>
    <row r="55" spans="1:31" ht="18.95" customHeight="1">
      <c r="A55" s="312"/>
      <c r="B55" s="279"/>
      <c r="C55" s="280" t="s">
        <v>79</v>
      </c>
      <c r="D55" s="281" t="s">
        <v>43</v>
      </c>
      <c r="E55" s="282">
        <v>911360</v>
      </c>
      <c r="F55" s="283"/>
      <c r="G55" s="282">
        <v>945000</v>
      </c>
      <c r="H55" s="283"/>
      <c r="I55" s="284">
        <v>945000</v>
      </c>
      <c r="J55" s="285">
        <v>0</v>
      </c>
      <c r="K55" s="285">
        <v>0</v>
      </c>
      <c r="L55" s="285">
        <v>0</v>
      </c>
      <c r="M55" s="285">
        <v>0</v>
      </c>
      <c r="N55" s="285">
        <v>0</v>
      </c>
      <c r="O55" s="285">
        <v>0</v>
      </c>
      <c r="P55" s="285">
        <v>0</v>
      </c>
      <c r="Q55" s="285">
        <v>0</v>
      </c>
      <c r="R55" s="286">
        <f>SUM(J55:Q55)</f>
        <v>0</v>
      </c>
      <c r="S55" s="287">
        <f>I55-R55</f>
        <v>945000</v>
      </c>
      <c r="T55" s="288">
        <f>G55-I55</f>
        <v>0</v>
      </c>
      <c r="U55" s="289">
        <v>0</v>
      </c>
      <c r="V55" s="290" t="e">
        <f t="shared" si="0"/>
        <v>#DIV/0!</v>
      </c>
      <c r="X55" s="329"/>
      <c r="Y55" s="285"/>
      <c r="Z55" s="285"/>
      <c r="AA55" s="285"/>
      <c r="AB55" s="285"/>
      <c r="AC55" s="285"/>
      <c r="AD55" s="285"/>
      <c r="AE55" s="285"/>
    </row>
    <row r="56" spans="1:31" ht="18.95" customHeight="1">
      <c r="A56" s="312"/>
      <c r="B56" s="279"/>
      <c r="C56" s="280" t="s">
        <v>82</v>
      </c>
      <c r="D56" s="281" t="s">
        <v>43</v>
      </c>
      <c r="E56" s="282">
        <v>0</v>
      </c>
      <c r="F56" s="283"/>
      <c r="G56" s="282">
        <v>0</v>
      </c>
      <c r="H56" s="283"/>
      <c r="I56" s="284">
        <v>60000</v>
      </c>
      <c r="J56" s="285">
        <v>0</v>
      </c>
      <c r="K56" s="285">
        <v>0</v>
      </c>
      <c r="L56" s="285">
        <v>0</v>
      </c>
      <c r="M56" s="285">
        <v>0</v>
      </c>
      <c r="N56" s="285">
        <v>0</v>
      </c>
      <c r="O56" s="285">
        <v>0</v>
      </c>
      <c r="P56" s="285">
        <v>0</v>
      </c>
      <c r="Q56" s="285">
        <v>0</v>
      </c>
      <c r="R56" s="286">
        <f>SUM(J56:Q56)</f>
        <v>0</v>
      </c>
      <c r="S56" s="287">
        <f>I56-R56</f>
        <v>60000</v>
      </c>
      <c r="T56" s="288">
        <f>G56-I56</f>
        <v>-60000</v>
      </c>
      <c r="U56" s="289">
        <v>0</v>
      </c>
      <c r="V56" s="290" t="e">
        <f t="shared" si="0"/>
        <v>#DIV/0!</v>
      </c>
      <c r="X56" s="329"/>
      <c r="Y56" s="285"/>
      <c r="Z56" s="285"/>
      <c r="AA56" s="285"/>
      <c r="AB56" s="285"/>
      <c r="AC56" s="285"/>
      <c r="AD56" s="285"/>
      <c r="AE56" s="285"/>
    </row>
    <row r="57" spans="1:31" ht="18.95" customHeight="1">
      <c r="A57" s="312"/>
      <c r="B57" s="279"/>
      <c r="C57" s="280" t="s">
        <v>80</v>
      </c>
      <c r="D57" s="281" t="s">
        <v>43</v>
      </c>
      <c r="E57" s="282">
        <v>0</v>
      </c>
      <c r="F57" s="283"/>
      <c r="G57" s="282">
        <v>0</v>
      </c>
      <c r="H57" s="283"/>
      <c r="I57" s="284">
        <v>0</v>
      </c>
      <c r="J57" s="285">
        <v>0</v>
      </c>
      <c r="K57" s="285">
        <v>0</v>
      </c>
      <c r="L57" s="285">
        <v>0</v>
      </c>
      <c r="M57" s="285">
        <v>0</v>
      </c>
      <c r="N57" s="285">
        <v>0</v>
      </c>
      <c r="O57" s="285">
        <v>0</v>
      </c>
      <c r="P57" s="285">
        <v>0</v>
      </c>
      <c r="Q57" s="285">
        <v>0</v>
      </c>
      <c r="R57" s="286">
        <f>SUM(J57:Q57)</f>
        <v>0</v>
      </c>
      <c r="S57" s="287">
        <f>I57-R57</f>
        <v>0</v>
      </c>
      <c r="T57" s="288">
        <f>G57-I57</f>
        <v>0</v>
      </c>
      <c r="U57" s="289">
        <v>0</v>
      </c>
      <c r="V57" s="290" t="e">
        <f t="shared" si="0"/>
        <v>#DIV/0!</v>
      </c>
      <c r="X57" s="329"/>
      <c r="Y57" s="285"/>
      <c r="Z57" s="285"/>
      <c r="AA57" s="285"/>
      <c r="AB57" s="285"/>
      <c r="AC57" s="285"/>
      <c r="AD57" s="285"/>
      <c r="AE57" s="285"/>
    </row>
    <row r="58" spans="1:31" ht="18.95" customHeight="1">
      <c r="A58" s="313"/>
      <c r="B58" s="279"/>
      <c r="C58" s="280" t="s">
        <v>85</v>
      </c>
      <c r="D58" s="281" t="s">
        <v>43</v>
      </c>
      <c r="E58" s="282">
        <v>0</v>
      </c>
      <c r="F58" s="283"/>
      <c r="G58" s="282">
        <v>0</v>
      </c>
      <c r="H58" s="283"/>
      <c r="I58" s="284">
        <v>0</v>
      </c>
      <c r="J58" s="285">
        <v>0</v>
      </c>
      <c r="K58" s="285">
        <v>0</v>
      </c>
      <c r="L58" s="285">
        <v>0</v>
      </c>
      <c r="M58" s="285">
        <v>0</v>
      </c>
      <c r="N58" s="285">
        <v>0</v>
      </c>
      <c r="O58" s="285">
        <v>0</v>
      </c>
      <c r="P58" s="285">
        <v>0</v>
      </c>
      <c r="Q58" s="285">
        <v>0</v>
      </c>
      <c r="R58" s="286">
        <f>SUM(J58:Q58)</f>
        <v>0</v>
      </c>
      <c r="S58" s="287">
        <f>I58-R58</f>
        <v>0</v>
      </c>
      <c r="T58" s="288">
        <f>G58-I58</f>
        <v>0</v>
      </c>
      <c r="U58" s="289">
        <v>0</v>
      </c>
      <c r="V58" s="290" t="e">
        <f t="shared" si="0"/>
        <v>#DIV/0!</v>
      </c>
      <c r="X58" s="329"/>
      <c r="Y58" s="285"/>
      <c r="Z58" s="285"/>
      <c r="AA58" s="285"/>
      <c r="AB58" s="285"/>
      <c r="AC58" s="285"/>
      <c r="AD58" s="285"/>
      <c r="AE58" s="285"/>
    </row>
    <row r="59" spans="1:31" ht="18.95" customHeight="1">
      <c r="A59" s="314" t="s">
        <v>86</v>
      </c>
      <c r="B59" s="291" t="s">
        <v>38</v>
      </c>
      <c r="C59" s="292" t="s">
        <v>87</v>
      </c>
      <c r="D59" s="293" t="s">
        <v>40</v>
      </c>
      <c r="E59" s="294">
        <v>2752050</v>
      </c>
      <c r="F59" s="295"/>
      <c r="G59" s="294">
        <v>2659000</v>
      </c>
      <c r="H59" s="295"/>
      <c r="I59" s="296">
        <v>2659000</v>
      </c>
      <c r="J59" s="273">
        <v>0</v>
      </c>
      <c r="K59" s="273">
        <v>0</v>
      </c>
      <c r="L59" s="273">
        <v>0</v>
      </c>
      <c r="M59" s="273">
        <v>0</v>
      </c>
      <c r="N59" s="273">
        <v>710000</v>
      </c>
      <c r="O59" s="273">
        <v>1910000</v>
      </c>
      <c r="P59" s="273">
        <v>0</v>
      </c>
      <c r="Q59" s="273">
        <v>0</v>
      </c>
      <c r="R59" s="274">
        <f>SUM(J59:Q59)</f>
        <v>2620000</v>
      </c>
      <c r="S59" s="275">
        <f>I59-R59</f>
        <v>39000</v>
      </c>
      <c r="T59" s="276">
        <f>G59-I59</f>
        <v>0</v>
      </c>
      <c r="U59" s="297">
        <v>0</v>
      </c>
      <c r="V59" s="278" t="e">
        <f t="shared" si="0"/>
        <v>#DIV/0!</v>
      </c>
      <c r="X59" s="328"/>
      <c r="Y59" s="273"/>
      <c r="Z59" s="273"/>
      <c r="AA59" s="273"/>
      <c r="AB59" s="273"/>
      <c r="AC59" s="273"/>
      <c r="AD59" s="273"/>
      <c r="AE59" s="273"/>
    </row>
    <row r="60" spans="1:31" ht="18.95" customHeight="1">
      <c r="A60" s="312"/>
      <c r="B60" s="279" t="s">
        <v>53</v>
      </c>
      <c r="C60" s="280" t="s">
        <v>88</v>
      </c>
      <c r="D60" s="281" t="s">
        <v>43</v>
      </c>
      <c r="E60" s="282">
        <v>0</v>
      </c>
      <c r="F60" s="283"/>
      <c r="G60" s="282">
        <v>0</v>
      </c>
      <c r="H60" s="283"/>
      <c r="I60" s="284">
        <v>0</v>
      </c>
      <c r="J60" s="285">
        <v>0</v>
      </c>
      <c r="K60" s="285">
        <v>0</v>
      </c>
      <c r="L60" s="285">
        <v>0</v>
      </c>
      <c r="M60" s="285">
        <v>0</v>
      </c>
      <c r="N60" s="285">
        <v>0</v>
      </c>
      <c r="O60" s="285">
        <v>1260</v>
      </c>
      <c r="P60" s="285">
        <v>0</v>
      </c>
      <c r="Q60" s="285">
        <v>0</v>
      </c>
      <c r="R60" s="286">
        <f>SUM(J60:Q60)</f>
        <v>1260</v>
      </c>
      <c r="S60" s="287">
        <f>I60-R60</f>
        <v>-1260</v>
      </c>
      <c r="T60" s="288">
        <f>G60-I60</f>
        <v>0</v>
      </c>
      <c r="U60" s="289">
        <v>0</v>
      </c>
      <c r="V60" s="290" t="e">
        <f t="shared" si="0"/>
        <v>#DIV/0!</v>
      </c>
      <c r="X60" s="329"/>
      <c r="Y60" s="285"/>
      <c r="Z60" s="285"/>
      <c r="AA60" s="285"/>
      <c r="AB60" s="285"/>
      <c r="AC60" s="285"/>
      <c r="AD60" s="285"/>
      <c r="AE60" s="285"/>
    </row>
    <row r="61" spans="1:31" ht="18.95" customHeight="1">
      <c r="A61" s="312"/>
      <c r="B61" s="279" t="s">
        <v>89</v>
      </c>
      <c r="C61" s="280" t="s">
        <v>88</v>
      </c>
      <c r="D61" s="281" t="s">
        <v>43</v>
      </c>
      <c r="E61" s="282">
        <v>0</v>
      </c>
      <c r="F61" s="283"/>
      <c r="G61" s="282">
        <v>0</v>
      </c>
      <c r="H61" s="283"/>
      <c r="I61" s="284">
        <v>0</v>
      </c>
      <c r="J61" s="285">
        <v>0</v>
      </c>
      <c r="K61" s="285">
        <v>0</v>
      </c>
      <c r="L61" s="285">
        <v>19900</v>
      </c>
      <c r="M61" s="285">
        <v>0</v>
      </c>
      <c r="N61" s="285">
        <v>474400</v>
      </c>
      <c r="O61" s="285">
        <v>217600</v>
      </c>
      <c r="P61" s="285">
        <v>0</v>
      </c>
      <c r="Q61" s="285">
        <v>0</v>
      </c>
      <c r="R61" s="286">
        <f>SUM(J61:Q61)</f>
        <v>711900</v>
      </c>
      <c r="S61" s="287">
        <f>I61-R61</f>
        <v>-711900</v>
      </c>
      <c r="T61" s="288">
        <f>G61-I61</f>
        <v>0</v>
      </c>
      <c r="U61" s="289">
        <v>0</v>
      </c>
      <c r="V61" s="290" t="e">
        <f t="shared" si="0"/>
        <v>#DIV/0!</v>
      </c>
      <c r="X61" s="329"/>
      <c r="Y61" s="285"/>
      <c r="Z61" s="285"/>
      <c r="AA61" s="285"/>
      <c r="AB61" s="285"/>
      <c r="AC61" s="285"/>
      <c r="AD61" s="285"/>
      <c r="AE61" s="285"/>
    </row>
    <row r="62" spans="1:31" ht="18.95" customHeight="1">
      <c r="A62" s="312"/>
      <c r="B62" s="279"/>
      <c r="C62" s="280" t="s">
        <v>87</v>
      </c>
      <c r="D62" s="281" t="s">
        <v>43</v>
      </c>
      <c r="E62" s="282">
        <v>0</v>
      </c>
      <c r="F62" s="283"/>
      <c r="G62" s="282">
        <v>50000</v>
      </c>
      <c r="H62" s="283"/>
      <c r="I62" s="284">
        <v>50000</v>
      </c>
      <c r="J62" s="285">
        <v>0</v>
      </c>
      <c r="K62" s="285">
        <v>0</v>
      </c>
      <c r="L62" s="285">
        <v>0</v>
      </c>
      <c r="M62" s="285">
        <v>0</v>
      </c>
      <c r="N62" s="285">
        <v>0</v>
      </c>
      <c r="O62" s="285">
        <v>0</v>
      </c>
      <c r="P62" s="285">
        <v>0</v>
      </c>
      <c r="Q62" s="285">
        <v>0</v>
      </c>
      <c r="R62" s="286">
        <f>SUM(J62:Q62)</f>
        <v>0</v>
      </c>
      <c r="S62" s="287">
        <f>I62-R62</f>
        <v>50000</v>
      </c>
      <c r="T62" s="288">
        <f>G62-I62</f>
        <v>0</v>
      </c>
      <c r="U62" s="289">
        <v>0</v>
      </c>
      <c r="V62" s="290" t="e">
        <f t="shared" si="0"/>
        <v>#DIV/0!</v>
      </c>
      <c r="X62" s="329"/>
      <c r="Y62" s="285"/>
      <c r="Z62" s="285"/>
      <c r="AA62" s="285"/>
      <c r="AB62" s="285"/>
      <c r="AC62" s="285"/>
      <c r="AD62" s="285"/>
      <c r="AE62" s="285"/>
    </row>
    <row r="63" spans="1:31" ht="18.95" customHeight="1">
      <c r="A63" s="313"/>
      <c r="B63" s="279"/>
      <c r="C63" s="280" t="s">
        <v>88</v>
      </c>
      <c r="D63" s="281" t="s">
        <v>43</v>
      </c>
      <c r="E63" s="282">
        <v>715800</v>
      </c>
      <c r="F63" s="283"/>
      <c r="G63" s="282">
        <v>715800</v>
      </c>
      <c r="H63" s="283"/>
      <c r="I63" s="284">
        <v>815800</v>
      </c>
      <c r="J63" s="285">
        <v>0</v>
      </c>
      <c r="K63" s="285">
        <v>0</v>
      </c>
      <c r="L63" s="285">
        <v>0</v>
      </c>
      <c r="M63" s="285">
        <v>0</v>
      </c>
      <c r="N63" s="285">
        <v>0</v>
      </c>
      <c r="O63" s="285">
        <v>0</v>
      </c>
      <c r="P63" s="285">
        <v>0</v>
      </c>
      <c r="Q63" s="285">
        <v>0</v>
      </c>
      <c r="R63" s="286">
        <f>SUM(J63:Q63)</f>
        <v>0</v>
      </c>
      <c r="S63" s="287">
        <f>I63-R63</f>
        <v>815800</v>
      </c>
      <c r="T63" s="288">
        <f>G63-I63</f>
        <v>-100000</v>
      </c>
      <c r="U63" s="289">
        <v>0</v>
      </c>
      <c r="V63" s="290" t="e">
        <f t="shared" si="0"/>
        <v>#DIV/0!</v>
      </c>
      <c r="X63" s="329"/>
      <c r="Y63" s="285"/>
      <c r="Z63" s="285"/>
      <c r="AA63" s="285"/>
      <c r="AB63" s="285"/>
      <c r="AC63" s="285"/>
      <c r="AD63" s="285"/>
      <c r="AE63" s="285"/>
    </row>
    <row r="64" spans="1:31" ht="18.95" customHeight="1">
      <c r="A64" s="314" t="s">
        <v>90</v>
      </c>
      <c r="B64" s="291" t="s">
        <v>38</v>
      </c>
      <c r="C64" s="292" t="s">
        <v>91</v>
      </c>
      <c r="D64" s="293" t="s">
        <v>40</v>
      </c>
      <c r="E64" s="294">
        <v>2083500</v>
      </c>
      <c r="F64" s="295"/>
      <c r="G64" s="294">
        <v>2152500</v>
      </c>
      <c r="H64" s="295"/>
      <c r="I64" s="296">
        <v>2152500</v>
      </c>
      <c r="J64" s="273">
        <v>0</v>
      </c>
      <c r="K64" s="273">
        <v>0</v>
      </c>
      <c r="L64" s="273">
        <v>500000</v>
      </c>
      <c r="M64" s="273">
        <v>1080000</v>
      </c>
      <c r="N64" s="273">
        <v>100000</v>
      </c>
      <c r="O64" s="273">
        <v>120000</v>
      </c>
      <c r="P64" s="273">
        <v>0</v>
      </c>
      <c r="Q64" s="273">
        <v>0</v>
      </c>
      <c r="R64" s="274">
        <f>SUM(J64:Q64)</f>
        <v>1800000</v>
      </c>
      <c r="S64" s="275">
        <f>I64-R64</f>
        <v>352500</v>
      </c>
      <c r="T64" s="276">
        <f>G64-I64</f>
        <v>0</v>
      </c>
      <c r="U64" s="297">
        <v>86</v>
      </c>
      <c r="V64" s="278">
        <f t="shared" si="0"/>
        <v>20930.232558139534</v>
      </c>
      <c r="X64" s="328"/>
      <c r="Y64" s="273"/>
      <c r="Z64" s="273"/>
      <c r="AA64" s="273"/>
      <c r="AB64" s="273"/>
      <c r="AC64" s="273"/>
      <c r="AD64" s="273"/>
      <c r="AE64" s="273"/>
    </row>
    <row r="65" spans="1:31" ht="18.95" customHeight="1">
      <c r="A65" s="312"/>
      <c r="B65" s="279" t="s">
        <v>38</v>
      </c>
      <c r="C65" s="280" t="s">
        <v>92</v>
      </c>
      <c r="D65" s="281" t="s">
        <v>40</v>
      </c>
      <c r="E65" s="282">
        <v>60000</v>
      </c>
      <c r="F65" s="283"/>
      <c r="G65" s="282">
        <v>52500</v>
      </c>
      <c r="H65" s="283"/>
      <c r="I65" s="284">
        <v>52500</v>
      </c>
      <c r="J65" s="285">
        <v>0</v>
      </c>
      <c r="K65" s="285">
        <v>0</v>
      </c>
      <c r="L65" s="285">
        <v>0</v>
      </c>
      <c r="M65" s="285">
        <v>0</v>
      </c>
      <c r="N65" s="285">
        <v>0</v>
      </c>
      <c r="O65" s="285">
        <v>0</v>
      </c>
      <c r="P65" s="285">
        <v>0</v>
      </c>
      <c r="Q65" s="285">
        <v>0</v>
      </c>
      <c r="R65" s="286">
        <f>SUM(J65:Q65)</f>
        <v>0</v>
      </c>
      <c r="S65" s="287">
        <f>I65-R65</f>
        <v>52500</v>
      </c>
      <c r="T65" s="288">
        <f>G65-I65</f>
        <v>0</v>
      </c>
      <c r="U65" s="289">
        <v>0</v>
      </c>
      <c r="V65" s="290" t="e">
        <f t="shared" si="0"/>
        <v>#DIV/0!</v>
      </c>
      <c r="X65" s="329"/>
      <c r="Y65" s="285"/>
      <c r="Z65" s="285"/>
      <c r="AA65" s="285"/>
      <c r="AB65" s="285"/>
      <c r="AC65" s="285"/>
      <c r="AD65" s="285"/>
      <c r="AE65" s="285"/>
    </row>
    <row r="66" spans="1:31" ht="18.95" customHeight="1">
      <c r="A66" s="312"/>
      <c r="B66" s="279" t="s">
        <v>89</v>
      </c>
      <c r="C66" s="280" t="s">
        <v>93</v>
      </c>
      <c r="D66" s="281" t="s">
        <v>43</v>
      </c>
      <c r="E66" s="282">
        <v>0</v>
      </c>
      <c r="F66" s="283"/>
      <c r="G66" s="282">
        <v>0</v>
      </c>
      <c r="H66" s="283"/>
      <c r="I66" s="284">
        <v>0</v>
      </c>
      <c r="J66" s="285">
        <v>0</v>
      </c>
      <c r="K66" s="285">
        <v>0</v>
      </c>
      <c r="L66" s="285">
        <v>123300</v>
      </c>
      <c r="M66" s="285">
        <v>185400</v>
      </c>
      <c r="N66" s="285">
        <v>0</v>
      </c>
      <c r="O66" s="285">
        <v>0</v>
      </c>
      <c r="P66" s="285">
        <v>0</v>
      </c>
      <c r="Q66" s="285">
        <v>0</v>
      </c>
      <c r="R66" s="286">
        <f>SUM(J66:Q66)</f>
        <v>308700</v>
      </c>
      <c r="S66" s="287">
        <f>I66-R66</f>
        <v>-308700</v>
      </c>
      <c r="T66" s="288">
        <f>G66-I66</f>
        <v>0</v>
      </c>
      <c r="U66" s="289">
        <v>0</v>
      </c>
      <c r="V66" s="290" t="e">
        <f t="shared" si="0"/>
        <v>#DIV/0!</v>
      </c>
      <c r="X66" s="329"/>
      <c r="Y66" s="285"/>
      <c r="Z66" s="285"/>
      <c r="AA66" s="285"/>
      <c r="AB66" s="285"/>
      <c r="AC66" s="285"/>
      <c r="AD66" s="285"/>
      <c r="AE66" s="285"/>
    </row>
    <row r="67" spans="1:31" ht="18.95" customHeight="1">
      <c r="A67" s="312"/>
      <c r="B67" s="279"/>
      <c r="C67" s="280" t="s">
        <v>91</v>
      </c>
      <c r="D67" s="281" t="s">
        <v>43</v>
      </c>
      <c r="E67" s="282">
        <v>0</v>
      </c>
      <c r="F67" s="283"/>
      <c r="G67" s="282">
        <v>0</v>
      </c>
      <c r="H67" s="283"/>
      <c r="I67" s="284">
        <v>0</v>
      </c>
      <c r="J67" s="285">
        <v>0</v>
      </c>
      <c r="K67" s="285">
        <v>0</v>
      </c>
      <c r="L67" s="285">
        <v>0</v>
      </c>
      <c r="M67" s="285">
        <v>0</v>
      </c>
      <c r="N67" s="285">
        <v>0</v>
      </c>
      <c r="O67" s="285">
        <v>0</v>
      </c>
      <c r="P67" s="285">
        <v>0</v>
      </c>
      <c r="Q67" s="285">
        <v>0</v>
      </c>
      <c r="R67" s="286">
        <f>SUM(J67:Q67)</f>
        <v>0</v>
      </c>
      <c r="S67" s="287">
        <f>I67-R67</f>
        <v>0</v>
      </c>
      <c r="T67" s="288">
        <f>G67-I67</f>
        <v>0</v>
      </c>
      <c r="U67" s="289">
        <v>0</v>
      </c>
      <c r="V67" s="290" t="e">
        <f t="shared" si="0"/>
        <v>#DIV/0!</v>
      </c>
      <c r="X67" s="329"/>
      <c r="Y67" s="285"/>
      <c r="Z67" s="285"/>
      <c r="AA67" s="285"/>
      <c r="AB67" s="285"/>
      <c r="AC67" s="285"/>
      <c r="AD67" s="285"/>
      <c r="AE67" s="285"/>
    </row>
    <row r="68" spans="1:31" ht="18.95" customHeight="1">
      <c r="A68" s="312"/>
      <c r="B68" s="279"/>
      <c r="C68" s="280" t="s">
        <v>93</v>
      </c>
      <c r="D68" s="281" t="s">
        <v>43</v>
      </c>
      <c r="E68" s="282">
        <v>118300</v>
      </c>
      <c r="F68" s="283"/>
      <c r="G68" s="282">
        <v>539300</v>
      </c>
      <c r="H68" s="283"/>
      <c r="I68" s="284">
        <v>439300</v>
      </c>
      <c r="J68" s="285">
        <v>0</v>
      </c>
      <c r="K68" s="285">
        <v>0</v>
      </c>
      <c r="L68" s="285">
        <v>0</v>
      </c>
      <c r="M68" s="285">
        <v>0</v>
      </c>
      <c r="N68" s="285">
        <v>0</v>
      </c>
      <c r="O68" s="285">
        <v>0</v>
      </c>
      <c r="P68" s="285">
        <v>0</v>
      </c>
      <c r="Q68" s="285">
        <v>0</v>
      </c>
      <c r="R68" s="286">
        <f>SUM(J68:Q68)</f>
        <v>0</v>
      </c>
      <c r="S68" s="287">
        <f>I68-R68</f>
        <v>439300</v>
      </c>
      <c r="T68" s="288">
        <f>G68-I68</f>
        <v>100000</v>
      </c>
      <c r="U68" s="289">
        <v>0</v>
      </c>
      <c r="V68" s="290" t="e">
        <f t="shared" si="0"/>
        <v>#DIV/0!</v>
      </c>
      <c r="X68" s="329"/>
      <c r="Y68" s="285"/>
      <c r="Z68" s="285"/>
      <c r="AA68" s="285"/>
      <c r="AB68" s="285"/>
      <c r="AC68" s="285"/>
      <c r="AD68" s="285"/>
      <c r="AE68" s="285"/>
    </row>
    <row r="69" spans="1:31" ht="18.95" customHeight="1">
      <c r="A69" s="312"/>
      <c r="B69" s="279"/>
      <c r="C69" s="280" t="s">
        <v>92</v>
      </c>
      <c r="D69" s="281" t="s">
        <v>43</v>
      </c>
      <c r="E69" s="282">
        <v>0</v>
      </c>
      <c r="F69" s="283"/>
      <c r="G69" s="282">
        <v>0</v>
      </c>
      <c r="H69" s="283"/>
      <c r="I69" s="284">
        <v>0</v>
      </c>
      <c r="J69" s="285">
        <v>0</v>
      </c>
      <c r="K69" s="285">
        <v>0</v>
      </c>
      <c r="L69" s="285">
        <v>0</v>
      </c>
      <c r="M69" s="285">
        <v>0</v>
      </c>
      <c r="N69" s="285">
        <v>0</v>
      </c>
      <c r="O69" s="285">
        <v>0</v>
      </c>
      <c r="P69" s="285">
        <v>0</v>
      </c>
      <c r="Q69" s="285">
        <v>0</v>
      </c>
      <c r="R69" s="286">
        <f>SUM(J69:Q69)</f>
        <v>0</v>
      </c>
      <c r="S69" s="287">
        <f>I69-R69</f>
        <v>0</v>
      </c>
      <c r="T69" s="288">
        <f>G69-I69</f>
        <v>0</v>
      </c>
      <c r="U69" s="289">
        <v>0</v>
      </c>
      <c r="V69" s="290" t="e">
        <f t="shared" si="0"/>
        <v>#DIV/0!</v>
      </c>
      <c r="X69" s="329"/>
      <c r="Y69" s="285"/>
      <c r="Z69" s="285"/>
      <c r="AA69" s="285"/>
      <c r="AB69" s="285"/>
      <c r="AC69" s="285"/>
      <c r="AD69" s="285"/>
      <c r="AE69" s="285"/>
    </row>
    <row r="70" spans="1:31" ht="18.95" customHeight="1">
      <c r="A70" s="313"/>
      <c r="B70" s="279"/>
      <c r="C70" s="280" t="s">
        <v>94</v>
      </c>
      <c r="D70" s="281" t="s">
        <v>43</v>
      </c>
      <c r="E70" s="282">
        <v>0</v>
      </c>
      <c r="F70" s="283"/>
      <c r="G70" s="282">
        <v>0</v>
      </c>
      <c r="H70" s="283"/>
      <c r="I70" s="284">
        <v>0</v>
      </c>
      <c r="J70" s="285">
        <v>0</v>
      </c>
      <c r="K70" s="285">
        <v>0</v>
      </c>
      <c r="L70" s="285">
        <v>0</v>
      </c>
      <c r="M70" s="285">
        <v>0</v>
      </c>
      <c r="N70" s="285">
        <v>0</v>
      </c>
      <c r="O70" s="285">
        <v>0</v>
      </c>
      <c r="P70" s="285">
        <v>0</v>
      </c>
      <c r="Q70" s="285">
        <v>0</v>
      </c>
      <c r="R70" s="286">
        <f>SUM(J70:Q70)</f>
        <v>0</v>
      </c>
      <c r="S70" s="287">
        <f>I70-R70</f>
        <v>0</v>
      </c>
      <c r="T70" s="288">
        <f>G70-I70</f>
        <v>0</v>
      </c>
      <c r="U70" s="289">
        <v>0</v>
      </c>
      <c r="V70" s="290" t="e">
        <f t="shared" si="0"/>
        <v>#DIV/0!</v>
      </c>
      <c r="X70" s="329"/>
      <c r="Y70" s="285"/>
      <c r="Z70" s="285"/>
      <c r="AA70" s="285"/>
      <c r="AB70" s="285"/>
      <c r="AC70" s="285"/>
      <c r="AD70" s="285"/>
      <c r="AE70" s="285"/>
    </row>
    <row r="71" spans="1:31" ht="18.95" customHeight="1">
      <c r="A71" s="314" t="s">
        <v>95</v>
      </c>
      <c r="B71" s="291" t="s">
        <v>38</v>
      </c>
      <c r="C71" s="292" t="s">
        <v>96</v>
      </c>
      <c r="D71" s="293" t="s">
        <v>40</v>
      </c>
      <c r="E71" s="294">
        <v>267800</v>
      </c>
      <c r="F71" s="295"/>
      <c r="G71" s="294">
        <v>282240</v>
      </c>
      <c r="H71" s="295"/>
      <c r="I71" s="296">
        <v>282240</v>
      </c>
      <c r="J71" s="273">
        <v>0</v>
      </c>
      <c r="K71" s="273">
        <v>0</v>
      </c>
      <c r="L71" s="273">
        <v>0</v>
      </c>
      <c r="M71" s="273">
        <v>0</v>
      </c>
      <c r="N71" s="273">
        <v>0</v>
      </c>
      <c r="O71" s="273">
        <v>0</v>
      </c>
      <c r="P71" s="273">
        <v>0</v>
      </c>
      <c r="Q71" s="273">
        <v>0</v>
      </c>
      <c r="R71" s="274">
        <f>SUM(J71:Q71)</f>
        <v>0</v>
      </c>
      <c r="S71" s="275">
        <f>I71-R71</f>
        <v>282240</v>
      </c>
      <c r="T71" s="276">
        <f>G71-I71</f>
        <v>0</v>
      </c>
      <c r="U71" s="297">
        <v>0</v>
      </c>
      <c r="V71" s="278" t="e">
        <f t="shared" si="0"/>
        <v>#DIV/0!</v>
      </c>
      <c r="X71" s="328"/>
      <c r="Y71" s="273"/>
      <c r="Z71" s="273"/>
      <c r="AA71" s="273"/>
      <c r="AB71" s="273"/>
      <c r="AC71" s="273"/>
      <c r="AD71" s="273"/>
      <c r="AE71" s="273"/>
    </row>
    <row r="72" spans="1:31" ht="18.95" customHeight="1">
      <c r="A72" s="312"/>
      <c r="B72" s="279" t="s">
        <v>38</v>
      </c>
      <c r="C72" s="280" t="s">
        <v>97</v>
      </c>
      <c r="D72" s="281" t="s">
        <v>40</v>
      </c>
      <c r="E72" s="282">
        <v>1378700</v>
      </c>
      <c r="F72" s="283"/>
      <c r="G72" s="282">
        <v>3052820</v>
      </c>
      <c r="H72" s="283"/>
      <c r="I72" s="284">
        <v>1652820</v>
      </c>
      <c r="J72" s="285">
        <v>0</v>
      </c>
      <c r="K72" s="285">
        <v>0</v>
      </c>
      <c r="L72" s="285">
        <v>0</v>
      </c>
      <c r="M72" s="285">
        <v>0</v>
      </c>
      <c r="N72" s="285">
        <v>0</v>
      </c>
      <c r="O72" s="285">
        <v>0</v>
      </c>
      <c r="P72" s="285">
        <v>0</v>
      </c>
      <c r="Q72" s="285">
        <v>0</v>
      </c>
      <c r="R72" s="286">
        <f>SUM(J72:Q72)</f>
        <v>0</v>
      </c>
      <c r="S72" s="287">
        <f>I72-R72</f>
        <v>1652820</v>
      </c>
      <c r="T72" s="288">
        <f>G72-I72</f>
        <v>1400000</v>
      </c>
      <c r="U72" s="289">
        <v>0</v>
      </c>
      <c r="V72" s="290" t="e">
        <f t="shared" ref="V72:V117" si="1">R72/U72</f>
        <v>#DIV/0!</v>
      </c>
      <c r="X72" s="329"/>
      <c r="Y72" s="285"/>
      <c r="Z72" s="285"/>
      <c r="AA72" s="285"/>
      <c r="AB72" s="285"/>
      <c r="AC72" s="285"/>
      <c r="AD72" s="285"/>
      <c r="AE72" s="285"/>
    </row>
    <row r="73" spans="1:31" ht="18.95" customHeight="1">
      <c r="A73" s="312"/>
      <c r="B73" s="279" t="s">
        <v>53</v>
      </c>
      <c r="C73" s="280" t="s">
        <v>98</v>
      </c>
      <c r="D73" s="281" t="s">
        <v>43</v>
      </c>
      <c r="E73" s="282">
        <v>0</v>
      </c>
      <c r="F73" s="283"/>
      <c r="G73" s="282">
        <v>0</v>
      </c>
      <c r="H73" s="283"/>
      <c r="I73" s="284">
        <v>0</v>
      </c>
      <c r="J73" s="285">
        <v>0</v>
      </c>
      <c r="K73" s="285">
        <v>0</v>
      </c>
      <c r="L73" s="285">
        <v>0</v>
      </c>
      <c r="M73" s="285">
        <v>0</v>
      </c>
      <c r="N73" s="285">
        <v>0</v>
      </c>
      <c r="O73" s="285">
        <v>69620</v>
      </c>
      <c r="P73" s="285">
        <v>0</v>
      </c>
      <c r="Q73" s="285">
        <v>0</v>
      </c>
      <c r="R73" s="286">
        <f>SUM(J73:Q73)</f>
        <v>69620</v>
      </c>
      <c r="S73" s="287">
        <f>I73-R73</f>
        <v>-69620</v>
      </c>
      <c r="T73" s="288">
        <f>G73-I73</f>
        <v>0</v>
      </c>
      <c r="U73" s="289">
        <v>0</v>
      </c>
      <c r="V73" s="290" t="e">
        <f t="shared" si="1"/>
        <v>#DIV/0!</v>
      </c>
      <c r="X73" s="329"/>
      <c r="Y73" s="285"/>
      <c r="Z73" s="285"/>
      <c r="AA73" s="285"/>
      <c r="AB73" s="285"/>
      <c r="AC73" s="285"/>
      <c r="AD73" s="285"/>
      <c r="AE73" s="285"/>
    </row>
    <row r="74" spans="1:31" ht="18.95" customHeight="1">
      <c r="A74" s="312"/>
      <c r="B74" s="279" t="s">
        <v>99</v>
      </c>
      <c r="C74" s="280" t="s">
        <v>97</v>
      </c>
      <c r="D74" s="281" t="s">
        <v>100</v>
      </c>
      <c r="E74" s="282">
        <v>540000</v>
      </c>
      <c r="F74" s="283"/>
      <c r="G74" s="282">
        <v>0</v>
      </c>
      <c r="H74" s="283"/>
      <c r="I74" s="284">
        <v>331000</v>
      </c>
      <c r="J74" s="285">
        <v>0</v>
      </c>
      <c r="K74" s="285">
        <v>0</v>
      </c>
      <c r="L74" s="285">
        <v>0</v>
      </c>
      <c r="M74" s="285">
        <v>0</v>
      </c>
      <c r="N74" s="285">
        <v>331000</v>
      </c>
      <c r="O74" s="285">
        <v>0</v>
      </c>
      <c r="P74" s="285">
        <v>0</v>
      </c>
      <c r="Q74" s="285">
        <v>0</v>
      </c>
      <c r="R74" s="286">
        <f>SUM(J74:Q74)</f>
        <v>331000</v>
      </c>
      <c r="S74" s="287">
        <f>I74-R74</f>
        <v>0</v>
      </c>
      <c r="T74" s="288">
        <f>G74-I74</f>
        <v>-331000</v>
      </c>
      <c r="U74" s="289">
        <v>0</v>
      </c>
      <c r="V74" s="290" t="e">
        <f t="shared" si="1"/>
        <v>#DIV/0!</v>
      </c>
      <c r="X74" s="329"/>
      <c r="Y74" s="285"/>
      <c r="Z74" s="285"/>
      <c r="AA74" s="285"/>
      <c r="AB74" s="285"/>
      <c r="AC74" s="285"/>
      <c r="AD74" s="285"/>
      <c r="AE74" s="285"/>
    </row>
    <row r="75" spans="1:31" ht="18.95" customHeight="1">
      <c r="A75" s="312"/>
      <c r="B75" s="279" t="s">
        <v>99</v>
      </c>
      <c r="C75" s="280" t="s">
        <v>97</v>
      </c>
      <c r="D75" s="281" t="s">
        <v>101</v>
      </c>
      <c r="E75" s="282">
        <v>0</v>
      </c>
      <c r="F75" s="283"/>
      <c r="G75" s="282">
        <v>0</v>
      </c>
      <c r="H75" s="283"/>
      <c r="I75" s="284">
        <v>603000</v>
      </c>
      <c r="J75" s="285">
        <v>0</v>
      </c>
      <c r="K75" s="285">
        <v>0</v>
      </c>
      <c r="L75" s="285">
        <v>0</v>
      </c>
      <c r="M75" s="285">
        <v>0</v>
      </c>
      <c r="N75" s="285">
        <v>0</v>
      </c>
      <c r="O75" s="285">
        <v>603000</v>
      </c>
      <c r="P75" s="285">
        <v>0</v>
      </c>
      <c r="Q75" s="285">
        <v>0</v>
      </c>
      <c r="R75" s="286">
        <f>SUM(J75:Q75)</f>
        <v>603000</v>
      </c>
      <c r="S75" s="287">
        <f>I75-R75</f>
        <v>0</v>
      </c>
      <c r="T75" s="288">
        <f>G75-I75</f>
        <v>-603000</v>
      </c>
      <c r="U75" s="289">
        <v>0</v>
      </c>
      <c r="V75" s="290" t="e">
        <f t="shared" si="1"/>
        <v>#DIV/0!</v>
      </c>
      <c r="X75" s="329"/>
      <c r="Y75" s="285"/>
      <c r="Z75" s="285"/>
      <c r="AA75" s="285"/>
      <c r="AB75" s="285"/>
      <c r="AC75" s="285"/>
      <c r="AD75" s="285"/>
      <c r="AE75" s="285"/>
    </row>
    <row r="76" spans="1:31" ht="18.95" customHeight="1">
      <c r="A76" s="312"/>
      <c r="B76" s="279" t="s">
        <v>102</v>
      </c>
      <c r="C76" s="280" t="s">
        <v>96</v>
      </c>
      <c r="D76" s="281" t="s">
        <v>43</v>
      </c>
      <c r="E76" s="282">
        <v>0</v>
      </c>
      <c r="F76" s="283"/>
      <c r="G76" s="282">
        <v>0</v>
      </c>
      <c r="H76" s="283"/>
      <c r="I76" s="284">
        <v>0</v>
      </c>
      <c r="J76" s="285">
        <v>0</v>
      </c>
      <c r="K76" s="285">
        <v>0</v>
      </c>
      <c r="L76" s="285">
        <v>0</v>
      </c>
      <c r="M76" s="285">
        <v>0</v>
      </c>
      <c r="N76" s="285">
        <v>0</v>
      </c>
      <c r="O76" s="285">
        <v>0</v>
      </c>
      <c r="P76" s="285">
        <v>-74360</v>
      </c>
      <c r="Q76" s="285">
        <v>0</v>
      </c>
      <c r="R76" s="286">
        <f>SUM(J76:Q76)</f>
        <v>-74360</v>
      </c>
      <c r="S76" s="287">
        <f>I76-R76</f>
        <v>74360</v>
      </c>
      <c r="T76" s="288">
        <f>G76-I76</f>
        <v>0</v>
      </c>
      <c r="U76" s="289">
        <v>0</v>
      </c>
      <c r="V76" s="290" t="e">
        <f t="shared" si="1"/>
        <v>#DIV/0!</v>
      </c>
      <c r="X76" s="329"/>
      <c r="Y76" s="285"/>
      <c r="Z76" s="285"/>
      <c r="AA76" s="285"/>
      <c r="AB76" s="285"/>
      <c r="AC76" s="285"/>
      <c r="AD76" s="285"/>
      <c r="AE76" s="285"/>
    </row>
    <row r="77" spans="1:31" ht="18.95" customHeight="1">
      <c r="A77" s="312"/>
      <c r="B77" s="279" t="s">
        <v>102</v>
      </c>
      <c r="C77" s="280" t="s">
        <v>103</v>
      </c>
      <c r="D77" s="281" t="s">
        <v>104</v>
      </c>
      <c r="E77" s="282">
        <v>0</v>
      </c>
      <c r="F77" s="283"/>
      <c r="G77" s="282">
        <v>0</v>
      </c>
      <c r="H77" s="283"/>
      <c r="I77" s="284">
        <v>8150000</v>
      </c>
      <c r="J77" s="285">
        <v>0</v>
      </c>
      <c r="K77" s="285">
        <v>0</v>
      </c>
      <c r="L77" s="285">
        <v>0</v>
      </c>
      <c r="M77" s="285">
        <v>0</v>
      </c>
      <c r="N77" s="285">
        <v>4914450</v>
      </c>
      <c r="O77" s="285">
        <v>2273850</v>
      </c>
      <c r="P77" s="285">
        <v>0</v>
      </c>
      <c r="Q77" s="285">
        <v>0</v>
      </c>
      <c r="R77" s="286">
        <f>SUM(J77:Q77)</f>
        <v>7188300</v>
      </c>
      <c r="S77" s="287">
        <f>I77-R77</f>
        <v>961700</v>
      </c>
      <c r="T77" s="288">
        <f>G77-I77</f>
        <v>-8150000</v>
      </c>
      <c r="U77" s="289">
        <v>0</v>
      </c>
      <c r="V77" s="290" t="e">
        <f t="shared" si="1"/>
        <v>#DIV/0!</v>
      </c>
      <c r="X77" s="329"/>
      <c r="Y77" s="285"/>
      <c r="Z77" s="285"/>
      <c r="AA77" s="285"/>
      <c r="AB77" s="285"/>
      <c r="AC77" s="285"/>
      <c r="AD77" s="285"/>
      <c r="AE77" s="285"/>
    </row>
    <row r="78" spans="1:31" ht="18.95" customHeight="1">
      <c r="A78" s="312"/>
      <c r="B78" s="279"/>
      <c r="C78" s="280" t="s">
        <v>96</v>
      </c>
      <c r="D78" s="281" t="s">
        <v>43</v>
      </c>
      <c r="E78" s="282">
        <v>0</v>
      </c>
      <c r="F78" s="283"/>
      <c r="G78" s="282">
        <v>0</v>
      </c>
      <c r="H78" s="283"/>
      <c r="I78" s="284">
        <v>0</v>
      </c>
      <c r="J78" s="285">
        <v>0</v>
      </c>
      <c r="K78" s="285">
        <v>0</v>
      </c>
      <c r="L78" s="285">
        <v>0</v>
      </c>
      <c r="M78" s="285">
        <v>0</v>
      </c>
      <c r="N78" s="285">
        <v>0</v>
      </c>
      <c r="O78" s="285">
        <v>0</v>
      </c>
      <c r="P78" s="285">
        <v>0</v>
      </c>
      <c r="Q78" s="285">
        <v>0</v>
      </c>
      <c r="R78" s="286">
        <f>SUM(J78:Q78)</f>
        <v>0</v>
      </c>
      <c r="S78" s="287">
        <f>I78-R78</f>
        <v>0</v>
      </c>
      <c r="T78" s="288">
        <f>G78-I78</f>
        <v>0</v>
      </c>
      <c r="U78" s="289">
        <v>0</v>
      </c>
      <c r="V78" s="290" t="e">
        <f t="shared" si="1"/>
        <v>#DIV/0!</v>
      </c>
      <c r="X78" s="329"/>
      <c r="Y78" s="285"/>
      <c r="Z78" s="285"/>
      <c r="AA78" s="285"/>
      <c r="AB78" s="285"/>
      <c r="AC78" s="285"/>
      <c r="AD78" s="285"/>
      <c r="AE78" s="285"/>
    </row>
    <row r="79" spans="1:31" ht="18.95" customHeight="1">
      <c r="A79" s="312"/>
      <c r="B79" s="279"/>
      <c r="C79" s="280" t="s">
        <v>98</v>
      </c>
      <c r="D79" s="281" t="s">
        <v>43</v>
      </c>
      <c r="E79" s="282">
        <v>0</v>
      </c>
      <c r="F79" s="283"/>
      <c r="G79" s="282">
        <v>0</v>
      </c>
      <c r="H79" s="283"/>
      <c r="I79" s="284">
        <v>0</v>
      </c>
      <c r="J79" s="285">
        <v>0</v>
      </c>
      <c r="K79" s="285">
        <v>0</v>
      </c>
      <c r="L79" s="285">
        <v>0</v>
      </c>
      <c r="M79" s="285">
        <v>0</v>
      </c>
      <c r="N79" s="285">
        <v>0</v>
      </c>
      <c r="O79" s="285">
        <v>0</v>
      </c>
      <c r="P79" s="285">
        <v>0</v>
      </c>
      <c r="Q79" s="285">
        <v>0</v>
      </c>
      <c r="R79" s="286">
        <f>SUM(J79:Q79)</f>
        <v>0</v>
      </c>
      <c r="S79" s="287">
        <f>I79-R79</f>
        <v>0</v>
      </c>
      <c r="T79" s="288">
        <f>G79-I79</f>
        <v>0</v>
      </c>
      <c r="U79" s="289">
        <v>0</v>
      </c>
      <c r="V79" s="290" t="e">
        <f t="shared" si="1"/>
        <v>#DIV/0!</v>
      </c>
      <c r="X79" s="329"/>
      <c r="Y79" s="285"/>
      <c r="Z79" s="285"/>
      <c r="AA79" s="285"/>
      <c r="AB79" s="285"/>
      <c r="AC79" s="285"/>
      <c r="AD79" s="285"/>
      <c r="AE79" s="285"/>
    </row>
    <row r="80" spans="1:31" ht="18.95" customHeight="1">
      <c r="A80" s="312"/>
      <c r="B80" s="279"/>
      <c r="C80" s="280" t="s">
        <v>97</v>
      </c>
      <c r="D80" s="281" t="s">
        <v>43</v>
      </c>
      <c r="E80" s="282">
        <v>1070000</v>
      </c>
      <c r="F80" s="283"/>
      <c r="G80" s="282">
        <v>0</v>
      </c>
      <c r="H80" s="283"/>
      <c r="I80" s="284">
        <v>0</v>
      </c>
      <c r="J80" s="285">
        <v>0</v>
      </c>
      <c r="K80" s="285">
        <v>0</v>
      </c>
      <c r="L80" s="285">
        <v>0</v>
      </c>
      <c r="M80" s="285">
        <v>0</v>
      </c>
      <c r="N80" s="285">
        <v>0</v>
      </c>
      <c r="O80" s="285">
        <v>0</v>
      </c>
      <c r="P80" s="285">
        <v>0</v>
      </c>
      <c r="Q80" s="285">
        <v>0</v>
      </c>
      <c r="R80" s="286">
        <f>SUM(J80:Q80)</f>
        <v>0</v>
      </c>
      <c r="S80" s="287">
        <f>I80-R80</f>
        <v>0</v>
      </c>
      <c r="T80" s="288">
        <f>G80-I80</f>
        <v>0</v>
      </c>
      <c r="U80" s="289">
        <v>0</v>
      </c>
      <c r="V80" s="290" t="e">
        <f t="shared" si="1"/>
        <v>#DIV/0!</v>
      </c>
      <c r="X80" s="329"/>
      <c r="Y80" s="285"/>
      <c r="Z80" s="285"/>
      <c r="AA80" s="285"/>
      <c r="AB80" s="285"/>
      <c r="AC80" s="285"/>
      <c r="AD80" s="285"/>
      <c r="AE80" s="285"/>
    </row>
    <row r="81" spans="1:31" ht="18.95" customHeight="1">
      <c r="A81" s="313"/>
      <c r="B81" s="279"/>
      <c r="C81" s="280" t="s">
        <v>105</v>
      </c>
      <c r="D81" s="281" t="s">
        <v>43</v>
      </c>
      <c r="E81" s="282">
        <v>0</v>
      </c>
      <c r="F81" s="283"/>
      <c r="G81" s="282">
        <v>0</v>
      </c>
      <c r="H81" s="283"/>
      <c r="I81" s="284">
        <v>0</v>
      </c>
      <c r="J81" s="285">
        <v>0</v>
      </c>
      <c r="K81" s="285">
        <v>0</v>
      </c>
      <c r="L81" s="285">
        <v>0</v>
      </c>
      <c r="M81" s="285">
        <v>0</v>
      </c>
      <c r="N81" s="285">
        <v>0</v>
      </c>
      <c r="O81" s="285">
        <v>0</v>
      </c>
      <c r="P81" s="285">
        <v>0</v>
      </c>
      <c r="Q81" s="285">
        <v>0</v>
      </c>
      <c r="R81" s="286">
        <f>SUM(J81:Q81)</f>
        <v>0</v>
      </c>
      <c r="S81" s="287">
        <f>I81-R81</f>
        <v>0</v>
      </c>
      <c r="T81" s="288">
        <f>G81-I81</f>
        <v>0</v>
      </c>
      <c r="U81" s="289">
        <v>0</v>
      </c>
      <c r="V81" s="290" t="e">
        <f t="shared" si="1"/>
        <v>#DIV/0!</v>
      </c>
      <c r="X81" s="329"/>
      <c r="Y81" s="285"/>
      <c r="Z81" s="285"/>
      <c r="AA81" s="285"/>
      <c r="AB81" s="285"/>
      <c r="AC81" s="285"/>
      <c r="AD81" s="285"/>
      <c r="AE81" s="285"/>
    </row>
    <row r="82" spans="1:31" ht="18.95" customHeight="1">
      <c r="A82" s="314" t="s">
        <v>106</v>
      </c>
      <c r="B82" s="291" t="s">
        <v>38</v>
      </c>
      <c r="C82" s="292" t="s">
        <v>107</v>
      </c>
      <c r="D82" s="293" t="s">
        <v>40</v>
      </c>
      <c r="E82" s="294">
        <v>884700</v>
      </c>
      <c r="F82" s="295"/>
      <c r="G82" s="294">
        <v>1071750</v>
      </c>
      <c r="H82" s="295"/>
      <c r="I82" s="296">
        <v>1071750</v>
      </c>
      <c r="J82" s="273">
        <v>0</v>
      </c>
      <c r="K82" s="273">
        <v>0</v>
      </c>
      <c r="L82" s="273">
        <v>0</v>
      </c>
      <c r="M82" s="273">
        <v>0</v>
      </c>
      <c r="N82" s="273">
        <v>0</v>
      </c>
      <c r="O82" s="273">
        <v>0</v>
      </c>
      <c r="P82" s="273">
        <v>0</v>
      </c>
      <c r="Q82" s="273">
        <v>0</v>
      </c>
      <c r="R82" s="274">
        <f>SUM(J82:Q82)</f>
        <v>0</v>
      </c>
      <c r="S82" s="275">
        <f>I82-R82</f>
        <v>1071750</v>
      </c>
      <c r="T82" s="276">
        <f>G82-I82</f>
        <v>0</v>
      </c>
      <c r="U82" s="297">
        <v>8</v>
      </c>
      <c r="V82" s="278">
        <f t="shared" si="1"/>
        <v>0</v>
      </c>
      <c r="X82" s="328"/>
      <c r="Y82" s="273"/>
      <c r="Z82" s="273"/>
      <c r="AA82" s="273"/>
      <c r="AB82" s="273"/>
      <c r="AC82" s="273"/>
      <c r="AD82" s="273"/>
      <c r="AE82" s="273"/>
    </row>
    <row r="83" spans="1:31" ht="18.95" customHeight="1">
      <c r="A83" s="312"/>
      <c r="B83" s="279"/>
      <c r="C83" s="280" t="s">
        <v>107</v>
      </c>
      <c r="D83" s="281" t="s">
        <v>43</v>
      </c>
      <c r="E83" s="282">
        <v>0</v>
      </c>
      <c r="F83" s="283"/>
      <c r="G83" s="282">
        <v>0</v>
      </c>
      <c r="H83" s="283"/>
      <c r="I83" s="284">
        <v>0</v>
      </c>
      <c r="J83" s="285">
        <v>0</v>
      </c>
      <c r="K83" s="285">
        <v>0</v>
      </c>
      <c r="L83" s="285">
        <v>0</v>
      </c>
      <c r="M83" s="285">
        <v>0</v>
      </c>
      <c r="N83" s="285">
        <v>0</v>
      </c>
      <c r="O83" s="285">
        <v>0</v>
      </c>
      <c r="P83" s="285">
        <v>0</v>
      </c>
      <c r="Q83" s="285">
        <v>0</v>
      </c>
      <c r="R83" s="286">
        <f>SUM(J83:Q83)</f>
        <v>0</v>
      </c>
      <c r="S83" s="287">
        <f>I83-R83</f>
        <v>0</v>
      </c>
      <c r="T83" s="288">
        <f>G83-I83</f>
        <v>0</v>
      </c>
      <c r="U83" s="289">
        <v>0</v>
      </c>
      <c r="V83" s="290" t="e">
        <f t="shared" si="1"/>
        <v>#DIV/0!</v>
      </c>
      <c r="X83" s="329"/>
      <c r="Y83" s="285"/>
      <c r="Z83" s="285"/>
      <c r="AA83" s="285"/>
      <c r="AB83" s="285"/>
      <c r="AC83" s="285"/>
      <c r="AD83" s="285"/>
      <c r="AE83" s="285"/>
    </row>
    <row r="84" spans="1:31" ht="18.95" customHeight="1">
      <c r="A84" s="313"/>
      <c r="B84" s="279"/>
      <c r="C84" s="280" t="s">
        <v>108</v>
      </c>
      <c r="D84" s="281" t="s">
        <v>43</v>
      </c>
      <c r="E84" s="282">
        <v>0</v>
      </c>
      <c r="F84" s="283"/>
      <c r="G84" s="282">
        <v>0</v>
      </c>
      <c r="H84" s="283"/>
      <c r="I84" s="284">
        <v>0</v>
      </c>
      <c r="J84" s="285">
        <v>0</v>
      </c>
      <c r="K84" s="285">
        <v>0</v>
      </c>
      <c r="L84" s="285">
        <v>0</v>
      </c>
      <c r="M84" s="285">
        <v>0</v>
      </c>
      <c r="N84" s="285">
        <v>0</v>
      </c>
      <c r="O84" s="285">
        <v>0</v>
      </c>
      <c r="P84" s="285">
        <v>0</v>
      </c>
      <c r="Q84" s="285">
        <v>0</v>
      </c>
      <c r="R84" s="286">
        <f>SUM(J84:Q84)</f>
        <v>0</v>
      </c>
      <c r="S84" s="287">
        <f>I84-R84</f>
        <v>0</v>
      </c>
      <c r="T84" s="288">
        <f>G84-I84</f>
        <v>0</v>
      </c>
      <c r="U84" s="289">
        <v>0</v>
      </c>
      <c r="V84" s="290" t="e">
        <f t="shared" si="1"/>
        <v>#DIV/0!</v>
      </c>
      <c r="X84" s="329"/>
      <c r="Y84" s="285"/>
      <c r="Z84" s="285"/>
      <c r="AA84" s="285"/>
      <c r="AB84" s="285"/>
      <c r="AC84" s="285"/>
      <c r="AD84" s="285"/>
      <c r="AE84" s="285"/>
    </row>
    <row r="85" spans="1:31" ht="18.95" customHeight="1">
      <c r="A85" s="314" t="s">
        <v>109</v>
      </c>
      <c r="B85" s="291" t="s">
        <v>38</v>
      </c>
      <c r="C85" s="292" t="s">
        <v>110</v>
      </c>
      <c r="D85" s="293" t="s">
        <v>40</v>
      </c>
      <c r="E85" s="294">
        <v>4145400</v>
      </c>
      <c r="F85" s="295"/>
      <c r="G85" s="294">
        <v>4604830</v>
      </c>
      <c r="H85" s="295"/>
      <c r="I85" s="296">
        <v>4545390</v>
      </c>
      <c r="J85" s="273">
        <v>0</v>
      </c>
      <c r="K85" s="273">
        <v>0</v>
      </c>
      <c r="L85" s="273">
        <v>2800000</v>
      </c>
      <c r="M85" s="273">
        <v>0</v>
      </c>
      <c r="N85" s="273">
        <v>0</v>
      </c>
      <c r="O85" s="273">
        <v>1141700</v>
      </c>
      <c r="P85" s="273">
        <v>0</v>
      </c>
      <c r="Q85" s="273">
        <v>0</v>
      </c>
      <c r="R85" s="274">
        <f>SUM(J85:Q85)</f>
        <v>3941700</v>
      </c>
      <c r="S85" s="275">
        <f>I85-R85</f>
        <v>603690</v>
      </c>
      <c r="T85" s="276">
        <f>G85-I85</f>
        <v>59440</v>
      </c>
      <c r="U85" s="297">
        <v>2</v>
      </c>
      <c r="V85" s="278">
        <f t="shared" si="1"/>
        <v>1970850</v>
      </c>
      <c r="X85" s="328"/>
      <c r="Y85" s="273"/>
      <c r="Z85" s="273"/>
      <c r="AA85" s="273"/>
      <c r="AB85" s="273"/>
      <c r="AC85" s="273"/>
      <c r="AD85" s="273"/>
      <c r="AE85" s="273"/>
    </row>
    <row r="86" spans="1:31" ht="18.95" customHeight="1">
      <c r="A86" s="312"/>
      <c r="B86" s="279" t="s">
        <v>38</v>
      </c>
      <c r="C86" s="280" t="s">
        <v>110</v>
      </c>
      <c r="D86" s="281" t="s">
        <v>43</v>
      </c>
      <c r="E86" s="282">
        <v>0</v>
      </c>
      <c r="F86" s="283"/>
      <c r="G86" s="282">
        <v>0</v>
      </c>
      <c r="H86" s="283"/>
      <c r="I86" s="284">
        <v>0</v>
      </c>
      <c r="J86" s="285">
        <v>0</v>
      </c>
      <c r="K86" s="285">
        <v>0</v>
      </c>
      <c r="L86" s="285">
        <v>0</v>
      </c>
      <c r="M86" s="285">
        <v>0</v>
      </c>
      <c r="N86" s="285">
        <v>-158100</v>
      </c>
      <c r="O86" s="285">
        <v>-479500</v>
      </c>
      <c r="P86" s="285">
        <v>-727180</v>
      </c>
      <c r="Q86" s="285">
        <v>0</v>
      </c>
      <c r="R86" s="286">
        <f>SUM(J86:Q86)</f>
        <v>-1364780</v>
      </c>
      <c r="S86" s="287">
        <f>I86-R86</f>
        <v>1364780</v>
      </c>
      <c r="T86" s="288">
        <f>G86-I86</f>
        <v>0</v>
      </c>
      <c r="U86" s="289">
        <v>0</v>
      </c>
      <c r="V86" s="290" t="e">
        <f t="shared" si="1"/>
        <v>#DIV/0!</v>
      </c>
      <c r="X86" s="329"/>
      <c r="Y86" s="285"/>
      <c r="Z86" s="285"/>
      <c r="AA86" s="285"/>
      <c r="AB86" s="285"/>
      <c r="AC86" s="285"/>
      <c r="AD86" s="285"/>
      <c r="AE86" s="285"/>
    </row>
    <row r="87" spans="1:31" ht="18.95" customHeight="1">
      <c r="A87" s="312"/>
      <c r="B87" s="279" t="s">
        <v>38</v>
      </c>
      <c r="C87" s="280" t="s">
        <v>111</v>
      </c>
      <c r="D87" s="281" t="s">
        <v>40</v>
      </c>
      <c r="E87" s="282">
        <v>4275800</v>
      </c>
      <c r="F87" s="283"/>
      <c r="G87" s="282">
        <v>4366500</v>
      </c>
      <c r="H87" s="283"/>
      <c r="I87" s="284">
        <v>4366500</v>
      </c>
      <c r="J87" s="285">
        <v>0</v>
      </c>
      <c r="K87" s="285">
        <v>0</v>
      </c>
      <c r="L87" s="285">
        <v>0</v>
      </c>
      <c r="M87" s="285">
        <v>1840000</v>
      </c>
      <c r="N87" s="285">
        <v>1860000</v>
      </c>
      <c r="O87" s="285">
        <v>0</v>
      </c>
      <c r="P87" s="285">
        <v>0</v>
      </c>
      <c r="Q87" s="285">
        <v>0</v>
      </c>
      <c r="R87" s="286">
        <f>SUM(J87:Q87)</f>
        <v>3700000</v>
      </c>
      <c r="S87" s="287">
        <f>I87-R87</f>
        <v>666500</v>
      </c>
      <c r="T87" s="288">
        <f>G87-I87</f>
        <v>0</v>
      </c>
      <c r="U87" s="289">
        <v>21</v>
      </c>
      <c r="V87" s="290">
        <f t="shared" si="1"/>
        <v>176190.47619047618</v>
      </c>
      <c r="X87" s="329"/>
      <c r="Y87" s="285"/>
      <c r="Z87" s="285"/>
      <c r="AA87" s="285"/>
      <c r="AB87" s="285"/>
      <c r="AC87" s="285"/>
      <c r="AD87" s="285"/>
      <c r="AE87" s="285"/>
    </row>
    <row r="88" spans="1:31" ht="18.95" customHeight="1">
      <c r="A88" s="312"/>
      <c r="B88" s="279" t="s">
        <v>53</v>
      </c>
      <c r="C88" s="280" t="s">
        <v>112</v>
      </c>
      <c r="D88" s="281" t="s">
        <v>43</v>
      </c>
      <c r="E88" s="282">
        <v>0</v>
      </c>
      <c r="F88" s="283"/>
      <c r="G88" s="282">
        <v>0</v>
      </c>
      <c r="H88" s="283"/>
      <c r="I88" s="284">
        <v>0</v>
      </c>
      <c r="J88" s="285">
        <v>0</v>
      </c>
      <c r="K88" s="285">
        <v>0</v>
      </c>
      <c r="L88" s="285">
        <v>0</v>
      </c>
      <c r="M88" s="285">
        <v>149560</v>
      </c>
      <c r="N88" s="285">
        <v>803080</v>
      </c>
      <c r="O88" s="285">
        <v>688060</v>
      </c>
      <c r="P88" s="285">
        <v>0</v>
      </c>
      <c r="Q88" s="285">
        <v>0</v>
      </c>
      <c r="R88" s="286">
        <f>SUM(J88:Q88)</f>
        <v>1640700</v>
      </c>
      <c r="S88" s="287">
        <f>I88-R88</f>
        <v>-1640700</v>
      </c>
      <c r="T88" s="288">
        <f>G88-I88</f>
        <v>0</v>
      </c>
      <c r="U88" s="289">
        <v>0</v>
      </c>
      <c r="V88" s="290" t="e">
        <f t="shared" si="1"/>
        <v>#DIV/0!</v>
      </c>
      <c r="X88" s="329"/>
      <c r="Y88" s="285"/>
      <c r="Z88" s="285"/>
      <c r="AA88" s="285"/>
      <c r="AB88" s="285"/>
      <c r="AC88" s="285"/>
      <c r="AD88" s="285"/>
      <c r="AE88" s="285"/>
    </row>
    <row r="89" spans="1:31" ht="18.95" customHeight="1">
      <c r="A89" s="312"/>
      <c r="B89" s="279" t="s">
        <v>102</v>
      </c>
      <c r="C89" s="280" t="s">
        <v>110</v>
      </c>
      <c r="D89" s="281" t="s">
        <v>43</v>
      </c>
      <c r="E89" s="282">
        <v>0</v>
      </c>
      <c r="F89" s="283"/>
      <c r="G89" s="282">
        <v>0</v>
      </c>
      <c r="H89" s="283"/>
      <c r="I89" s="284">
        <v>0</v>
      </c>
      <c r="J89" s="285">
        <v>0</v>
      </c>
      <c r="K89" s="285">
        <v>0</v>
      </c>
      <c r="L89" s="285">
        <v>0</v>
      </c>
      <c r="M89" s="285">
        <v>0</v>
      </c>
      <c r="N89" s="285">
        <v>0</v>
      </c>
      <c r="O89" s="285">
        <v>-368600</v>
      </c>
      <c r="P89" s="285">
        <v>0</v>
      </c>
      <c r="Q89" s="285">
        <v>0</v>
      </c>
      <c r="R89" s="286">
        <f>SUM(J89:Q89)</f>
        <v>-368600</v>
      </c>
      <c r="S89" s="287">
        <f>I89-R89</f>
        <v>368600</v>
      </c>
      <c r="T89" s="288">
        <f>G89-I89</f>
        <v>0</v>
      </c>
      <c r="U89" s="289">
        <v>0</v>
      </c>
      <c r="V89" s="290" t="e">
        <f t="shared" si="1"/>
        <v>#DIV/0!</v>
      </c>
      <c r="X89" s="329"/>
      <c r="Y89" s="285"/>
      <c r="Z89" s="285"/>
      <c r="AA89" s="285"/>
      <c r="AB89" s="285"/>
      <c r="AC89" s="285"/>
      <c r="AD89" s="285"/>
      <c r="AE89" s="285"/>
    </row>
    <row r="90" spans="1:31" ht="18.95" customHeight="1">
      <c r="A90" s="312"/>
      <c r="B90" s="279"/>
      <c r="C90" s="280" t="s">
        <v>110</v>
      </c>
      <c r="D90" s="281" t="s">
        <v>43</v>
      </c>
      <c r="E90" s="282">
        <v>81200</v>
      </c>
      <c r="F90" s="283"/>
      <c r="G90" s="282">
        <v>0</v>
      </c>
      <c r="H90" s="283"/>
      <c r="I90" s="284">
        <v>0</v>
      </c>
      <c r="J90" s="285">
        <v>0</v>
      </c>
      <c r="K90" s="285">
        <v>0</v>
      </c>
      <c r="L90" s="285">
        <v>0</v>
      </c>
      <c r="M90" s="285">
        <v>0</v>
      </c>
      <c r="N90" s="285">
        <v>0</v>
      </c>
      <c r="O90" s="285">
        <v>0</v>
      </c>
      <c r="P90" s="285">
        <v>0</v>
      </c>
      <c r="Q90" s="285">
        <v>0</v>
      </c>
      <c r="R90" s="286">
        <f>SUM(J90:Q90)</f>
        <v>0</v>
      </c>
      <c r="S90" s="287">
        <f>I90-R90</f>
        <v>0</v>
      </c>
      <c r="T90" s="288">
        <f>G90-I90</f>
        <v>0</v>
      </c>
      <c r="U90" s="289">
        <v>0</v>
      </c>
      <c r="V90" s="290" t="e">
        <f t="shared" si="1"/>
        <v>#DIV/0!</v>
      </c>
      <c r="X90" s="329"/>
      <c r="Y90" s="285"/>
      <c r="Z90" s="285"/>
      <c r="AA90" s="285"/>
      <c r="AB90" s="285"/>
      <c r="AC90" s="285"/>
      <c r="AD90" s="285"/>
      <c r="AE90" s="285"/>
    </row>
    <row r="91" spans="1:31" ht="18.95" customHeight="1">
      <c r="A91" s="312"/>
      <c r="B91" s="279"/>
      <c r="C91" s="280" t="s">
        <v>112</v>
      </c>
      <c r="D91" s="281" t="s">
        <v>43</v>
      </c>
      <c r="E91" s="282">
        <v>0</v>
      </c>
      <c r="F91" s="283"/>
      <c r="G91" s="282">
        <v>0</v>
      </c>
      <c r="H91" s="283"/>
      <c r="I91" s="284">
        <v>0</v>
      </c>
      <c r="J91" s="285">
        <v>0</v>
      </c>
      <c r="K91" s="285">
        <v>0</v>
      </c>
      <c r="L91" s="285">
        <v>0</v>
      </c>
      <c r="M91" s="285">
        <v>0</v>
      </c>
      <c r="N91" s="285">
        <v>0</v>
      </c>
      <c r="O91" s="285">
        <v>0</v>
      </c>
      <c r="P91" s="285">
        <v>0</v>
      </c>
      <c r="Q91" s="285">
        <v>0</v>
      </c>
      <c r="R91" s="286">
        <f>SUM(J91:Q91)</f>
        <v>0</v>
      </c>
      <c r="S91" s="287">
        <f>I91-R91</f>
        <v>0</v>
      </c>
      <c r="T91" s="288">
        <f>G91-I91</f>
        <v>0</v>
      </c>
      <c r="U91" s="289">
        <v>0</v>
      </c>
      <c r="V91" s="290" t="e">
        <f t="shared" si="1"/>
        <v>#DIV/0!</v>
      </c>
      <c r="X91" s="329"/>
      <c r="Y91" s="285"/>
      <c r="Z91" s="285"/>
      <c r="AA91" s="285"/>
      <c r="AB91" s="285"/>
      <c r="AC91" s="285"/>
      <c r="AD91" s="285"/>
      <c r="AE91" s="285"/>
    </row>
    <row r="92" spans="1:31" ht="18.95" customHeight="1">
      <c r="A92" s="312"/>
      <c r="B92" s="279"/>
      <c r="C92" s="280" t="s">
        <v>111</v>
      </c>
      <c r="D92" s="281" t="s">
        <v>43</v>
      </c>
      <c r="E92" s="282">
        <v>0</v>
      </c>
      <c r="F92" s="283"/>
      <c r="G92" s="282">
        <v>0</v>
      </c>
      <c r="H92" s="283"/>
      <c r="I92" s="284">
        <v>0</v>
      </c>
      <c r="J92" s="285">
        <v>0</v>
      </c>
      <c r="K92" s="285">
        <v>0</v>
      </c>
      <c r="L92" s="285">
        <v>0</v>
      </c>
      <c r="M92" s="285">
        <v>0</v>
      </c>
      <c r="N92" s="285">
        <v>0</v>
      </c>
      <c r="O92" s="285">
        <v>0</v>
      </c>
      <c r="P92" s="285">
        <v>0</v>
      </c>
      <c r="Q92" s="285">
        <v>0</v>
      </c>
      <c r="R92" s="286">
        <f>SUM(J92:Q92)</f>
        <v>0</v>
      </c>
      <c r="S92" s="287">
        <f>I92-R92</f>
        <v>0</v>
      </c>
      <c r="T92" s="288">
        <f>G92-I92</f>
        <v>0</v>
      </c>
      <c r="U92" s="289">
        <v>0</v>
      </c>
      <c r="V92" s="290" t="e">
        <f t="shared" si="1"/>
        <v>#DIV/0!</v>
      </c>
      <c r="X92" s="329"/>
      <c r="Y92" s="285"/>
      <c r="Z92" s="285"/>
      <c r="AA92" s="285"/>
      <c r="AB92" s="285"/>
      <c r="AC92" s="285"/>
      <c r="AD92" s="285"/>
      <c r="AE92" s="285"/>
    </row>
    <row r="93" spans="1:31" ht="18.95" customHeight="1">
      <c r="A93" s="313"/>
      <c r="B93" s="279"/>
      <c r="C93" s="280" t="s">
        <v>113</v>
      </c>
      <c r="D93" s="281" t="s">
        <v>43</v>
      </c>
      <c r="E93" s="282">
        <v>0</v>
      </c>
      <c r="F93" s="283"/>
      <c r="G93" s="282">
        <v>0</v>
      </c>
      <c r="H93" s="283"/>
      <c r="I93" s="284">
        <v>0</v>
      </c>
      <c r="J93" s="285">
        <v>0</v>
      </c>
      <c r="K93" s="285">
        <v>0</v>
      </c>
      <c r="L93" s="285">
        <v>0</v>
      </c>
      <c r="M93" s="285">
        <v>0</v>
      </c>
      <c r="N93" s="285">
        <v>0</v>
      </c>
      <c r="O93" s="285">
        <v>0</v>
      </c>
      <c r="P93" s="285">
        <v>0</v>
      </c>
      <c r="Q93" s="285">
        <v>0</v>
      </c>
      <c r="R93" s="286">
        <f>SUM(J93:Q93)</f>
        <v>0</v>
      </c>
      <c r="S93" s="287">
        <f>I93-R93</f>
        <v>0</v>
      </c>
      <c r="T93" s="288">
        <f>G93-I93</f>
        <v>0</v>
      </c>
      <c r="U93" s="289">
        <v>0</v>
      </c>
      <c r="V93" s="290" t="e">
        <f t="shared" si="1"/>
        <v>#DIV/0!</v>
      </c>
      <c r="X93" s="329"/>
      <c r="Y93" s="285"/>
      <c r="Z93" s="285"/>
      <c r="AA93" s="285"/>
      <c r="AB93" s="285"/>
      <c r="AC93" s="285"/>
      <c r="AD93" s="285"/>
      <c r="AE93" s="285"/>
    </row>
    <row r="94" spans="1:31" ht="18.95" customHeight="1">
      <c r="A94" s="314" t="s">
        <v>114</v>
      </c>
      <c r="B94" s="291" t="s">
        <v>38</v>
      </c>
      <c r="C94" s="292" t="s">
        <v>115</v>
      </c>
      <c r="D94" s="293" t="s">
        <v>40</v>
      </c>
      <c r="E94" s="294">
        <v>2843500</v>
      </c>
      <c r="F94" s="295"/>
      <c r="G94" s="294">
        <v>3056300</v>
      </c>
      <c r="H94" s="295"/>
      <c r="I94" s="296">
        <v>3056300</v>
      </c>
      <c r="J94" s="273">
        <v>0</v>
      </c>
      <c r="K94" s="273">
        <v>0</v>
      </c>
      <c r="L94" s="273">
        <v>0</v>
      </c>
      <c r="M94" s="273">
        <v>0</v>
      </c>
      <c r="N94" s="273">
        <v>0</v>
      </c>
      <c r="O94" s="273">
        <v>3056300</v>
      </c>
      <c r="P94" s="273">
        <v>0</v>
      </c>
      <c r="Q94" s="273">
        <v>0</v>
      </c>
      <c r="R94" s="274">
        <f>SUM(J94:Q94)</f>
        <v>3056300</v>
      </c>
      <c r="S94" s="275">
        <f>I94-R94</f>
        <v>0</v>
      </c>
      <c r="T94" s="276">
        <f>G94-I94</f>
        <v>0</v>
      </c>
      <c r="U94" s="297">
        <v>0</v>
      </c>
      <c r="V94" s="278" t="e">
        <f t="shared" si="1"/>
        <v>#DIV/0!</v>
      </c>
      <c r="X94" s="328"/>
      <c r="Y94" s="273"/>
      <c r="Z94" s="273"/>
      <c r="AA94" s="273"/>
      <c r="AB94" s="273"/>
      <c r="AC94" s="273"/>
      <c r="AD94" s="273"/>
      <c r="AE94" s="273"/>
    </row>
    <row r="95" spans="1:31" ht="18.95" customHeight="1">
      <c r="A95" s="312"/>
      <c r="B95" s="279" t="s">
        <v>38</v>
      </c>
      <c r="C95" s="280" t="s">
        <v>116</v>
      </c>
      <c r="D95" s="281" t="s">
        <v>40</v>
      </c>
      <c r="E95" s="282">
        <v>3837900</v>
      </c>
      <c r="F95" s="283"/>
      <c r="G95" s="282">
        <v>3892000</v>
      </c>
      <c r="H95" s="283"/>
      <c r="I95" s="284">
        <v>3892000</v>
      </c>
      <c r="J95" s="285">
        <v>0</v>
      </c>
      <c r="K95" s="285">
        <v>0</v>
      </c>
      <c r="L95" s="285">
        <v>0</v>
      </c>
      <c r="M95" s="285">
        <v>0</v>
      </c>
      <c r="N95" s="285">
        <v>0</v>
      </c>
      <c r="O95" s="285">
        <v>3892000</v>
      </c>
      <c r="P95" s="285">
        <v>0</v>
      </c>
      <c r="Q95" s="285">
        <v>0</v>
      </c>
      <c r="R95" s="286">
        <f>SUM(J95:Q95)</f>
        <v>3892000</v>
      </c>
      <c r="S95" s="287">
        <f>I95-R95</f>
        <v>0</v>
      </c>
      <c r="T95" s="288">
        <f>G95-I95</f>
        <v>0</v>
      </c>
      <c r="U95" s="289">
        <v>17</v>
      </c>
      <c r="V95" s="290">
        <f t="shared" si="1"/>
        <v>228941.17647058822</v>
      </c>
      <c r="X95" s="329"/>
      <c r="Y95" s="285"/>
      <c r="Z95" s="285"/>
      <c r="AA95" s="285"/>
      <c r="AB95" s="285"/>
      <c r="AC95" s="285"/>
      <c r="AD95" s="285"/>
      <c r="AE95" s="285"/>
    </row>
    <row r="96" spans="1:31" ht="18.95" customHeight="1">
      <c r="A96" s="312"/>
      <c r="B96" s="279"/>
      <c r="C96" s="280" t="s">
        <v>115</v>
      </c>
      <c r="D96" s="281" t="s">
        <v>43</v>
      </c>
      <c r="E96" s="282">
        <v>62300</v>
      </c>
      <c r="F96" s="283"/>
      <c r="G96" s="282">
        <v>0</v>
      </c>
      <c r="H96" s="283"/>
      <c r="I96" s="284">
        <v>0</v>
      </c>
      <c r="J96" s="285">
        <v>0</v>
      </c>
      <c r="K96" s="285">
        <v>0</v>
      </c>
      <c r="L96" s="285">
        <v>0</v>
      </c>
      <c r="M96" s="285">
        <v>0</v>
      </c>
      <c r="N96" s="285">
        <v>0</v>
      </c>
      <c r="O96" s="285">
        <v>0</v>
      </c>
      <c r="P96" s="285">
        <v>0</v>
      </c>
      <c r="Q96" s="285">
        <v>0</v>
      </c>
      <c r="R96" s="286">
        <f>SUM(J96:Q96)</f>
        <v>0</v>
      </c>
      <c r="S96" s="287">
        <f>I96-R96</f>
        <v>0</v>
      </c>
      <c r="T96" s="288">
        <f>G96-I96</f>
        <v>0</v>
      </c>
      <c r="U96" s="289">
        <v>0</v>
      </c>
      <c r="V96" s="290" t="e">
        <f t="shared" si="1"/>
        <v>#DIV/0!</v>
      </c>
      <c r="X96" s="329"/>
      <c r="Y96" s="285"/>
      <c r="Z96" s="285"/>
      <c r="AA96" s="285"/>
      <c r="AB96" s="285"/>
      <c r="AC96" s="285"/>
      <c r="AD96" s="285"/>
      <c r="AE96" s="285"/>
    </row>
    <row r="97" spans="1:31" ht="18.95" customHeight="1">
      <c r="A97" s="312"/>
      <c r="B97" s="279"/>
      <c r="C97" s="280" t="s">
        <v>117</v>
      </c>
      <c r="D97" s="281" t="s">
        <v>43</v>
      </c>
      <c r="E97" s="282">
        <v>0</v>
      </c>
      <c r="F97" s="283"/>
      <c r="G97" s="282">
        <v>0</v>
      </c>
      <c r="H97" s="283"/>
      <c r="I97" s="284">
        <v>0</v>
      </c>
      <c r="J97" s="285">
        <v>0</v>
      </c>
      <c r="K97" s="285">
        <v>0</v>
      </c>
      <c r="L97" s="285">
        <v>0</v>
      </c>
      <c r="M97" s="285">
        <v>0</v>
      </c>
      <c r="N97" s="285">
        <v>0</v>
      </c>
      <c r="O97" s="285">
        <v>0</v>
      </c>
      <c r="P97" s="285">
        <v>0</v>
      </c>
      <c r="Q97" s="285">
        <v>0</v>
      </c>
      <c r="R97" s="286">
        <f>SUM(J97:Q97)</f>
        <v>0</v>
      </c>
      <c r="S97" s="287">
        <f>I97-R97</f>
        <v>0</v>
      </c>
      <c r="T97" s="288">
        <f>G97-I97</f>
        <v>0</v>
      </c>
      <c r="U97" s="289">
        <v>0</v>
      </c>
      <c r="V97" s="290" t="e">
        <f t="shared" si="1"/>
        <v>#DIV/0!</v>
      </c>
      <c r="X97" s="329"/>
      <c r="Y97" s="285"/>
      <c r="Z97" s="285"/>
      <c r="AA97" s="285"/>
      <c r="AB97" s="285"/>
      <c r="AC97" s="285"/>
      <c r="AD97" s="285"/>
      <c r="AE97" s="285"/>
    </row>
    <row r="98" spans="1:31" ht="18.95" customHeight="1">
      <c r="A98" s="312"/>
      <c r="B98" s="279"/>
      <c r="C98" s="280" t="s">
        <v>116</v>
      </c>
      <c r="D98" s="281" t="s">
        <v>43</v>
      </c>
      <c r="E98" s="282">
        <v>0</v>
      </c>
      <c r="F98" s="283"/>
      <c r="G98" s="282">
        <v>0</v>
      </c>
      <c r="H98" s="283"/>
      <c r="I98" s="284">
        <v>0</v>
      </c>
      <c r="J98" s="285">
        <v>0</v>
      </c>
      <c r="K98" s="285">
        <v>0</v>
      </c>
      <c r="L98" s="285">
        <v>0</v>
      </c>
      <c r="M98" s="285">
        <v>0</v>
      </c>
      <c r="N98" s="285">
        <v>0</v>
      </c>
      <c r="O98" s="285">
        <v>0</v>
      </c>
      <c r="P98" s="285">
        <v>0</v>
      </c>
      <c r="Q98" s="285">
        <v>0</v>
      </c>
      <c r="R98" s="286">
        <f>SUM(J98:Q98)</f>
        <v>0</v>
      </c>
      <c r="S98" s="287">
        <f>I98-R98</f>
        <v>0</v>
      </c>
      <c r="T98" s="288">
        <f>G98-I98</f>
        <v>0</v>
      </c>
      <c r="U98" s="289">
        <v>0</v>
      </c>
      <c r="V98" s="290" t="e">
        <f t="shared" si="1"/>
        <v>#DIV/0!</v>
      </c>
      <c r="X98" s="329"/>
      <c r="Y98" s="285"/>
      <c r="Z98" s="285"/>
      <c r="AA98" s="285"/>
      <c r="AB98" s="285"/>
      <c r="AC98" s="285"/>
      <c r="AD98" s="285"/>
      <c r="AE98" s="285"/>
    </row>
    <row r="99" spans="1:31" ht="18.95" customHeight="1">
      <c r="A99" s="313"/>
      <c r="B99" s="279"/>
      <c r="C99" s="280" t="s">
        <v>118</v>
      </c>
      <c r="D99" s="281" t="s">
        <v>43</v>
      </c>
      <c r="E99" s="282">
        <v>0</v>
      </c>
      <c r="F99" s="283"/>
      <c r="G99" s="282">
        <v>0</v>
      </c>
      <c r="H99" s="283"/>
      <c r="I99" s="284">
        <v>0</v>
      </c>
      <c r="J99" s="285">
        <v>0</v>
      </c>
      <c r="K99" s="285">
        <v>0</v>
      </c>
      <c r="L99" s="285">
        <v>0</v>
      </c>
      <c r="M99" s="285">
        <v>0</v>
      </c>
      <c r="N99" s="285">
        <v>0</v>
      </c>
      <c r="O99" s="285">
        <v>0</v>
      </c>
      <c r="P99" s="285">
        <v>0</v>
      </c>
      <c r="Q99" s="285">
        <v>0</v>
      </c>
      <c r="R99" s="286">
        <f>SUM(J99:Q99)</f>
        <v>0</v>
      </c>
      <c r="S99" s="287">
        <f>I99-R99</f>
        <v>0</v>
      </c>
      <c r="T99" s="288">
        <f>G99-I99</f>
        <v>0</v>
      </c>
      <c r="U99" s="289">
        <v>0</v>
      </c>
      <c r="V99" s="290" t="e">
        <f t="shared" si="1"/>
        <v>#DIV/0!</v>
      </c>
      <c r="X99" s="329"/>
      <c r="Y99" s="285"/>
      <c r="Z99" s="285"/>
      <c r="AA99" s="285"/>
      <c r="AB99" s="285"/>
      <c r="AC99" s="285"/>
      <c r="AD99" s="285"/>
      <c r="AE99" s="285"/>
    </row>
    <row r="100" spans="1:31" ht="18.95" customHeight="1">
      <c r="A100" s="314" t="s">
        <v>119</v>
      </c>
      <c r="B100" s="291" t="s">
        <v>38</v>
      </c>
      <c r="C100" s="292" t="s">
        <v>120</v>
      </c>
      <c r="D100" s="293" t="s">
        <v>40</v>
      </c>
      <c r="E100" s="294">
        <v>1539000</v>
      </c>
      <c r="F100" s="295"/>
      <c r="G100" s="294">
        <v>1556560</v>
      </c>
      <c r="H100" s="295"/>
      <c r="I100" s="296">
        <v>1556560</v>
      </c>
      <c r="J100" s="273">
        <v>0</v>
      </c>
      <c r="K100" s="273">
        <v>0</v>
      </c>
      <c r="L100" s="273">
        <v>0</v>
      </c>
      <c r="M100" s="273">
        <v>0</v>
      </c>
      <c r="N100" s="273">
        <v>0</v>
      </c>
      <c r="O100" s="273">
        <v>0</v>
      </c>
      <c r="P100" s="273">
        <v>0</v>
      </c>
      <c r="Q100" s="273">
        <v>0</v>
      </c>
      <c r="R100" s="274">
        <f>SUM(J100:Q100)</f>
        <v>0</v>
      </c>
      <c r="S100" s="275">
        <f>I100-R100</f>
        <v>1556560</v>
      </c>
      <c r="T100" s="276">
        <f>G100-I100</f>
        <v>0</v>
      </c>
      <c r="U100" s="297">
        <v>0</v>
      </c>
      <c r="V100" s="278" t="e">
        <f t="shared" si="1"/>
        <v>#DIV/0!</v>
      </c>
      <c r="X100" s="328"/>
      <c r="Y100" s="273"/>
      <c r="Z100" s="273"/>
      <c r="AA100" s="273"/>
      <c r="AB100" s="273"/>
      <c r="AC100" s="273"/>
      <c r="AD100" s="273"/>
      <c r="AE100" s="273"/>
    </row>
    <row r="101" spans="1:31" ht="18.95" customHeight="1">
      <c r="A101" s="312"/>
      <c r="B101" s="279"/>
      <c r="C101" s="280" t="s">
        <v>120</v>
      </c>
      <c r="D101" s="281" t="s">
        <v>43</v>
      </c>
      <c r="E101" s="282">
        <v>0</v>
      </c>
      <c r="F101" s="283"/>
      <c r="G101" s="282">
        <v>0</v>
      </c>
      <c r="H101" s="283"/>
      <c r="I101" s="284">
        <v>0</v>
      </c>
      <c r="J101" s="285">
        <v>0</v>
      </c>
      <c r="K101" s="285">
        <v>0</v>
      </c>
      <c r="L101" s="285">
        <v>0</v>
      </c>
      <c r="M101" s="285">
        <v>0</v>
      </c>
      <c r="N101" s="285">
        <v>0</v>
      </c>
      <c r="O101" s="285">
        <v>0</v>
      </c>
      <c r="P101" s="285">
        <v>0</v>
      </c>
      <c r="Q101" s="285">
        <v>0</v>
      </c>
      <c r="R101" s="286">
        <f>SUM(J101:Q101)</f>
        <v>0</v>
      </c>
      <c r="S101" s="287">
        <f>I101-R101</f>
        <v>0</v>
      </c>
      <c r="T101" s="288">
        <f>G101-I101</f>
        <v>0</v>
      </c>
      <c r="U101" s="289">
        <v>0</v>
      </c>
      <c r="V101" s="290" t="e">
        <f t="shared" si="1"/>
        <v>#DIV/0!</v>
      </c>
      <c r="X101" s="329"/>
      <c r="Y101" s="285"/>
      <c r="Z101" s="285"/>
      <c r="AA101" s="285"/>
      <c r="AB101" s="285"/>
      <c r="AC101" s="285"/>
      <c r="AD101" s="285"/>
      <c r="AE101" s="285"/>
    </row>
    <row r="102" spans="1:31" ht="18.95" customHeight="1">
      <c r="A102" s="313"/>
      <c r="B102" s="279"/>
      <c r="C102" s="280" t="s">
        <v>121</v>
      </c>
      <c r="D102" s="281" t="s">
        <v>43</v>
      </c>
      <c r="E102" s="282">
        <v>0</v>
      </c>
      <c r="F102" s="283"/>
      <c r="G102" s="282">
        <v>0</v>
      </c>
      <c r="H102" s="283"/>
      <c r="I102" s="284">
        <v>0</v>
      </c>
      <c r="J102" s="285">
        <v>0</v>
      </c>
      <c r="K102" s="285">
        <v>0</v>
      </c>
      <c r="L102" s="285">
        <v>0</v>
      </c>
      <c r="M102" s="285">
        <v>0</v>
      </c>
      <c r="N102" s="285">
        <v>0</v>
      </c>
      <c r="O102" s="285">
        <v>0</v>
      </c>
      <c r="P102" s="285">
        <v>0</v>
      </c>
      <c r="Q102" s="285">
        <v>0</v>
      </c>
      <c r="R102" s="286">
        <f>SUM(J102:Q102)</f>
        <v>0</v>
      </c>
      <c r="S102" s="287">
        <f>I102-R102</f>
        <v>0</v>
      </c>
      <c r="T102" s="288">
        <f>G102-I102</f>
        <v>0</v>
      </c>
      <c r="U102" s="289">
        <v>0</v>
      </c>
      <c r="V102" s="290" t="e">
        <f t="shared" si="1"/>
        <v>#DIV/0!</v>
      </c>
      <c r="X102" s="329"/>
      <c r="Y102" s="285"/>
      <c r="Z102" s="285"/>
      <c r="AA102" s="285"/>
      <c r="AB102" s="285"/>
      <c r="AC102" s="285"/>
      <c r="AD102" s="285"/>
      <c r="AE102" s="285"/>
    </row>
    <row r="103" spans="1:31" ht="18.95" customHeight="1">
      <c r="A103" s="314" t="s">
        <v>122</v>
      </c>
      <c r="B103" s="291" t="s">
        <v>38</v>
      </c>
      <c r="C103" s="292" t="s">
        <v>123</v>
      </c>
      <c r="D103" s="293" t="s">
        <v>40</v>
      </c>
      <c r="E103" s="294">
        <v>2525000</v>
      </c>
      <c r="F103" s="295"/>
      <c r="G103" s="294">
        <v>3351500</v>
      </c>
      <c r="H103" s="295"/>
      <c r="I103" s="296">
        <v>2851450</v>
      </c>
      <c r="J103" s="273">
        <v>0</v>
      </c>
      <c r="K103" s="273">
        <v>0</v>
      </c>
      <c r="L103" s="273">
        <v>600000</v>
      </c>
      <c r="M103" s="273">
        <v>90000</v>
      </c>
      <c r="N103" s="273">
        <v>0</v>
      </c>
      <c r="O103" s="273">
        <v>690000</v>
      </c>
      <c r="P103" s="273">
        <v>0</v>
      </c>
      <c r="Q103" s="273">
        <v>0</v>
      </c>
      <c r="R103" s="274">
        <f>SUM(J103:Q103)</f>
        <v>1380000</v>
      </c>
      <c r="S103" s="275">
        <f>I103-R103</f>
        <v>1471450</v>
      </c>
      <c r="T103" s="276">
        <f>G103-I103</f>
        <v>500050</v>
      </c>
      <c r="U103" s="297">
        <v>27</v>
      </c>
      <c r="V103" s="278">
        <f t="shared" si="1"/>
        <v>51111.111111111109</v>
      </c>
      <c r="X103" s="328"/>
      <c r="Y103" s="273"/>
      <c r="Z103" s="273"/>
      <c r="AA103" s="273"/>
      <c r="AB103" s="273"/>
      <c r="AC103" s="273"/>
      <c r="AD103" s="273"/>
      <c r="AE103" s="273"/>
    </row>
    <row r="104" spans="1:31" ht="18.95" customHeight="1">
      <c r="A104" s="312"/>
      <c r="B104" s="279" t="s">
        <v>124</v>
      </c>
      <c r="C104" s="280" t="s">
        <v>123</v>
      </c>
      <c r="D104" s="281" t="s">
        <v>125</v>
      </c>
      <c r="E104" s="282">
        <v>500000</v>
      </c>
      <c r="F104" s="283"/>
      <c r="G104" s="282">
        <v>0</v>
      </c>
      <c r="H104" s="283"/>
      <c r="I104" s="284">
        <v>527000</v>
      </c>
      <c r="J104" s="285">
        <v>0</v>
      </c>
      <c r="K104" s="285">
        <v>0</v>
      </c>
      <c r="L104" s="285">
        <v>0</v>
      </c>
      <c r="M104" s="285">
        <v>0</v>
      </c>
      <c r="N104" s="285">
        <v>0</v>
      </c>
      <c r="O104" s="285">
        <v>527000</v>
      </c>
      <c r="P104" s="285">
        <v>0</v>
      </c>
      <c r="Q104" s="285">
        <v>0</v>
      </c>
      <c r="R104" s="286">
        <f>SUM(J104:Q104)</f>
        <v>527000</v>
      </c>
      <c r="S104" s="287">
        <f>I104-R104</f>
        <v>0</v>
      </c>
      <c r="T104" s="288">
        <f>G104-I104</f>
        <v>-527000</v>
      </c>
      <c r="U104" s="289">
        <v>0</v>
      </c>
      <c r="V104" s="290" t="e">
        <f t="shared" si="1"/>
        <v>#DIV/0!</v>
      </c>
      <c r="X104" s="329"/>
      <c r="Y104" s="285"/>
      <c r="Z104" s="285"/>
      <c r="AA104" s="285"/>
      <c r="AB104" s="285"/>
      <c r="AC104" s="285"/>
      <c r="AD104" s="285"/>
      <c r="AE104" s="285"/>
    </row>
    <row r="105" spans="1:31" ht="18.95" customHeight="1">
      <c r="A105" s="312"/>
      <c r="B105" s="279" t="s">
        <v>124</v>
      </c>
      <c r="C105" s="280" t="s">
        <v>123</v>
      </c>
      <c r="D105" s="281" t="s">
        <v>43</v>
      </c>
      <c r="E105" s="282">
        <v>0</v>
      </c>
      <c r="F105" s="283"/>
      <c r="G105" s="282">
        <v>0</v>
      </c>
      <c r="H105" s="283"/>
      <c r="I105" s="284">
        <v>0</v>
      </c>
      <c r="J105" s="285">
        <v>0</v>
      </c>
      <c r="K105" s="285">
        <v>0</v>
      </c>
      <c r="L105" s="285">
        <v>0</v>
      </c>
      <c r="M105" s="285">
        <v>0</v>
      </c>
      <c r="N105" s="285">
        <v>30000</v>
      </c>
      <c r="O105" s="285">
        <v>0</v>
      </c>
      <c r="P105" s="285">
        <v>0</v>
      </c>
      <c r="Q105" s="285">
        <v>0</v>
      </c>
      <c r="R105" s="286">
        <f>SUM(J105:Q105)</f>
        <v>30000</v>
      </c>
      <c r="S105" s="287">
        <f>I105-R105</f>
        <v>-30000</v>
      </c>
      <c r="T105" s="288">
        <f>G105-I105</f>
        <v>0</v>
      </c>
      <c r="U105" s="289">
        <v>0</v>
      </c>
      <c r="V105" s="290" t="e">
        <f t="shared" si="1"/>
        <v>#DIV/0!</v>
      </c>
      <c r="X105" s="329"/>
      <c r="Y105" s="285"/>
      <c r="Z105" s="285"/>
      <c r="AA105" s="285"/>
      <c r="AB105" s="285"/>
      <c r="AC105" s="285"/>
      <c r="AD105" s="285"/>
      <c r="AE105" s="285"/>
    </row>
    <row r="106" spans="1:31" ht="18.95" customHeight="1">
      <c r="A106" s="312"/>
      <c r="B106" s="279" t="s">
        <v>46</v>
      </c>
      <c r="C106" s="280" t="s">
        <v>126</v>
      </c>
      <c r="D106" s="281" t="s">
        <v>127</v>
      </c>
      <c r="E106" s="282">
        <v>3285050</v>
      </c>
      <c r="F106" s="283"/>
      <c r="G106" s="282">
        <v>2000000</v>
      </c>
      <c r="H106" s="283"/>
      <c r="I106" s="284">
        <v>2000000</v>
      </c>
      <c r="J106" s="285">
        <v>0</v>
      </c>
      <c r="K106" s="285">
        <v>0</v>
      </c>
      <c r="L106" s="285">
        <v>0</v>
      </c>
      <c r="M106" s="285">
        <v>0</v>
      </c>
      <c r="N106" s="285">
        <v>0</v>
      </c>
      <c r="O106" s="285">
        <v>0</v>
      </c>
      <c r="P106" s="285">
        <v>0</v>
      </c>
      <c r="Q106" s="285">
        <v>0</v>
      </c>
      <c r="R106" s="286">
        <f>SUM(J106:Q106)</f>
        <v>0</v>
      </c>
      <c r="S106" s="287">
        <f>I106-R106</f>
        <v>2000000</v>
      </c>
      <c r="T106" s="288">
        <f>G106-I106</f>
        <v>0</v>
      </c>
      <c r="U106" s="289">
        <v>0</v>
      </c>
      <c r="V106" s="290" t="e">
        <f t="shared" si="1"/>
        <v>#DIV/0!</v>
      </c>
      <c r="X106" s="329"/>
      <c r="Y106" s="285"/>
      <c r="Z106" s="285"/>
      <c r="AA106" s="285"/>
      <c r="AB106" s="285"/>
      <c r="AC106" s="285"/>
      <c r="AD106" s="285"/>
      <c r="AE106" s="285"/>
    </row>
    <row r="107" spans="1:31" ht="18.95" customHeight="1">
      <c r="A107" s="312"/>
      <c r="B107" s="279" t="s">
        <v>46</v>
      </c>
      <c r="C107" s="280" t="s">
        <v>123</v>
      </c>
      <c r="D107" s="281" t="s">
        <v>43</v>
      </c>
      <c r="E107" s="282">
        <v>0</v>
      </c>
      <c r="F107" s="283"/>
      <c r="G107" s="282">
        <v>0</v>
      </c>
      <c r="H107" s="283"/>
      <c r="I107" s="284">
        <v>0</v>
      </c>
      <c r="J107" s="285">
        <v>0</v>
      </c>
      <c r="K107" s="285">
        <v>0</v>
      </c>
      <c r="L107" s="285">
        <v>0</v>
      </c>
      <c r="M107" s="285">
        <v>108000</v>
      </c>
      <c r="N107" s="285">
        <v>0</v>
      </c>
      <c r="O107" s="285">
        <v>54000</v>
      </c>
      <c r="P107" s="285">
        <v>0</v>
      </c>
      <c r="Q107" s="285">
        <v>0</v>
      </c>
      <c r="R107" s="286">
        <f>SUM(J107:Q107)</f>
        <v>162000</v>
      </c>
      <c r="S107" s="287">
        <f>I107-R107</f>
        <v>-162000</v>
      </c>
      <c r="T107" s="288">
        <f>G107-I107</f>
        <v>0</v>
      </c>
      <c r="U107" s="289">
        <v>2</v>
      </c>
      <c r="V107" s="290">
        <f t="shared" si="1"/>
        <v>81000</v>
      </c>
      <c r="X107" s="329"/>
      <c r="Y107" s="285"/>
      <c r="Z107" s="285"/>
      <c r="AA107" s="285"/>
      <c r="AB107" s="285"/>
      <c r="AC107" s="285"/>
      <c r="AD107" s="285"/>
      <c r="AE107" s="285"/>
    </row>
    <row r="108" spans="1:31" ht="18.95" customHeight="1">
      <c r="A108" s="312"/>
      <c r="B108" s="279" t="s">
        <v>128</v>
      </c>
      <c r="C108" s="280" t="s">
        <v>123</v>
      </c>
      <c r="D108" s="281" t="s">
        <v>43</v>
      </c>
      <c r="E108" s="282">
        <v>0</v>
      </c>
      <c r="F108" s="283"/>
      <c r="G108" s="282">
        <v>0</v>
      </c>
      <c r="H108" s="283"/>
      <c r="I108" s="284">
        <v>0</v>
      </c>
      <c r="J108" s="285">
        <v>0</v>
      </c>
      <c r="K108" s="285">
        <v>0</v>
      </c>
      <c r="L108" s="285">
        <v>155000</v>
      </c>
      <c r="M108" s="285">
        <v>0</v>
      </c>
      <c r="N108" s="285">
        <v>0</v>
      </c>
      <c r="O108" s="285">
        <v>0</v>
      </c>
      <c r="P108" s="285">
        <v>0</v>
      </c>
      <c r="Q108" s="285">
        <v>0</v>
      </c>
      <c r="R108" s="286">
        <f>SUM(J108:Q108)</f>
        <v>155000</v>
      </c>
      <c r="S108" s="287">
        <f>I108-R108</f>
        <v>-155000</v>
      </c>
      <c r="T108" s="288">
        <f>G108-I108</f>
        <v>0</v>
      </c>
      <c r="U108" s="289">
        <v>0</v>
      </c>
      <c r="V108" s="290" t="e">
        <f t="shared" si="1"/>
        <v>#DIV/0!</v>
      </c>
      <c r="X108" s="329"/>
      <c r="Y108" s="285"/>
      <c r="Z108" s="285"/>
      <c r="AA108" s="285"/>
      <c r="AB108" s="285"/>
      <c r="AC108" s="285"/>
      <c r="AD108" s="285"/>
      <c r="AE108" s="285"/>
    </row>
    <row r="109" spans="1:31" ht="18.95" customHeight="1">
      <c r="A109" s="312"/>
      <c r="B109" s="279" t="s">
        <v>129</v>
      </c>
      <c r="C109" s="280" t="s">
        <v>123</v>
      </c>
      <c r="D109" s="281" t="s">
        <v>43</v>
      </c>
      <c r="E109" s="282">
        <v>0</v>
      </c>
      <c r="F109" s="283"/>
      <c r="G109" s="282">
        <v>0</v>
      </c>
      <c r="H109" s="283"/>
      <c r="I109" s="284">
        <v>90000</v>
      </c>
      <c r="J109" s="285">
        <v>0</v>
      </c>
      <c r="K109" s="285">
        <v>0</v>
      </c>
      <c r="L109" s="285">
        <v>0</v>
      </c>
      <c r="M109" s="285">
        <v>90000</v>
      </c>
      <c r="N109" s="285">
        <v>0</v>
      </c>
      <c r="O109" s="285">
        <v>0</v>
      </c>
      <c r="P109" s="285">
        <v>0</v>
      </c>
      <c r="Q109" s="285">
        <v>0</v>
      </c>
      <c r="R109" s="286">
        <f>SUM(J109:Q109)</f>
        <v>90000</v>
      </c>
      <c r="S109" s="287">
        <f>I109-R109</f>
        <v>0</v>
      </c>
      <c r="T109" s="288">
        <f>G109-I109</f>
        <v>-90000</v>
      </c>
      <c r="U109" s="289">
        <v>4</v>
      </c>
      <c r="V109" s="290">
        <f t="shared" si="1"/>
        <v>22500</v>
      </c>
      <c r="X109" s="329"/>
      <c r="Y109" s="285"/>
      <c r="Z109" s="285"/>
      <c r="AA109" s="285"/>
      <c r="AB109" s="285"/>
      <c r="AC109" s="285"/>
      <c r="AD109" s="285"/>
      <c r="AE109" s="285"/>
    </row>
    <row r="110" spans="1:31" ht="18.95" customHeight="1">
      <c r="A110" s="312"/>
      <c r="B110" s="279" t="s">
        <v>99</v>
      </c>
      <c r="C110" s="280" t="s">
        <v>123</v>
      </c>
      <c r="D110" s="281" t="s">
        <v>43</v>
      </c>
      <c r="E110" s="282">
        <v>0</v>
      </c>
      <c r="F110" s="283"/>
      <c r="G110" s="282">
        <v>0</v>
      </c>
      <c r="H110" s="283"/>
      <c r="I110" s="284">
        <v>75000</v>
      </c>
      <c r="J110" s="285">
        <v>0</v>
      </c>
      <c r="K110" s="285">
        <v>0</v>
      </c>
      <c r="L110" s="285">
        <v>0</v>
      </c>
      <c r="M110" s="285">
        <v>25000</v>
      </c>
      <c r="N110" s="285">
        <v>0</v>
      </c>
      <c r="O110" s="285">
        <v>0</v>
      </c>
      <c r="P110" s="285">
        <v>0</v>
      </c>
      <c r="Q110" s="285">
        <v>0</v>
      </c>
      <c r="R110" s="286">
        <f>SUM(J110:Q110)</f>
        <v>25000</v>
      </c>
      <c r="S110" s="287">
        <f>I110-R110</f>
        <v>50000</v>
      </c>
      <c r="T110" s="288">
        <f>G110-I110</f>
        <v>-75000</v>
      </c>
      <c r="U110" s="289">
        <v>1</v>
      </c>
      <c r="V110" s="290">
        <f t="shared" si="1"/>
        <v>25000</v>
      </c>
      <c r="X110" s="329"/>
      <c r="Y110" s="285"/>
      <c r="Z110" s="285"/>
      <c r="AA110" s="285"/>
      <c r="AB110" s="285"/>
      <c r="AC110" s="285"/>
      <c r="AD110" s="285"/>
      <c r="AE110" s="285"/>
    </row>
    <row r="111" spans="1:31" ht="18.95" customHeight="1">
      <c r="A111" s="312"/>
      <c r="B111" s="279"/>
      <c r="C111" s="280" t="s">
        <v>126</v>
      </c>
      <c r="D111" s="281" t="s">
        <v>43</v>
      </c>
      <c r="E111" s="282">
        <v>100000</v>
      </c>
      <c r="F111" s="283"/>
      <c r="G111" s="282">
        <v>0</v>
      </c>
      <c r="H111" s="283"/>
      <c r="I111" s="284">
        <v>0</v>
      </c>
      <c r="J111" s="285">
        <v>0</v>
      </c>
      <c r="K111" s="285">
        <v>0</v>
      </c>
      <c r="L111" s="285">
        <v>0</v>
      </c>
      <c r="M111" s="285">
        <v>0</v>
      </c>
      <c r="N111" s="285">
        <v>0</v>
      </c>
      <c r="O111" s="285">
        <v>0</v>
      </c>
      <c r="P111" s="285">
        <v>0</v>
      </c>
      <c r="Q111" s="285">
        <v>0</v>
      </c>
      <c r="R111" s="286">
        <f>SUM(J111:Q111)</f>
        <v>0</v>
      </c>
      <c r="S111" s="287">
        <f>I111-R111</f>
        <v>0</v>
      </c>
      <c r="T111" s="288">
        <f>G111-I111</f>
        <v>0</v>
      </c>
      <c r="U111" s="289">
        <v>0</v>
      </c>
      <c r="V111" s="290" t="e">
        <f t="shared" si="1"/>
        <v>#DIV/0!</v>
      </c>
      <c r="X111" s="329"/>
      <c r="Y111" s="285"/>
      <c r="Z111" s="285"/>
      <c r="AA111" s="285"/>
      <c r="AB111" s="285"/>
      <c r="AC111" s="285"/>
      <c r="AD111" s="285"/>
      <c r="AE111" s="285"/>
    </row>
    <row r="112" spans="1:31" ht="18.95" customHeight="1">
      <c r="A112" s="312"/>
      <c r="B112" s="279"/>
      <c r="C112" s="280" t="s">
        <v>130</v>
      </c>
      <c r="D112" s="281" t="s">
        <v>43</v>
      </c>
      <c r="E112" s="282">
        <v>0</v>
      </c>
      <c r="F112" s="283"/>
      <c r="G112" s="282">
        <v>0</v>
      </c>
      <c r="H112" s="283"/>
      <c r="I112" s="284">
        <v>0</v>
      </c>
      <c r="J112" s="285">
        <v>0</v>
      </c>
      <c r="K112" s="285">
        <v>0</v>
      </c>
      <c r="L112" s="285">
        <v>0</v>
      </c>
      <c r="M112" s="285">
        <v>0</v>
      </c>
      <c r="N112" s="285">
        <v>0</v>
      </c>
      <c r="O112" s="285">
        <v>0</v>
      </c>
      <c r="P112" s="285">
        <v>0</v>
      </c>
      <c r="Q112" s="285">
        <v>0</v>
      </c>
      <c r="R112" s="286">
        <f>SUM(J112:Q112)</f>
        <v>0</v>
      </c>
      <c r="S112" s="287">
        <f>I112-R112</f>
        <v>0</v>
      </c>
      <c r="T112" s="288">
        <f>G112-I112</f>
        <v>0</v>
      </c>
      <c r="U112" s="289">
        <v>0</v>
      </c>
      <c r="V112" s="290" t="e">
        <f t="shared" si="1"/>
        <v>#DIV/0!</v>
      </c>
      <c r="X112" s="329"/>
      <c r="Y112" s="285"/>
      <c r="Z112" s="285"/>
      <c r="AA112" s="285"/>
      <c r="AB112" s="285"/>
      <c r="AC112" s="285"/>
      <c r="AD112" s="285"/>
      <c r="AE112" s="285"/>
    </row>
    <row r="113" spans="1:31" ht="18.95" customHeight="1">
      <c r="A113" s="312"/>
      <c r="B113" s="279"/>
      <c r="C113" s="280" t="s">
        <v>123</v>
      </c>
      <c r="D113" s="281" t="s">
        <v>43</v>
      </c>
      <c r="E113" s="282">
        <v>300000</v>
      </c>
      <c r="F113" s="283"/>
      <c r="G113" s="282">
        <v>200000</v>
      </c>
      <c r="H113" s="283"/>
      <c r="I113" s="284">
        <v>425000</v>
      </c>
      <c r="J113" s="285">
        <v>0</v>
      </c>
      <c r="K113" s="285">
        <v>0</v>
      </c>
      <c r="L113" s="285">
        <v>0</v>
      </c>
      <c r="M113" s="285">
        <v>0</v>
      </c>
      <c r="N113" s="285">
        <v>0</v>
      </c>
      <c r="O113" s="285">
        <v>0</v>
      </c>
      <c r="P113" s="285">
        <v>0</v>
      </c>
      <c r="Q113" s="285">
        <v>0</v>
      </c>
      <c r="R113" s="286">
        <f>SUM(J113:Q113)</f>
        <v>0</v>
      </c>
      <c r="S113" s="287">
        <f>I113-R113</f>
        <v>425000</v>
      </c>
      <c r="T113" s="288">
        <f>G113-I113</f>
        <v>-225000</v>
      </c>
      <c r="U113" s="289">
        <v>0</v>
      </c>
      <c r="V113" s="290" t="e">
        <f t="shared" si="1"/>
        <v>#DIV/0!</v>
      </c>
      <c r="X113" s="329"/>
      <c r="Y113" s="285"/>
      <c r="Z113" s="285"/>
      <c r="AA113" s="285"/>
      <c r="AB113" s="285"/>
      <c r="AC113" s="285"/>
      <c r="AD113" s="285"/>
      <c r="AE113" s="285"/>
    </row>
    <row r="114" spans="1:31" ht="18.95" customHeight="1">
      <c r="A114" s="313"/>
      <c r="B114" s="279"/>
      <c r="C114" s="280" t="s">
        <v>131</v>
      </c>
      <c r="D114" s="281" t="s">
        <v>43</v>
      </c>
      <c r="E114" s="282">
        <v>0</v>
      </c>
      <c r="F114" s="283"/>
      <c r="G114" s="282">
        <v>0</v>
      </c>
      <c r="H114" s="283"/>
      <c r="I114" s="284">
        <v>0</v>
      </c>
      <c r="J114" s="285">
        <v>0</v>
      </c>
      <c r="K114" s="285">
        <v>0</v>
      </c>
      <c r="L114" s="285">
        <v>0</v>
      </c>
      <c r="M114" s="285">
        <v>0</v>
      </c>
      <c r="N114" s="285">
        <v>0</v>
      </c>
      <c r="O114" s="285">
        <v>0</v>
      </c>
      <c r="P114" s="285">
        <v>0</v>
      </c>
      <c r="Q114" s="285">
        <v>0</v>
      </c>
      <c r="R114" s="286">
        <f>SUM(J114:Q114)</f>
        <v>0</v>
      </c>
      <c r="S114" s="287">
        <f>I114-R114</f>
        <v>0</v>
      </c>
      <c r="T114" s="288">
        <f>G114-I114</f>
        <v>0</v>
      </c>
      <c r="U114" s="289">
        <v>0</v>
      </c>
      <c r="V114" s="290" t="e">
        <f t="shared" si="1"/>
        <v>#DIV/0!</v>
      </c>
      <c r="X114" s="329"/>
      <c r="Y114" s="285"/>
      <c r="Z114" s="285"/>
      <c r="AA114" s="285"/>
      <c r="AB114" s="285"/>
      <c r="AC114" s="285"/>
      <c r="AD114" s="285"/>
      <c r="AE114" s="285"/>
    </row>
    <row r="115" spans="1:31" ht="18.95" customHeight="1">
      <c r="A115" s="314" t="s">
        <v>132</v>
      </c>
      <c r="B115" s="291" t="s">
        <v>38</v>
      </c>
      <c r="C115" s="292" t="s">
        <v>133</v>
      </c>
      <c r="D115" s="293" t="s">
        <v>40</v>
      </c>
      <c r="E115" s="294">
        <v>607100</v>
      </c>
      <c r="F115" s="295"/>
      <c r="G115" s="294">
        <v>477250</v>
      </c>
      <c r="H115" s="295"/>
      <c r="I115" s="296">
        <v>477250</v>
      </c>
      <c r="J115" s="273">
        <v>0</v>
      </c>
      <c r="K115" s="273">
        <v>0</v>
      </c>
      <c r="L115" s="273">
        <v>0</v>
      </c>
      <c r="M115" s="273">
        <v>0</v>
      </c>
      <c r="N115" s="273">
        <v>0</v>
      </c>
      <c r="O115" s="273">
        <v>0</v>
      </c>
      <c r="P115" s="273">
        <v>0</v>
      </c>
      <c r="Q115" s="273">
        <v>0</v>
      </c>
      <c r="R115" s="274">
        <f>SUM(J115:Q115)</f>
        <v>0</v>
      </c>
      <c r="S115" s="275">
        <f>I115-R115</f>
        <v>477250</v>
      </c>
      <c r="T115" s="276">
        <f>G115-I115</f>
        <v>0</v>
      </c>
      <c r="U115" s="297">
        <v>0</v>
      </c>
      <c r="V115" s="278" t="e">
        <f t="shared" si="1"/>
        <v>#DIV/0!</v>
      </c>
      <c r="X115" s="328"/>
      <c r="Y115" s="273"/>
      <c r="Z115" s="273"/>
      <c r="AA115" s="273"/>
      <c r="AB115" s="273"/>
      <c r="AC115" s="273"/>
      <c r="AD115" s="273"/>
      <c r="AE115" s="273"/>
    </row>
    <row r="116" spans="1:31" ht="18.95" customHeight="1">
      <c r="A116" s="312"/>
      <c r="B116" s="279"/>
      <c r="C116" s="280" t="s">
        <v>133</v>
      </c>
      <c r="D116" s="281" t="s">
        <v>43</v>
      </c>
      <c r="E116" s="282">
        <v>150000</v>
      </c>
      <c r="F116" s="283"/>
      <c r="G116" s="282">
        <v>0</v>
      </c>
      <c r="H116" s="283"/>
      <c r="I116" s="284">
        <v>0</v>
      </c>
      <c r="J116" s="285">
        <v>0</v>
      </c>
      <c r="K116" s="285">
        <v>0</v>
      </c>
      <c r="L116" s="285">
        <v>0</v>
      </c>
      <c r="M116" s="285">
        <v>0</v>
      </c>
      <c r="N116" s="285">
        <v>0</v>
      </c>
      <c r="O116" s="285">
        <v>0</v>
      </c>
      <c r="P116" s="285">
        <v>0</v>
      </c>
      <c r="Q116" s="285">
        <v>0</v>
      </c>
      <c r="R116" s="286">
        <f>SUM(J116:Q116)</f>
        <v>0</v>
      </c>
      <c r="S116" s="287">
        <f>I116-R116</f>
        <v>0</v>
      </c>
      <c r="T116" s="288">
        <f>G116-I116</f>
        <v>0</v>
      </c>
      <c r="U116" s="289">
        <v>0</v>
      </c>
      <c r="V116" s="290" t="e">
        <f t="shared" si="1"/>
        <v>#DIV/0!</v>
      </c>
      <c r="X116" s="329"/>
      <c r="Y116" s="285"/>
      <c r="Z116" s="285"/>
      <c r="AA116" s="285"/>
      <c r="AB116" s="285"/>
      <c r="AC116" s="285"/>
      <c r="AD116" s="285"/>
      <c r="AE116" s="285"/>
    </row>
    <row r="117" spans="1:31" ht="18.95" customHeight="1" thickBot="1">
      <c r="A117" s="315"/>
      <c r="B117" s="299"/>
      <c r="C117" s="300" t="s">
        <v>134</v>
      </c>
      <c r="D117" s="301" t="s">
        <v>43</v>
      </c>
      <c r="E117" s="302">
        <v>0</v>
      </c>
      <c r="F117" s="303"/>
      <c r="G117" s="302">
        <v>0</v>
      </c>
      <c r="H117" s="303"/>
      <c r="I117" s="304">
        <v>0</v>
      </c>
      <c r="J117" s="305">
        <v>0</v>
      </c>
      <c r="K117" s="305">
        <v>0</v>
      </c>
      <c r="L117" s="305">
        <v>0</v>
      </c>
      <c r="M117" s="305">
        <v>0</v>
      </c>
      <c r="N117" s="305">
        <v>0</v>
      </c>
      <c r="O117" s="305">
        <v>0</v>
      </c>
      <c r="P117" s="305">
        <v>0</v>
      </c>
      <c r="Q117" s="305">
        <v>0</v>
      </c>
      <c r="R117" s="306">
        <f>SUM(J117:Q117)</f>
        <v>0</v>
      </c>
      <c r="S117" s="307">
        <f>I117-R117</f>
        <v>0</v>
      </c>
      <c r="T117" s="308">
        <f>G117-I117</f>
        <v>0</v>
      </c>
      <c r="U117" s="309">
        <v>0</v>
      </c>
      <c r="V117" s="310" t="e">
        <f t="shared" si="1"/>
        <v>#DIV/0!</v>
      </c>
      <c r="X117" s="330"/>
      <c r="Y117" s="305"/>
      <c r="Z117" s="305"/>
      <c r="AA117" s="305"/>
      <c r="AB117" s="305"/>
      <c r="AC117" s="305"/>
      <c r="AD117" s="305"/>
      <c r="AE117" s="305"/>
    </row>
    <row r="118" spans="1:31" ht="18.95" customHeight="1" thickTop="1" thickBot="1">
      <c r="A118" s="27"/>
      <c r="B118" s="28" t="s">
        <v>12</v>
      </c>
      <c r="C118" s="29"/>
      <c r="D118" s="29"/>
      <c r="E118" s="187">
        <f>SUM(E7:F117)</f>
        <v>68199585</v>
      </c>
      <c r="F118" s="188"/>
      <c r="G118" s="187">
        <f>SUM(G7:H117)</f>
        <v>66523590</v>
      </c>
      <c r="H118" s="188"/>
      <c r="I118" s="87">
        <f>SUM(I7:I117)</f>
        <v>73978400</v>
      </c>
      <c r="J118" s="30"/>
      <c r="K118" s="30"/>
      <c r="L118" s="30"/>
      <c r="M118" s="30"/>
      <c r="N118" s="30"/>
      <c r="O118" s="30"/>
      <c r="P118" s="30"/>
      <c r="Q118" s="30"/>
      <c r="R118" s="32">
        <f>SUM(R7:R117)</f>
        <v>52413802</v>
      </c>
      <c r="S118" s="32">
        <f>SUM(S7:S117)</f>
        <v>21564598</v>
      </c>
      <c r="T118" s="33">
        <f>SUM(T7:T117)</f>
        <v>-7454810</v>
      </c>
      <c r="U118" s="298">
        <f>SUM(U7:U117)</f>
        <v>478</v>
      </c>
      <c r="V118" s="34"/>
    </row>
    <row r="119" spans="1:31" ht="15" customHeight="1" thickTop="1">
      <c r="A119" s="189"/>
      <c r="B119" s="190"/>
      <c r="C119" s="190"/>
      <c r="D119" s="190"/>
      <c r="E119" s="191"/>
      <c r="F119" s="191"/>
      <c r="G119" s="191"/>
      <c r="H119" s="191"/>
      <c r="I119" s="191"/>
      <c r="J119" s="190"/>
      <c r="K119" s="190"/>
      <c r="L119" s="190"/>
      <c r="M119" s="190"/>
      <c r="N119" s="190"/>
      <c r="O119" s="190"/>
      <c r="P119" s="190"/>
      <c r="Q119" s="190"/>
      <c r="R119" s="190"/>
      <c r="S119" s="190"/>
      <c r="T119" s="190"/>
      <c r="U119" s="191"/>
      <c r="V119" s="192"/>
    </row>
    <row r="120" spans="1:31" ht="18.95" customHeight="1">
      <c r="A120" s="97"/>
      <c r="B120" s="98" t="s">
        <v>13</v>
      </c>
      <c r="C120" s="98"/>
      <c r="D120" s="99"/>
      <c r="E120" s="193" t="s">
        <v>32</v>
      </c>
      <c r="F120" s="194"/>
      <c r="G120" s="193" t="s">
        <v>14</v>
      </c>
      <c r="H120" s="194"/>
      <c r="I120" s="100" t="s">
        <v>15</v>
      </c>
      <c r="J120" s="101"/>
      <c r="K120" s="101"/>
      <c r="L120" s="101"/>
      <c r="M120" s="101"/>
      <c r="N120" s="101"/>
      <c r="O120" s="101"/>
      <c r="P120" s="101"/>
      <c r="Q120" s="101"/>
      <c r="R120" s="101"/>
      <c r="S120" s="102"/>
      <c r="T120" s="103"/>
      <c r="U120" s="103"/>
      <c r="V120" s="104"/>
    </row>
    <row r="121" spans="1:31" ht="18.95" customHeight="1">
      <c r="A121" s="105"/>
      <c r="B121" s="107"/>
      <c r="C121" s="80"/>
      <c r="D121" s="158"/>
      <c r="E121" s="183"/>
      <c r="F121" s="184"/>
      <c r="G121" s="183"/>
      <c r="H121" s="184"/>
      <c r="I121" s="108"/>
      <c r="J121" s="20"/>
      <c r="K121" s="20"/>
      <c r="L121" s="20"/>
      <c r="M121" s="20"/>
      <c r="N121" s="20"/>
      <c r="O121" s="20"/>
      <c r="P121" s="20"/>
      <c r="Q121" s="20"/>
      <c r="R121" s="81">
        <f>SUM(J121:Q121)</f>
        <v>0</v>
      </c>
      <c r="S121" s="23">
        <f>I121-R121</f>
        <v>0</v>
      </c>
      <c r="T121" s="24">
        <f>G121-I121</f>
        <v>0</v>
      </c>
      <c r="U121" s="68"/>
      <c r="V121" s="88" t="e">
        <f>R121/U121</f>
        <v>#DIV/0!</v>
      </c>
    </row>
    <row r="122" spans="1:31" ht="18.95" customHeight="1">
      <c r="A122" s="106"/>
      <c r="B122" s="109"/>
      <c r="C122" s="71"/>
      <c r="D122" s="157"/>
      <c r="E122" s="185"/>
      <c r="F122" s="186"/>
      <c r="G122" s="185"/>
      <c r="H122" s="186"/>
      <c r="I122" s="110"/>
      <c r="J122" s="111"/>
      <c r="K122" s="111"/>
      <c r="L122" s="111"/>
      <c r="M122" s="111"/>
      <c r="N122" s="111"/>
      <c r="O122" s="111"/>
      <c r="P122" s="111"/>
      <c r="Q122" s="111"/>
      <c r="R122" s="81">
        <f>SUM(J122:Q122)</f>
        <v>0</v>
      </c>
      <c r="S122" s="23">
        <f>I122-R122</f>
        <v>0</v>
      </c>
      <c r="T122" s="24">
        <f>G122-I122</f>
        <v>0</v>
      </c>
      <c r="U122" s="69"/>
      <c r="V122" s="160" t="e">
        <f>R122/U122</f>
        <v>#DIV/0!</v>
      </c>
    </row>
    <row r="123" spans="1:31" ht="18.95" customHeight="1" thickBot="1">
      <c r="A123" s="89"/>
      <c r="B123" s="35" t="s">
        <v>16</v>
      </c>
      <c r="C123" s="35"/>
      <c r="D123" s="36"/>
      <c r="E123" s="168">
        <f>SUM(E121:E122)</f>
        <v>0</v>
      </c>
      <c r="F123" s="169"/>
      <c r="G123" s="168">
        <f>SUM(G121:G122)</f>
        <v>0</v>
      </c>
      <c r="H123" s="169"/>
      <c r="I123" s="37">
        <f>SUM(I121:I122)</f>
        <v>0</v>
      </c>
      <c r="J123" s="38"/>
      <c r="K123" s="38"/>
      <c r="L123" s="38"/>
      <c r="M123" s="38"/>
      <c r="N123" s="38"/>
      <c r="O123" s="38"/>
      <c r="P123" s="38"/>
      <c r="Q123" s="38"/>
      <c r="R123" s="39">
        <f>SUM(R121:R122)</f>
        <v>0</v>
      </c>
      <c r="S123" s="40">
        <f>SUM(S121:S122)</f>
        <v>0</v>
      </c>
      <c r="T123" s="41">
        <f>SUM(T121:T122)</f>
        <v>0</v>
      </c>
      <c r="U123" s="42">
        <f>SUM(U121:U122)</f>
        <v>0</v>
      </c>
      <c r="V123" s="159"/>
    </row>
    <row r="124" spans="1:31" ht="2.25" customHeight="1" thickTop="1" thickBot="1">
      <c r="A124" s="90"/>
      <c r="B124" s="43"/>
      <c r="C124" s="43"/>
      <c r="D124" s="43"/>
      <c r="E124" s="43"/>
      <c r="F124" s="44"/>
      <c r="G124" s="43"/>
      <c r="H124" s="44"/>
      <c r="I124" s="45"/>
      <c r="J124" s="44"/>
      <c r="K124" s="44"/>
      <c r="L124" s="44"/>
      <c r="M124" s="44"/>
      <c r="N124" s="44"/>
      <c r="O124" s="44"/>
      <c r="P124" s="44"/>
      <c r="Q124" s="44"/>
      <c r="R124" s="44"/>
      <c r="S124" s="46"/>
      <c r="T124" s="47"/>
      <c r="U124" s="48"/>
      <c r="V124" s="91"/>
    </row>
    <row r="125" spans="1:31" ht="26.25" customHeight="1" thickTop="1" thickBot="1">
      <c r="A125" s="92"/>
      <c r="B125" s="93" t="s">
        <v>17</v>
      </c>
      <c r="C125" s="93"/>
      <c r="D125" s="93"/>
      <c r="E125" s="170"/>
      <c r="F125" s="171"/>
      <c r="G125" s="170"/>
      <c r="H125" s="171"/>
      <c r="I125" s="49"/>
      <c r="J125" s="49"/>
      <c r="K125" s="49"/>
      <c r="L125" s="49"/>
      <c r="M125" s="49"/>
      <c r="N125" s="49"/>
      <c r="O125" s="49"/>
      <c r="P125" s="49"/>
      <c r="Q125" s="49"/>
      <c r="R125" s="50">
        <f>SUM(R123,R118)</f>
        <v>52413802</v>
      </c>
      <c r="S125" s="51">
        <f>SUM(S123,S118)</f>
        <v>21564598</v>
      </c>
      <c r="T125" s="94">
        <f>T118+T123</f>
        <v>-7454810</v>
      </c>
      <c r="U125" s="95">
        <f>SUM(U123,U118)</f>
        <v>478</v>
      </c>
      <c r="V125" s="96"/>
    </row>
    <row r="126" spans="1:31" ht="2.25" customHeight="1" thickTop="1">
      <c r="A126" s="137"/>
      <c r="B126" s="138"/>
      <c r="C126" s="138"/>
      <c r="D126" s="138"/>
      <c r="E126" s="138"/>
      <c r="F126" s="139"/>
      <c r="G126" s="138"/>
      <c r="H126" s="139"/>
      <c r="I126" s="140"/>
      <c r="J126" s="139"/>
      <c r="K126" s="139"/>
      <c r="L126" s="139"/>
      <c r="M126" s="139"/>
      <c r="N126" s="139"/>
      <c r="O126" s="139"/>
      <c r="P126" s="139"/>
      <c r="Q126" s="139"/>
      <c r="R126" s="139"/>
      <c r="S126" s="141"/>
      <c r="T126" s="142"/>
      <c r="U126" s="143"/>
      <c r="V126" s="144"/>
    </row>
    <row r="127" spans="1:31" ht="18.2" customHeight="1">
      <c r="A127" s="145"/>
      <c r="B127" s="146"/>
      <c r="C127" s="146"/>
      <c r="D127" s="146"/>
      <c r="E127" s="146"/>
      <c r="F127" s="128"/>
      <c r="G127" s="146"/>
      <c r="H127" s="128"/>
      <c r="I127" s="147"/>
      <c r="J127" s="128"/>
      <c r="K127" s="128"/>
      <c r="L127" s="128"/>
      <c r="M127" s="128"/>
      <c r="N127" s="128"/>
      <c r="O127" s="128"/>
      <c r="P127" s="128"/>
      <c r="Q127" s="128"/>
      <c r="R127" s="128"/>
      <c r="S127" s="148"/>
      <c r="T127" s="149"/>
      <c r="U127" s="150"/>
      <c r="V127" s="149"/>
    </row>
    <row r="128" spans="1:31" ht="18.2" customHeight="1">
      <c r="A128" s="258" t="s">
        <v>135</v>
      </c>
      <c r="B128" s="114" t="s">
        <v>38</v>
      </c>
      <c r="C128" s="115"/>
      <c r="D128" s="116"/>
      <c r="E128" s="172">
        <v>1101</v>
      </c>
      <c r="F128" s="173"/>
      <c r="G128" s="174">
        <v>4000000</v>
      </c>
      <c r="H128" s="175"/>
      <c r="I128" s="117">
        <v>8000000</v>
      </c>
      <c r="J128" s="261">
        <v>11</v>
      </c>
      <c r="K128" s="261">
        <v>102</v>
      </c>
      <c r="L128" s="261">
        <v>600003</v>
      </c>
      <c r="M128" s="261">
        <v>660004</v>
      </c>
      <c r="N128" s="261">
        <v>540005</v>
      </c>
      <c r="O128" s="261">
        <v>540006</v>
      </c>
      <c r="P128" s="261">
        <v>7</v>
      </c>
      <c r="Q128" s="261">
        <v>8</v>
      </c>
      <c r="R128" s="119">
        <f>SUM(J128:Q128)</f>
        <v>2340146</v>
      </c>
      <c r="S128" s="120">
        <f>I128-R128</f>
        <v>5659854</v>
      </c>
      <c r="T128" s="121">
        <f>G128-I128</f>
        <v>-4000000</v>
      </c>
      <c r="U128" s="122">
        <v>0</v>
      </c>
      <c r="V128" s="123" t="e">
        <f>R128/U128</f>
        <v>#DIV/0!</v>
      </c>
      <c r="X128" s="261"/>
      <c r="Y128" s="261"/>
      <c r="Z128" s="261"/>
      <c r="AA128" s="261"/>
      <c r="AB128" s="261"/>
      <c r="AC128" s="261"/>
      <c r="AD128" s="261"/>
      <c r="AE128" s="261"/>
    </row>
    <row r="129" spans="1:31" ht="18.2" customHeight="1">
      <c r="A129" s="259"/>
      <c r="B129" s="114" t="s">
        <v>144</v>
      </c>
      <c r="C129" s="115"/>
      <c r="D129" s="116"/>
      <c r="E129" s="172">
        <v>0</v>
      </c>
      <c r="F129" s="173"/>
      <c r="G129" s="174">
        <v>0</v>
      </c>
      <c r="H129" s="175"/>
      <c r="I129" s="117">
        <v>0</v>
      </c>
      <c r="J129" s="261">
        <v>0</v>
      </c>
      <c r="K129" s="261">
        <v>1304</v>
      </c>
      <c r="L129" s="261">
        <v>0</v>
      </c>
      <c r="M129" s="261">
        <v>655</v>
      </c>
      <c r="N129" s="261">
        <v>0</v>
      </c>
      <c r="O129" s="261">
        <v>0</v>
      </c>
      <c r="P129" s="261">
        <v>0</v>
      </c>
      <c r="Q129" s="261">
        <v>0</v>
      </c>
      <c r="R129" s="119">
        <f>SUM(J129:Q129)</f>
        <v>1959</v>
      </c>
      <c r="S129" s="120">
        <f>I129-R129</f>
        <v>-1959</v>
      </c>
      <c r="T129" s="121">
        <f>G129-I129</f>
        <v>0</v>
      </c>
      <c r="U129" s="122">
        <v>0</v>
      </c>
      <c r="V129" s="123" t="e">
        <f t="shared" ref="V129:V135" si="2">R129/U129</f>
        <v>#DIV/0!</v>
      </c>
      <c r="X129" s="261"/>
      <c r="Y129" s="261"/>
      <c r="Z129" s="261"/>
      <c r="AA129" s="261"/>
      <c r="AB129" s="261"/>
      <c r="AC129" s="261"/>
      <c r="AD129" s="261"/>
      <c r="AE129" s="261"/>
    </row>
    <row r="130" spans="1:31" ht="18.2" customHeight="1">
      <c r="A130" s="259"/>
      <c r="B130" s="114" t="s">
        <v>145</v>
      </c>
      <c r="C130" s="115"/>
      <c r="D130" s="116"/>
      <c r="E130" s="172">
        <v>0</v>
      </c>
      <c r="F130" s="173"/>
      <c r="G130" s="174">
        <v>0</v>
      </c>
      <c r="H130" s="175"/>
      <c r="I130" s="117">
        <v>0</v>
      </c>
      <c r="J130" s="261">
        <v>0</v>
      </c>
      <c r="K130" s="261">
        <v>0</v>
      </c>
      <c r="L130" s="261">
        <v>1926</v>
      </c>
      <c r="M130" s="261">
        <v>0</v>
      </c>
      <c r="N130" s="261">
        <v>0</v>
      </c>
      <c r="O130" s="261">
        <v>0</v>
      </c>
      <c r="P130" s="261">
        <v>0</v>
      </c>
      <c r="Q130" s="261">
        <v>0</v>
      </c>
      <c r="R130" s="119">
        <f>SUM(J130:Q130)</f>
        <v>1926</v>
      </c>
      <c r="S130" s="120">
        <f>I130-R130</f>
        <v>-1926</v>
      </c>
      <c r="T130" s="121">
        <f>G130-I130</f>
        <v>0</v>
      </c>
      <c r="U130" s="122">
        <v>0</v>
      </c>
      <c r="V130" s="123" t="e">
        <f t="shared" si="2"/>
        <v>#DIV/0!</v>
      </c>
      <c r="X130" s="261"/>
      <c r="Y130" s="261"/>
      <c r="Z130" s="261"/>
      <c r="AA130" s="261"/>
      <c r="AB130" s="261"/>
      <c r="AC130" s="261"/>
      <c r="AD130" s="261"/>
      <c r="AE130" s="261"/>
    </row>
    <row r="131" spans="1:31" ht="18.2" customHeight="1">
      <c r="A131" s="259"/>
      <c r="B131" s="114" t="s">
        <v>146</v>
      </c>
      <c r="C131" s="115"/>
      <c r="D131" s="116"/>
      <c r="E131" s="172">
        <v>0</v>
      </c>
      <c r="F131" s="173"/>
      <c r="G131" s="174">
        <v>0</v>
      </c>
      <c r="H131" s="175"/>
      <c r="I131" s="117">
        <v>0</v>
      </c>
      <c r="J131" s="261">
        <v>0</v>
      </c>
      <c r="K131" s="261">
        <v>0</v>
      </c>
      <c r="L131" s="261">
        <v>13130</v>
      </c>
      <c r="M131" s="261">
        <v>122228</v>
      </c>
      <c r="N131" s="261">
        <v>210960</v>
      </c>
      <c r="O131" s="261">
        <v>169189</v>
      </c>
      <c r="P131" s="261">
        <v>36141</v>
      </c>
      <c r="Q131" s="261">
        <v>0</v>
      </c>
      <c r="R131" s="119">
        <f>SUM(J131:Q131)</f>
        <v>551648</v>
      </c>
      <c r="S131" s="120">
        <f>I131-R131</f>
        <v>-551648</v>
      </c>
      <c r="T131" s="121">
        <f>G131-I131</f>
        <v>0</v>
      </c>
      <c r="U131" s="122">
        <v>0</v>
      </c>
      <c r="V131" s="123" t="e">
        <f t="shared" si="2"/>
        <v>#DIV/0!</v>
      </c>
      <c r="X131" s="261"/>
      <c r="Y131" s="261"/>
      <c r="Z131" s="261"/>
      <c r="AA131" s="261"/>
      <c r="AB131" s="261"/>
      <c r="AC131" s="261"/>
      <c r="AD131" s="261"/>
      <c r="AE131" s="261"/>
    </row>
    <row r="132" spans="1:31" ht="18.2" customHeight="1">
      <c r="A132" s="259"/>
      <c r="B132" s="114" t="s">
        <v>147</v>
      </c>
      <c r="C132" s="115"/>
      <c r="D132" s="116"/>
      <c r="E132" s="172">
        <v>0</v>
      </c>
      <c r="F132" s="173"/>
      <c r="G132" s="174">
        <v>0</v>
      </c>
      <c r="H132" s="175"/>
      <c r="I132" s="117">
        <v>0</v>
      </c>
      <c r="J132" s="261">
        <v>13000</v>
      </c>
      <c r="K132" s="261">
        <v>38490</v>
      </c>
      <c r="L132" s="261">
        <v>13341</v>
      </c>
      <c r="M132" s="261">
        <v>3000</v>
      </c>
      <c r="N132" s="261">
        <v>750</v>
      </c>
      <c r="O132" s="261">
        <v>300</v>
      </c>
      <c r="P132" s="261">
        <v>750</v>
      </c>
      <c r="Q132" s="261">
        <v>0</v>
      </c>
      <c r="R132" s="119">
        <f>SUM(J132:Q132)</f>
        <v>69631</v>
      </c>
      <c r="S132" s="120">
        <f>I132-R132</f>
        <v>-69631</v>
      </c>
      <c r="T132" s="121">
        <f>G132-I132</f>
        <v>0</v>
      </c>
      <c r="U132" s="122">
        <v>0</v>
      </c>
      <c r="V132" s="123" t="e">
        <f t="shared" si="2"/>
        <v>#DIV/0!</v>
      </c>
      <c r="X132" s="261"/>
      <c r="Y132" s="261"/>
      <c r="Z132" s="261"/>
      <c r="AA132" s="261"/>
      <c r="AB132" s="261"/>
      <c r="AC132" s="261"/>
      <c r="AD132" s="261"/>
      <c r="AE132" s="261"/>
    </row>
    <row r="133" spans="1:31" ht="18.2" customHeight="1">
      <c r="A133" s="259"/>
      <c r="B133" s="114" t="s">
        <v>63</v>
      </c>
      <c r="C133" s="115"/>
      <c r="D133" s="116"/>
      <c r="E133" s="172">
        <v>0</v>
      </c>
      <c r="F133" s="173"/>
      <c r="G133" s="174">
        <v>0</v>
      </c>
      <c r="H133" s="175"/>
      <c r="I133" s="117">
        <v>0</v>
      </c>
      <c r="J133" s="261">
        <v>0</v>
      </c>
      <c r="K133" s="261">
        <v>1670884</v>
      </c>
      <c r="L133" s="261">
        <v>92273</v>
      </c>
      <c r="M133" s="261">
        <v>368121</v>
      </c>
      <c r="N133" s="261">
        <v>10821</v>
      </c>
      <c r="O133" s="261">
        <v>24039</v>
      </c>
      <c r="P133" s="261">
        <v>18928</v>
      </c>
      <c r="Q133" s="261">
        <v>0</v>
      </c>
      <c r="R133" s="119">
        <f>SUM(J133:Q133)</f>
        <v>2185066</v>
      </c>
      <c r="S133" s="120">
        <f>I133-R133</f>
        <v>-2185066</v>
      </c>
      <c r="T133" s="121">
        <f>G133-I133</f>
        <v>0</v>
      </c>
      <c r="U133" s="122">
        <v>0</v>
      </c>
      <c r="V133" s="123" t="e">
        <f t="shared" si="2"/>
        <v>#DIV/0!</v>
      </c>
      <c r="X133" s="261"/>
      <c r="Y133" s="261"/>
      <c r="Z133" s="261"/>
      <c r="AA133" s="261"/>
      <c r="AB133" s="261"/>
      <c r="AC133" s="261"/>
      <c r="AD133" s="261"/>
      <c r="AE133" s="261"/>
    </row>
    <row r="134" spans="1:31" ht="18.2" customHeight="1">
      <c r="A134" s="259"/>
      <c r="B134" s="114" t="s">
        <v>148</v>
      </c>
      <c r="C134" s="115"/>
      <c r="D134" s="116"/>
      <c r="E134" s="172">
        <v>0</v>
      </c>
      <c r="F134" s="173"/>
      <c r="G134" s="174">
        <v>0</v>
      </c>
      <c r="H134" s="175"/>
      <c r="I134" s="117">
        <v>0</v>
      </c>
      <c r="J134" s="261">
        <v>0</v>
      </c>
      <c r="K134" s="261">
        <v>4983</v>
      </c>
      <c r="L134" s="261">
        <v>1391</v>
      </c>
      <c r="M134" s="261">
        <v>0</v>
      </c>
      <c r="N134" s="261">
        <v>364</v>
      </c>
      <c r="O134" s="261">
        <v>182</v>
      </c>
      <c r="P134" s="261">
        <v>1182</v>
      </c>
      <c r="Q134" s="261">
        <v>0</v>
      </c>
      <c r="R134" s="119">
        <f>SUM(J134:Q134)</f>
        <v>8102</v>
      </c>
      <c r="S134" s="120">
        <f>I134-R134</f>
        <v>-8102</v>
      </c>
      <c r="T134" s="121">
        <f>G134-I134</f>
        <v>0</v>
      </c>
      <c r="U134" s="122">
        <v>0</v>
      </c>
      <c r="V134" s="123" t="e">
        <f t="shared" si="2"/>
        <v>#DIV/0!</v>
      </c>
      <c r="X134" s="261"/>
      <c r="Y134" s="261"/>
      <c r="Z134" s="261"/>
      <c r="AA134" s="261"/>
      <c r="AB134" s="261"/>
      <c r="AC134" s="261"/>
      <c r="AD134" s="261"/>
      <c r="AE134" s="261"/>
    </row>
    <row r="135" spans="1:31" ht="18.2" customHeight="1">
      <c r="A135" s="353"/>
      <c r="B135" s="354"/>
      <c r="C135" s="355"/>
      <c r="D135" s="356"/>
      <c r="E135" s="357">
        <v>24160000</v>
      </c>
      <c r="F135" s="358"/>
      <c r="G135" s="359">
        <v>4427000</v>
      </c>
      <c r="H135" s="360"/>
      <c r="I135" s="361">
        <v>3996920</v>
      </c>
      <c r="J135" s="362">
        <v>0</v>
      </c>
      <c r="K135" s="362">
        <v>0</v>
      </c>
      <c r="L135" s="362">
        <v>0</v>
      </c>
      <c r="M135" s="362">
        <v>0</v>
      </c>
      <c r="N135" s="362">
        <v>0</v>
      </c>
      <c r="O135" s="362">
        <v>0</v>
      </c>
      <c r="P135" s="362">
        <v>0</v>
      </c>
      <c r="Q135" s="362">
        <v>0</v>
      </c>
      <c r="R135" s="363">
        <f>SUM(J135:Q135)</f>
        <v>0</v>
      </c>
      <c r="S135" s="364">
        <f>I135-R135</f>
        <v>3996920</v>
      </c>
      <c r="T135" s="365">
        <f>G135-I135</f>
        <v>430080</v>
      </c>
      <c r="U135" s="366">
        <v>0</v>
      </c>
      <c r="V135" s="367" t="e">
        <f t="shared" si="2"/>
        <v>#DIV/0!</v>
      </c>
      <c r="X135" s="362"/>
      <c r="Y135" s="362"/>
      <c r="Z135" s="362"/>
      <c r="AA135" s="362"/>
      <c r="AB135" s="362"/>
      <c r="AC135" s="362"/>
      <c r="AD135" s="362"/>
      <c r="AE135" s="362"/>
    </row>
    <row r="136" spans="1:31" ht="18.95" customHeight="1" thickBot="1">
      <c r="A136" s="113"/>
      <c r="B136" s="78" t="s">
        <v>34</v>
      </c>
      <c r="C136" s="79"/>
      <c r="D136" s="324"/>
      <c r="E136" s="351">
        <f>SUM(E128:F135)</f>
        <v>24161101</v>
      </c>
      <c r="F136" s="188"/>
      <c r="G136" s="187">
        <f>SUM(G128:H135)</f>
        <v>8427000</v>
      </c>
      <c r="H136" s="188"/>
      <c r="I136" s="87">
        <f>SUM(I128:I135)</f>
        <v>11996920</v>
      </c>
      <c r="J136" s="30"/>
      <c r="K136" s="30"/>
      <c r="L136" s="30"/>
      <c r="M136" s="30"/>
      <c r="N136" s="30"/>
      <c r="O136" s="30"/>
      <c r="P136" s="30"/>
      <c r="Q136" s="30"/>
      <c r="R136" s="32">
        <f>SUM(R128:R135)</f>
        <v>5158478</v>
      </c>
      <c r="S136" s="32">
        <f>SUM(S128:S135)</f>
        <v>6838442</v>
      </c>
      <c r="T136" s="33">
        <f>SUM(T128:T135)</f>
        <v>-3569920</v>
      </c>
      <c r="U136" s="298">
        <f>SUM(U128:U135)</f>
        <v>0</v>
      </c>
      <c r="V136" s="34"/>
    </row>
    <row r="137" spans="1:31" ht="18.2" customHeight="1" thickTop="1">
      <c r="A137" s="52"/>
      <c r="B137" s="176" t="s">
        <v>18</v>
      </c>
      <c r="C137" s="177"/>
      <c r="D137" s="134"/>
      <c r="E137" s="178">
        <f>SUM(E118,E123,E136)</f>
        <v>92360686</v>
      </c>
      <c r="F137" s="179"/>
      <c r="G137" s="178">
        <f>SUM(G118,G123,G136)</f>
        <v>74950590</v>
      </c>
      <c r="H137" s="179"/>
      <c r="I137" s="53">
        <f>SUM(I136,I123,I118)</f>
        <v>85975320</v>
      </c>
      <c r="J137" s="54">
        <f>SUM(J7:J135)</f>
        <v>212011</v>
      </c>
      <c r="K137" s="54">
        <f>SUM(K7:K135)</f>
        <v>1742163</v>
      </c>
      <c r="L137" s="54">
        <f>SUM(L7:L135)</f>
        <v>13420619</v>
      </c>
      <c r="M137" s="54">
        <f>SUM(M7:M135)</f>
        <v>14617240</v>
      </c>
      <c r="N137" s="54">
        <f>SUM(N7:N135)</f>
        <v>13149149</v>
      </c>
      <c r="O137" s="54">
        <f>SUM(O7:O135)</f>
        <v>15175622</v>
      </c>
      <c r="P137" s="54">
        <f>SUM(P7:P135)</f>
        <v>-744532</v>
      </c>
      <c r="Q137" s="54">
        <f>SUM(Q7:Q135)</f>
        <v>8</v>
      </c>
      <c r="R137" s="54">
        <f>SUM(J137:Q137)</f>
        <v>57572280</v>
      </c>
      <c r="S137" s="55">
        <f>I137-R137</f>
        <v>28403040</v>
      </c>
      <c r="T137" s="56">
        <f>SUM(T136,T125)</f>
        <v>-11024730</v>
      </c>
      <c r="U137" s="57">
        <f>SUM(U136,U125)</f>
        <v>478</v>
      </c>
      <c r="V137" s="58"/>
    </row>
    <row r="138" spans="1:31" ht="25.5" customHeight="1">
      <c r="A138" s="59"/>
      <c r="B138" s="59"/>
      <c r="C138" s="59"/>
      <c r="D138" s="59"/>
      <c r="E138" s="59"/>
      <c r="F138" s="60"/>
      <c r="G138" s="59"/>
      <c r="H138" s="60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2"/>
      <c r="T138" s="59"/>
      <c r="U138" s="59"/>
    </row>
    <row r="139" spans="1:31" ht="6" customHeight="1"/>
    <row r="140" spans="1:31" ht="18" customHeight="1">
      <c r="A140" s="13" t="s">
        <v>19</v>
      </c>
    </row>
    <row r="141" spans="1:31" ht="18" customHeight="1">
      <c r="A141" s="167" t="s">
        <v>20</v>
      </c>
      <c r="B141" s="167"/>
      <c r="C141" s="167"/>
      <c r="D141" s="167"/>
      <c r="E141" s="167"/>
      <c r="F141" s="167"/>
      <c r="G141" s="167"/>
      <c r="H141" s="167"/>
      <c r="I141" s="167"/>
      <c r="J141" s="167"/>
      <c r="K141" s="167"/>
      <c r="L141" s="167"/>
      <c r="M141" s="167"/>
      <c r="N141" s="167"/>
      <c r="O141" s="167"/>
      <c r="P141" s="167"/>
      <c r="Q141" s="167"/>
    </row>
    <row r="142" spans="1:31" ht="18" customHeight="1">
      <c r="A142" s="167" t="s">
        <v>21</v>
      </c>
      <c r="B142" s="167"/>
      <c r="C142" s="167"/>
      <c r="D142" s="167"/>
      <c r="E142" s="167"/>
      <c r="F142" s="167"/>
    </row>
    <row r="143" spans="1:31" ht="18" customHeight="1">
      <c r="A143" s="167" t="s">
        <v>22</v>
      </c>
      <c r="B143" s="167"/>
      <c r="C143" s="167"/>
      <c r="D143" s="167"/>
      <c r="E143" s="167"/>
      <c r="F143" s="167"/>
    </row>
  </sheetData>
  <mergeCells count="300">
    <mergeCell ref="A115:A117"/>
    <mergeCell ref="A71:A81"/>
    <mergeCell ref="A82:A84"/>
    <mergeCell ref="A85:A93"/>
    <mergeCell ref="A94:A99"/>
    <mergeCell ref="A100:A102"/>
    <mergeCell ref="A103:A114"/>
    <mergeCell ref="E135:F135"/>
    <mergeCell ref="G135:H135"/>
    <mergeCell ref="A7:A30"/>
    <mergeCell ref="A31:A37"/>
    <mergeCell ref="A38:A42"/>
    <mergeCell ref="A43:A58"/>
    <mergeCell ref="A59:A63"/>
    <mergeCell ref="A64:A70"/>
    <mergeCell ref="E133:F133"/>
    <mergeCell ref="G133:H133"/>
    <mergeCell ref="E134:F134"/>
    <mergeCell ref="G134:H134"/>
    <mergeCell ref="G129:H129"/>
    <mergeCell ref="E130:F130"/>
    <mergeCell ref="G130:H130"/>
    <mergeCell ref="E131:F131"/>
    <mergeCell ref="G131:H131"/>
    <mergeCell ref="E132:F132"/>
    <mergeCell ref="G132:H132"/>
    <mergeCell ref="E117:F117"/>
    <mergeCell ref="G117:H117"/>
    <mergeCell ref="J1:N1"/>
    <mergeCell ref="J2:N2"/>
    <mergeCell ref="J3:N3"/>
    <mergeCell ref="E114:F114"/>
    <mergeCell ref="G114:H114"/>
    <mergeCell ref="E115:F115"/>
    <mergeCell ref="G115:H115"/>
    <mergeCell ref="E116:F116"/>
    <mergeCell ref="G116:H116"/>
    <mergeCell ref="E111:F111"/>
    <mergeCell ref="G111:H111"/>
    <mergeCell ref="E112:F112"/>
    <mergeCell ref="G112:H112"/>
    <mergeCell ref="E113:F113"/>
    <mergeCell ref="G113:H113"/>
    <mergeCell ref="E108:F108"/>
    <mergeCell ref="G108:H108"/>
    <mergeCell ref="E109:F109"/>
    <mergeCell ref="G109:H109"/>
    <mergeCell ref="E110:F110"/>
    <mergeCell ref="G110:H110"/>
    <mergeCell ref="E105:F105"/>
    <mergeCell ref="G105:H105"/>
    <mergeCell ref="E106:F106"/>
    <mergeCell ref="G106:H106"/>
    <mergeCell ref="E107:F107"/>
    <mergeCell ref="G107:H107"/>
    <mergeCell ref="E102:F102"/>
    <mergeCell ref="G102:H102"/>
    <mergeCell ref="E103:F103"/>
    <mergeCell ref="G103:H103"/>
    <mergeCell ref="E104:F104"/>
    <mergeCell ref="G104:H104"/>
    <mergeCell ref="E99:F99"/>
    <mergeCell ref="G99:H99"/>
    <mergeCell ref="E100:F100"/>
    <mergeCell ref="G100:H100"/>
    <mergeCell ref="E101:F101"/>
    <mergeCell ref="G101:H101"/>
    <mergeCell ref="E96:F96"/>
    <mergeCell ref="G96:H96"/>
    <mergeCell ref="E97:F97"/>
    <mergeCell ref="G97:H97"/>
    <mergeCell ref="E98:F98"/>
    <mergeCell ref="G98:H98"/>
    <mergeCell ref="E93:F93"/>
    <mergeCell ref="G93:H93"/>
    <mergeCell ref="E94:F94"/>
    <mergeCell ref="G94:H94"/>
    <mergeCell ref="E95:F95"/>
    <mergeCell ref="G95:H95"/>
    <mergeCell ref="E90:F90"/>
    <mergeCell ref="G90:H90"/>
    <mergeCell ref="E91:F91"/>
    <mergeCell ref="G91:H91"/>
    <mergeCell ref="E92:F92"/>
    <mergeCell ref="G92:H92"/>
    <mergeCell ref="E87:F87"/>
    <mergeCell ref="G87:H87"/>
    <mergeCell ref="E88:F88"/>
    <mergeCell ref="G88:H88"/>
    <mergeCell ref="E89:F89"/>
    <mergeCell ref="G89:H89"/>
    <mergeCell ref="E84:F84"/>
    <mergeCell ref="G84:H84"/>
    <mergeCell ref="E85:F85"/>
    <mergeCell ref="G85:H85"/>
    <mergeCell ref="E86:F86"/>
    <mergeCell ref="G86:H86"/>
    <mergeCell ref="E81:F81"/>
    <mergeCell ref="G81:H81"/>
    <mergeCell ref="E82:F82"/>
    <mergeCell ref="G82:H82"/>
    <mergeCell ref="E83:F83"/>
    <mergeCell ref="G83:H83"/>
    <mergeCell ref="E78:F78"/>
    <mergeCell ref="G78:H78"/>
    <mergeCell ref="E79:F79"/>
    <mergeCell ref="G79:H79"/>
    <mergeCell ref="E80:F80"/>
    <mergeCell ref="G80:H80"/>
    <mergeCell ref="E75:F75"/>
    <mergeCell ref="G75:H75"/>
    <mergeCell ref="E76:F76"/>
    <mergeCell ref="G76:H76"/>
    <mergeCell ref="E77:F77"/>
    <mergeCell ref="G77:H77"/>
    <mergeCell ref="E72:F72"/>
    <mergeCell ref="G72:H72"/>
    <mergeCell ref="E73:F73"/>
    <mergeCell ref="G73:H73"/>
    <mergeCell ref="E74:F74"/>
    <mergeCell ref="G74:H74"/>
    <mergeCell ref="E69:F69"/>
    <mergeCell ref="G69:H69"/>
    <mergeCell ref="E70:F70"/>
    <mergeCell ref="G70:H70"/>
    <mergeCell ref="E71:F71"/>
    <mergeCell ref="G71:H71"/>
    <mergeCell ref="E66:F66"/>
    <mergeCell ref="G66:H66"/>
    <mergeCell ref="E67:F67"/>
    <mergeCell ref="G67:H67"/>
    <mergeCell ref="E68:F68"/>
    <mergeCell ref="G68:H68"/>
    <mergeCell ref="E63:F63"/>
    <mergeCell ref="G63:H63"/>
    <mergeCell ref="E64:F64"/>
    <mergeCell ref="G64:H64"/>
    <mergeCell ref="E65:F65"/>
    <mergeCell ref="G65:H65"/>
    <mergeCell ref="E60:F60"/>
    <mergeCell ref="G60:H60"/>
    <mergeCell ref="E61:F61"/>
    <mergeCell ref="G61:H61"/>
    <mergeCell ref="E62:F62"/>
    <mergeCell ref="G62:H62"/>
    <mergeCell ref="E57:F57"/>
    <mergeCell ref="G57:H57"/>
    <mergeCell ref="E58:F58"/>
    <mergeCell ref="G58:H58"/>
    <mergeCell ref="E59:F59"/>
    <mergeCell ref="G59:H59"/>
    <mergeCell ref="E54:F54"/>
    <mergeCell ref="G54:H54"/>
    <mergeCell ref="E55:F55"/>
    <mergeCell ref="G55:H55"/>
    <mergeCell ref="E56:F56"/>
    <mergeCell ref="G56:H56"/>
    <mergeCell ref="E51:F51"/>
    <mergeCell ref="G51:H51"/>
    <mergeCell ref="E52:F52"/>
    <mergeCell ref="G52:H52"/>
    <mergeCell ref="E53:F53"/>
    <mergeCell ref="G53:H53"/>
    <mergeCell ref="E48:F48"/>
    <mergeCell ref="G48:H48"/>
    <mergeCell ref="E49:F49"/>
    <mergeCell ref="G49:H49"/>
    <mergeCell ref="E50:F50"/>
    <mergeCell ref="G50:H50"/>
    <mergeCell ref="E45:F45"/>
    <mergeCell ref="G45:H45"/>
    <mergeCell ref="E46:F46"/>
    <mergeCell ref="G46:H46"/>
    <mergeCell ref="E47:F47"/>
    <mergeCell ref="G47:H47"/>
    <mergeCell ref="E42:F42"/>
    <mergeCell ref="G42:H42"/>
    <mergeCell ref="E43:F43"/>
    <mergeCell ref="G43:H43"/>
    <mergeCell ref="E44:F44"/>
    <mergeCell ref="G44:H44"/>
    <mergeCell ref="E39:F39"/>
    <mergeCell ref="G39:H39"/>
    <mergeCell ref="E40:F40"/>
    <mergeCell ref="G40:H40"/>
    <mergeCell ref="E41:F41"/>
    <mergeCell ref="G41:H41"/>
    <mergeCell ref="E36:F36"/>
    <mergeCell ref="G36:H36"/>
    <mergeCell ref="E37:F37"/>
    <mergeCell ref="G37:H37"/>
    <mergeCell ref="E38:F38"/>
    <mergeCell ref="G38:H38"/>
    <mergeCell ref="E33:F33"/>
    <mergeCell ref="G33:H33"/>
    <mergeCell ref="E34:F34"/>
    <mergeCell ref="G34:H34"/>
    <mergeCell ref="E35:F35"/>
    <mergeCell ref="G35:H35"/>
    <mergeCell ref="E30:F30"/>
    <mergeCell ref="G30:H30"/>
    <mergeCell ref="E31:F31"/>
    <mergeCell ref="G31:H31"/>
    <mergeCell ref="E32:F32"/>
    <mergeCell ref="G32:H32"/>
    <mergeCell ref="E27:F27"/>
    <mergeCell ref="G27:H27"/>
    <mergeCell ref="E28:F28"/>
    <mergeCell ref="G28:H28"/>
    <mergeCell ref="E29:F29"/>
    <mergeCell ref="G29:H29"/>
    <mergeCell ref="E24:F24"/>
    <mergeCell ref="G24:H24"/>
    <mergeCell ref="E25:F25"/>
    <mergeCell ref="G25:H25"/>
    <mergeCell ref="E26:F26"/>
    <mergeCell ref="G26:H26"/>
    <mergeCell ref="E21:F21"/>
    <mergeCell ref="G21:H21"/>
    <mergeCell ref="E22:F22"/>
    <mergeCell ref="G22:H22"/>
    <mergeCell ref="E23:F23"/>
    <mergeCell ref="G23:H23"/>
    <mergeCell ref="E18:F18"/>
    <mergeCell ref="G18:H18"/>
    <mergeCell ref="E19:F19"/>
    <mergeCell ref="G19:H19"/>
    <mergeCell ref="E20:F20"/>
    <mergeCell ref="G20:H20"/>
    <mergeCell ref="E15:F15"/>
    <mergeCell ref="G15:H15"/>
    <mergeCell ref="E16:F16"/>
    <mergeCell ref="G16:H16"/>
    <mergeCell ref="E17:F17"/>
    <mergeCell ref="G17:H17"/>
    <mergeCell ref="E12:F12"/>
    <mergeCell ref="G12:H12"/>
    <mergeCell ref="E13:F13"/>
    <mergeCell ref="G13:H13"/>
    <mergeCell ref="E14:F14"/>
    <mergeCell ref="G14:H14"/>
    <mergeCell ref="A142:F142"/>
    <mergeCell ref="A143:F143"/>
    <mergeCell ref="E8:F8"/>
    <mergeCell ref="G8:H8"/>
    <mergeCell ref="E9:F9"/>
    <mergeCell ref="G9:H9"/>
    <mergeCell ref="E10:F10"/>
    <mergeCell ref="G10:H10"/>
    <mergeCell ref="E11:F11"/>
    <mergeCell ref="G11:H11"/>
    <mergeCell ref="E136:F136"/>
    <mergeCell ref="G136:H136"/>
    <mergeCell ref="B137:C137"/>
    <mergeCell ref="E137:F137"/>
    <mergeCell ref="G137:H137"/>
    <mergeCell ref="A141:Q141"/>
    <mergeCell ref="E125:F125"/>
    <mergeCell ref="G125:H125"/>
    <mergeCell ref="A128:A135"/>
    <mergeCell ref="E128:F128"/>
    <mergeCell ref="G128:H128"/>
    <mergeCell ref="E129:F129"/>
    <mergeCell ref="E121:F121"/>
    <mergeCell ref="G121:H121"/>
    <mergeCell ref="E122:F122"/>
    <mergeCell ref="G122:H122"/>
    <mergeCell ref="E123:F123"/>
    <mergeCell ref="G123:H123"/>
    <mergeCell ref="E118:F118"/>
    <mergeCell ref="G118:H118"/>
    <mergeCell ref="A119:V119"/>
    <mergeCell ref="E120:F120"/>
    <mergeCell ref="G120:H120"/>
    <mergeCell ref="R5:R6"/>
    <mergeCell ref="S5:S6"/>
    <mergeCell ref="T5:T6"/>
    <mergeCell ref="U5:U6"/>
    <mergeCell ref="V5:V6"/>
    <mergeCell ref="E7:F7"/>
    <mergeCell ref="G7:H7"/>
    <mergeCell ref="A5:B6"/>
    <mergeCell ref="C5:C6"/>
    <mergeCell ref="D5:D6"/>
    <mergeCell ref="E5:F6"/>
    <mergeCell ref="G5:H6"/>
    <mergeCell ref="I5:I6"/>
    <mergeCell ref="A3:B3"/>
    <mergeCell ref="C3:H3"/>
    <mergeCell ref="A4:B4"/>
    <mergeCell ref="C4:F4"/>
    <mergeCell ref="G4:H4"/>
    <mergeCell ref="J4:Q4"/>
    <mergeCell ref="A1:B1"/>
    <mergeCell ref="C1:H1"/>
    <mergeCell ref="R1:S4"/>
    <mergeCell ref="T1:V1"/>
    <mergeCell ref="A2:B2"/>
    <mergeCell ref="C2:H2"/>
    <mergeCell ref="T2:V4"/>
  </mergeCells>
  <phoneticPr fontId="2"/>
  <pageMargins left="0.7" right="0.7" top="0.75" bottom="0.75" header="0.3" footer="0.3"/>
  <pageSetup paperSize="9" scale="4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11</vt:i4>
      </vt:variant>
    </vt:vector>
  </HeadingPairs>
  <TitlesOfParts>
    <vt:vector size="23" baseType="lpstr">
      <vt:lpstr>templete</vt:lpstr>
      <vt:lpstr>精算書（支払台帳）作成</vt:lpstr>
      <vt:lpstr>1</vt:lpstr>
      <vt:lpstr>2</vt:lpstr>
      <vt:lpstr>3</vt:lpstr>
      <vt:lpstr>4</vt:lpstr>
      <vt:lpstr>error</vt:lpstr>
      <vt:lpstr>5</vt:lpstr>
      <vt:lpstr>5-1</vt:lpstr>
      <vt:lpstr>6</vt:lpstr>
      <vt:lpstr>6-1</vt:lpstr>
      <vt:lpstr>報告(2025年07月)</vt:lpstr>
      <vt:lpstr>'1'!Print_Area</vt:lpstr>
      <vt:lpstr>'2'!Print_Area</vt:lpstr>
      <vt:lpstr>'3'!Print_Area</vt:lpstr>
      <vt:lpstr>'4'!Print_Area</vt:lpstr>
      <vt:lpstr>'5'!Print_Area</vt:lpstr>
      <vt:lpstr>'5-1'!Print_Area</vt:lpstr>
      <vt:lpstr>'6'!Print_Area</vt:lpstr>
      <vt:lpstr>'6-1'!Print_Area</vt:lpstr>
      <vt:lpstr>error!Print_Area</vt:lpstr>
      <vt:lpstr>templete!Print_Area</vt:lpstr>
      <vt:lpstr>'報告(2025年07月)'!Print_Area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rentaladmin</dc:creator>
  <cp:lastModifiedBy>辛敏豪 / XIN，MINHAO</cp:lastModifiedBy>
  <dcterms:created xsi:type="dcterms:W3CDTF">2015-06-05T18:19:34Z</dcterms:created>
  <dcterms:modified xsi:type="dcterms:W3CDTF">2025-09-03T05:42:55Z</dcterms:modified>
</cp:coreProperties>
</file>